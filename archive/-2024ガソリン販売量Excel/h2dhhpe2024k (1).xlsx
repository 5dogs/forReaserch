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 defaultThemeVersion="124226"/>
  <xr:revisionPtr revIDLastSave="0" documentId="13_ncr:1_{7CAACD58-9A6E-4F99-B189-2B7968CA8B41}" xr6:coauthVersionLast="47" xr6:coauthVersionMax="47" xr10:uidLastSave="{00000000-0000-0000-0000-000000000000}"/>
  <bookViews>
    <workbookView xWindow="3255" yWindow="525" windowWidth="18135" windowHeight="13755" tabRatio="745" xr2:uid="{00000000-000D-0000-FFFF-FFFF00000000}"/>
  </bookViews>
  <sheets>
    <sheet name="●目次(Contents)●" sheetId="65" r:id="rId1"/>
    <sheet name="１（１）原油地域別、国別輸入" sheetId="388" r:id="rId2"/>
    <sheet name="１（２）原油油種別輸入" sheetId="389" r:id="rId3"/>
    <sheet name="１（３）非精製用出荷内訳" sheetId="390" r:id="rId4"/>
    <sheet name="１（４）原油処理及び原油在庫" sheetId="391" r:id="rId5"/>
    <sheet name="２（１）①石油製品需給総括暦年" sheetId="411" r:id="rId6"/>
    <sheet name="２（１）②石油製品需給総括年度" sheetId="412" r:id="rId7"/>
    <sheet name="２（２）①石油製品製造業者・輸入業者受払暦年" sheetId="413" r:id="rId8"/>
    <sheet name="２（２）②石油製品製造業者・輸入業者受払年度" sheetId="414" r:id="rId9"/>
    <sheet name="２（３）石油製品月別国内向販売" sheetId="396" r:id="rId10"/>
    <sheet name="２（４）①石油製品月別輸入" sheetId="397" r:id="rId11"/>
    <sheet name="２（４）②石油製品国・地域別月別輸入" sheetId="398" r:id="rId12"/>
    <sheet name="２（４）③石油製品月別輸出" sheetId="399" r:id="rId13"/>
    <sheet name="２（４）④石油製品国・地域別月別輸出" sheetId="400" r:id="rId14"/>
    <sheet name="２（５）石油製品月別業態別在庫" sheetId="401" r:id="rId15"/>
    <sheet name="２（６）石油製品製造業者・輸入業者月別消費者･販売業者向販売" sheetId="402" r:id="rId16"/>
    <sheet name="２（７）製造業者・輸入業者品種別、月別消費者・販売業者" sheetId="415" r:id="rId17"/>
    <sheet name="参考資料１、２備蓄量推移、輸入価格推移" sheetId="404" r:id="rId18"/>
    <sheet name="参考資料３（１）（２）" sheetId="405" r:id="rId19"/>
    <sheet name="参考資料３（３）（４）" sheetId="406" r:id="rId20"/>
    <sheet name="参考資料３（５）（６）" sheetId="407" r:id="rId21"/>
    <sheet name="参考資料３（７）（８）" sheetId="408" r:id="rId22"/>
    <sheet name="参考資料４（１）液化天然ガス（LNG）輸入量、消費量、在庫量" sheetId="409" r:id="rId23"/>
    <sheet name="参考資料４（２）液化天然ガス（LNG）国別、月別輸入量" sheetId="410" r:id="rId24"/>
  </sheets>
  <definedNames>
    <definedName name="_10__123Graph_Aｸﾞﾗﾌ_3" localSheetId="13" hidden="1">#REF!</definedName>
    <definedName name="_10__123Graph_Aｸﾞﾗﾌ_3" hidden="1">#REF!</definedName>
    <definedName name="_15__123Graph_Bｸﾞﾗﾌ_1" localSheetId="13" hidden="1">#REF!</definedName>
    <definedName name="_15__123Graph_Bｸﾞﾗﾌ_1" hidden="1">#REF!</definedName>
    <definedName name="_２_供給者区分別原油月別輸入___Crude_Oil_Import_by_Month_and_Supplier">#REF!</definedName>
    <definedName name="_20__123Graph_Bｸﾞﾗﾌ_2" localSheetId="13" hidden="1">#REF!</definedName>
    <definedName name="_20__123Graph_Bｸﾞﾗﾌ_2" hidden="1">#REF!</definedName>
    <definedName name="_25__123Graph_Bｸﾞﾗﾌ_3" localSheetId="13" hidden="1">#REF!</definedName>
    <definedName name="_25__123Graph_Bｸﾞﾗﾌ_3" hidden="1">#REF!</definedName>
    <definedName name="_３．石油輸入価格推移___Customs_Clearance_Prices_of_Crude_Oil_and_Petroleum_Products_CIF">#REF!</definedName>
    <definedName name="_30__123Graph_Cｸﾞﾗﾌ_1" localSheetId="13" hidden="1">#REF!</definedName>
    <definedName name="_30__123Graph_Cｸﾞﾗﾌ_1" hidden="1">#REF!</definedName>
    <definedName name="_35__123Graph_Cｸﾞﾗﾌ_2" localSheetId="13" hidden="1">#REF!</definedName>
    <definedName name="_35__123Graph_Cｸﾞﾗﾌ_2" hidden="1">#REF!</definedName>
    <definedName name="_４_国別_契約期間別原油輸入_平均ＡＰＩ及び平均硫黄分_平成23年度">#REF!</definedName>
    <definedName name="_40__123Graph_Dｸﾞﾗﾌ_1" localSheetId="13" hidden="1">#REF!</definedName>
    <definedName name="_40__123Graph_Dｸﾞﾗﾌ_1" hidden="1">#REF!</definedName>
    <definedName name="_45__123Graph_Dｸﾞﾗﾌ_2" localSheetId="13" hidden="1">#REF!</definedName>
    <definedName name="_45__123Graph_Dｸﾞﾗﾌ_2" hidden="1">#REF!</definedName>
    <definedName name="_5__123Graph_Aｸﾞﾗﾌ_1" localSheetId="13" hidden="1">#REF!</definedName>
    <definedName name="_5__123Graph_Aｸﾞﾗﾌ_1" hidden="1">#REF!</definedName>
    <definedName name="_50__123Graph_Eｸﾞﾗﾌ_2" localSheetId="13" hidden="1">#REF!</definedName>
    <definedName name="_50__123Graph_Eｸﾞﾗﾌ_2" hidden="1">#REF!</definedName>
    <definedName name="_55__123Graph_Xｸﾞﾗﾌ_3" localSheetId="13" hidden="1">#REF!</definedName>
    <definedName name="_55__123Graph_Xｸﾞﾗﾌ_3" hidden="1">#REF!</definedName>
    <definedName name="_6__労務___Labor">#REF!</definedName>
    <definedName name="_６_国別_契約期間別ＣＩＦ総額_平成23年度____Imported_Crude_Oil_value_CIF__by_Country_and_Contract_Ｆ.Y.2011">#REF!</definedName>
    <definedName name="_８_国別船積数量_FOB_運賃総額及び保険料総額_平成23年度">#REF!</definedName>
    <definedName name="aaa" hidden="1">#REF!</definedName>
    <definedName name="_xlnm.Print_Area" localSheetId="0">'●目次(Contents)●'!$A$1:$Z$40</definedName>
    <definedName name="_xlnm.Print_Area" localSheetId="1">'１（１）原油地域別、国別輸入'!$A$1:$R$106</definedName>
    <definedName name="_xlnm.Print_Area" localSheetId="2">'１（２）原油油種別輸入'!$A$1:$R$247</definedName>
    <definedName name="_xlnm.Print_Area" localSheetId="3">'１（３）非精製用出荷内訳'!$A$2:$R$110</definedName>
    <definedName name="_xlnm.Print_Area" localSheetId="4">'１（４）原油処理及び原油在庫'!$A$1:$U$79</definedName>
    <definedName name="_xlnm.Print_Area" localSheetId="5">'２（１）①石油製品需給総括暦年'!$A$1:$U$48</definedName>
    <definedName name="_xlnm.Print_Area" localSheetId="6">'２（１）②石油製品需給総括年度'!$A$1:$U$48</definedName>
    <definedName name="_xlnm.Print_Area" localSheetId="7">'２（２）①石油製品製造業者・輸入業者受払暦年'!$A$1:$U$45</definedName>
    <definedName name="_xlnm.Print_Area" localSheetId="8">'２（２）②石油製品製造業者・輸入業者受払年度'!$A$1:$U$44</definedName>
    <definedName name="_xlnm.Print_Area" localSheetId="9">'２（３）石油製品月別国内向販売'!$A$1:$W$42</definedName>
    <definedName name="_xlnm.Print_Area" localSheetId="11">'２（４）②石油製品国・地域別月別輸入'!$A$1:$W$430</definedName>
    <definedName name="_xlnm.Print_Area" localSheetId="12">'２（４）③石油製品月別輸出'!$A$1:$W$40</definedName>
    <definedName name="_xlnm.Print_Area" localSheetId="13">'２（４）④石油製品国・地域別月別輸出'!$A$1:$W$574</definedName>
    <definedName name="_xlnm.Print_Area" localSheetId="14">'２（５）石油製品月別業態別在庫'!$A$4:$V$60</definedName>
    <definedName name="_xlnm.Print_Area" localSheetId="15">'２（６）石油製品製造業者・輸入業者月別消費者･販売業者向販売'!$A$1:$W$40</definedName>
    <definedName name="_xlnm.Print_Area" localSheetId="16">'２（７）製造業者・輸入業者品種別、月別消費者・販売業者'!$A$2:$Z$45</definedName>
    <definedName name="_xlnm.Print_Area" localSheetId="17">'参考資料１、２備蓄量推移、輸入価格推移'!$A$1:$P$48</definedName>
    <definedName name="_xlnm.Print_Area" localSheetId="18">'参考資料３（１）（２）'!$A$1:$K$38,'参考資料３（１）（２）'!$L$41:$S$76</definedName>
    <definedName name="_xlnm.Print_Area" localSheetId="19">'参考資料３（３）（４）'!$A$1:$L$24,'参考資料３（３）（４）'!$A$26:$L$50</definedName>
    <definedName name="_xlnm.Print_Area" localSheetId="20">'参考資料３（５）（６）'!$A$1:$F$48</definedName>
    <definedName name="_xlnm.Print_Area" localSheetId="21">'参考資料３（７）（８）'!$A$1:$G$49</definedName>
    <definedName name="_xlnm.Print_Area" localSheetId="23">'参考資料４（２）液化天然ガス（LNG）国別、月別輸入量'!$A$1:$I$61</definedName>
    <definedName name="けんめい" localSheetId="13">#REF!</definedName>
    <definedName name="けんめい">#REF!</definedName>
    <definedName name="県名" localSheetId="13">#REF!</definedName>
    <definedName name="県名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0" i="390" l="1"/>
  <c r="F80" i="390"/>
  <c r="E80" i="390"/>
  <c r="B80" i="390"/>
  <c r="P44" i="390"/>
  <c r="N44" i="390"/>
  <c r="K44" i="390"/>
  <c r="J44" i="390"/>
  <c r="G44" i="390"/>
  <c r="E44" i="390"/>
  <c r="B44" i="390"/>
  <c r="P8" i="390"/>
  <c r="N8" i="390"/>
  <c r="M8" i="390"/>
  <c r="K8" i="390"/>
  <c r="I8" i="390"/>
  <c r="H8" i="390"/>
  <c r="E8" i="390"/>
  <c r="I217" i="389"/>
  <c r="H217" i="389"/>
  <c r="G217" i="389"/>
  <c r="F217" i="389"/>
  <c r="E217" i="389"/>
  <c r="D217" i="389"/>
  <c r="C217" i="389"/>
  <c r="B217" i="389"/>
  <c r="Q182" i="389"/>
  <c r="P182" i="389"/>
  <c r="M182" i="389"/>
  <c r="L182" i="389"/>
  <c r="K182" i="389"/>
  <c r="J182" i="389"/>
  <c r="I182" i="389"/>
  <c r="G182" i="389"/>
  <c r="E182" i="389"/>
  <c r="D182" i="389"/>
  <c r="B182" i="389"/>
  <c r="Q147" i="389"/>
  <c r="O147" i="389"/>
  <c r="N147" i="389"/>
  <c r="M147" i="389"/>
  <c r="J147" i="389"/>
  <c r="I147" i="389"/>
  <c r="H147" i="389"/>
  <c r="G147" i="389"/>
  <c r="F147" i="389"/>
  <c r="D147" i="389"/>
  <c r="B147" i="389"/>
  <c r="Q112" i="389"/>
  <c r="P112" i="389"/>
  <c r="N112" i="389"/>
  <c r="L112" i="389"/>
  <c r="K112" i="389"/>
  <c r="J112" i="389"/>
  <c r="I112" i="389"/>
  <c r="H112" i="389"/>
  <c r="G112" i="389"/>
  <c r="F112" i="389"/>
  <c r="D112" i="389"/>
  <c r="C112" i="389"/>
  <c r="Q77" i="389"/>
  <c r="P77" i="389"/>
  <c r="O77" i="389"/>
  <c r="N77" i="389"/>
  <c r="M77" i="389"/>
  <c r="K77" i="389"/>
  <c r="J77" i="389"/>
  <c r="I77" i="389"/>
  <c r="G77" i="389"/>
  <c r="F77" i="389"/>
  <c r="E77" i="389"/>
  <c r="D77" i="389"/>
  <c r="C77" i="389"/>
  <c r="Q42" i="389"/>
  <c r="P42" i="389"/>
  <c r="N42" i="389"/>
  <c r="M42" i="389"/>
  <c r="L42" i="389"/>
  <c r="K42" i="389"/>
  <c r="I42" i="389"/>
  <c r="H42" i="389"/>
  <c r="F42" i="389"/>
  <c r="E42" i="389"/>
  <c r="D42" i="389"/>
  <c r="C42" i="389"/>
  <c r="B42" i="389"/>
  <c r="Q7" i="389"/>
  <c r="P7" i="389"/>
  <c r="O7" i="389"/>
  <c r="M7" i="389"/>
  <c r="L7" i="389"/>
  <c r="K7" i="389"/>
  <c r="J7" i="389"/>
  <c r="I7" i="389"/>
  <c r="H7" i="389"/>
  <c r="G7" i="389"/>
  <c r="D7" i="389"/>
</calcChain>
</file>

<file path=xl/sharedStrings.xml><?xml version="1.0" encoding="utf-8"?>
<sst xmlns="http://schemas.openxmlformats.org/spreadsheetml/2006/main" count="16669" uniqueCount="1101">
  <si>
    <t>（１）石油製品需給総括 / Supply and Demand Summary of Petroleum Products</t>
    <phoneticPr fontId="14"/>
  </si>
  <si>
    <t>①月別輸入 / Import by Month</t>
    <phoneticPr fontId="14"/>
  </si>
  <si>
    <t>③月別輸出 / Export by Month</t>
    <phoneticPr fontId="14"/>
  </si>
  <si>
    <t>（２）石油製品製造業者 ・ 輸入業者受払 / Receipt and Shipment of Petroleum Products by Manufacturers and Importers</t>
    <phoneticPr fontId="14"/>
  </si>
  <si>
    <t>（２）原油油種別輸入 / Import by Kind of Crude Oil</t>
    <phoneticPr fontId="14"/>
  </si>
  <si>
    <t>※下線のある文字をクリックすると、統計表にジャンプします。</t>
    <rPh sb="1" eb="3">
      <t>カセン</t>
    </rPh>
    <rPh sb="6" eb="8">
      <t>モジ</t>
    </rPh>
    <rPh sb="17" eb="20">
      <t>トウケイヒョウ</t>
    </rPh>
    <phoneticPr fontId="14"/>
  </si>
  <si>
    <t>石　　油 / Ｐｅｔｒｏｌｅｕｍ</t>
    <phoneticPr fontId="14"/>
  </si>
  <si>
    <t>１．原油 / Crude Oil</t>
    <phoneticPr fontId="14"/>
  </si>
  <si>
    <t>（１）原油地域別、国別輸入 / Import of Crude Oil by Area and Country</t>
    <phoneticPr fontId="14"/>
  </si>
  <si>
    <t>２．石油製品 / Petroleum Products</t>
    <rPh sb="4" eb="6">
      <t>セイヒン</t>
    </rPh>
    <phoneticPr fontId="14"/>
  </si>
  <si>
    <t>２．石油輸入価格推移 / Customs Clearance Prices of Crude Oil and Petroleum Products(CIF)</t>
    <phoneticPr fontId="14"/>
  </si>
  <si>
    <t>ブルネイ</t>
  </si>
  <si>
    <t>イラク</t>
  </si>
  <si>
    <t>エクアドル</t>
  </si>
  <si>
    <t>スーダン</t>
  </si>
  <si>
    <t>アンゴラ</t>
  </si>
  <si>
    <t>Malaysia</t>
  </si>
  <si>
    <t>Brunei</t>
  </si>
  <si>
    <t>Indonesia</t>
  </si>
  <si>
    <t>Iraq</t>
  </si>
  <si>
    <t>Ecuador</t>
  </si>
  <si>
    <t>Africa</t>
  </si>
  <si>
    <t>Sudan</t>
  </si>
  <si>
    <t>Angola</t>
  </si>
  <si>
    <t>サウジアラビア</t>
  </si>
  <si>
    <t>クウェート</t>
  </si>
  <si>
    <t>カタール</t>
  </si>
  <si>
    <t>オマーン</t>
  </si>
  <si>
    <t>ロシア</t>
  </si>
  <si>
    <t>Saudi Arabia</t>
  </si>
  <si>
    <t>Kuwait</t>
  </si>
  <si>
    <t>Qatar</t>
  </si>
  <si>
    <t>Oman</t>
  </si>
  <si>
    <t>（２）原油油種別輸入 / Import by Kind of Crude Oil</t>
    <rPh sb="3" eb="5">
      <t>ゲンユ</t>
    </rPh>
    <phoneticPr fontId="14"/>
  </si>
  <si>
    <t>Viet Nam</t>
  </si>
  <si>
    <t>ｲﾝﾄﾞﾈｼｱ計</t>
  </si>
  <si>
    <t>ｼﾞｭﾘｰ</t>
  </si>
  <si>
    <t>ｽﾏﾄﾗ･ﾗｲﾄ</t>
  </si>
  <si>
    <t>Middle East</t>
  </si>
  <si>
    <t>ﾊﾞｽﾗ･ﾗｲﾄ</t>
  </si>
  <si>
    <t>ｻｳｼﾞｱﾗﾋﾞｱ計</t>
  </si>
  <si>
    <t>ｱﾗﾋﾞｱﾝ･ﾗｲﾄ</t>
  </si>
  <si>
    <t>ｱﾗﾋﾞｱﾝ･ﾍﾋﾞｰ</t>
  </si>
  <si>
    <t>ｱﾙ･ｼｬﾋｰﾝ</t>
  </si>
  <si>
    <t>ﾅｲﾙ</t>
  </si>
  <si>
    <t>Oceania</t>
  </si>
  <si>
    <t>Australia</t>
  </si>
  <si>
    <t>ﾗｲﾄ･ｾﾘｱ</t>
  </si>
  <si>
    <t>Total</t>
  </si>
  <si>
    <t>合計</t>
  </si>
  <si>
    <t>インドネシア</t>
  </si>
  <si>
    <t>アラブ首長国連邦</t>
  </si>
  <si>
    <t>オーストラリア</t>
  </si>
  <si>
    <t>マレーシア</t>
  </si>
  <si>
    <t>（３）非精製用出荷内訳 / Shipment of Crude Oil for Non-Refining</t>
    <phoneticPr fontId="14"/>
  </si>
  <si>
    <t>１．石油備蓄量推移 / Changes in Oil Stock</t>
    <phoneticPr fontId="14"/>
  </si>
  <si>
    <t>United States of America</t>
  </si>
  <si>
    <t>United Arab Emirates</t>
  </si>
  <si>
    <t>Russia</t>
  </si>
  <si>
    <t>メキシコ</t>
  </si>
  <si>
    <t>Mexico</t>
  </si>
  <si>
    <t>コロンビア</t>
  </si>
  <si>
    <t>Colombia</t>
  </si>
  <si>
    <t>カザフスタン</t>
  </si>
  <si>
    <t>Kazakhstan</t>
  </si>
  <si>
    <t>アメリカ合衆国</t>
  </si>
  <si>
    <t>Feb.</t>
  </si>
  <si>
    <t>Mar.</t>
  </si>
  <si>
    <t>Apr.</t>
  </si>
  <si>
    <t>Oct.</t>
  </si>
  <si>
    <t>Nov.</t>
  </si>
  <si>
    <t>Dec.</t>
  </si>
  <si>
    <t>Year,_x000D_
Quarter_x000D_
&amp; Month</t>
  </si>
  <si>
    <t>東・中央アジア_x000D_
計</t>
  </si>
  <si>
    <t>南方計</t>
  </si>
  <si>
    <t>中東計</t>
  </si>
  <si>
    <t>East and Central Asia</t>
  </si>
  <si>
    <t>South East Asia</t>
  </si>
  <si>
    <t xml:space="preserve">Q2  </t>
  </si>
  <si>
    <t xml:space="preserve">Q3  </t>
  </si>
  <si>
    <t xml:space="preserve">Q4  </t>
  </si>
  <si>
    <t xml:space="preserve">May </t>
  </si>
  <si>
    <t>Jun.</t>
  </si>
  <si>
    <t>Jul.</t>
  </si>
  <si>
    <t>Aug.</t>
  </si>
  <si>
    <t>Sep.</t>
  </si>
  <si>
    <t>→</t>
  </si>
  <si>
    <t>中東（つづき）</t>
  </si>
  <si>
    <t>中立地帯</t>
  </si>
  <si>
    <t>欧州計</t>
  </si>
  <si>
    <t>英国</t>
  </si>
  <si>
    <t>北米計</t>
  </si>
  <si>
    <t>中南米計</t>
  </si>
  <si>
    <t>Neutral Zone</t>
  </si>
  <si>
    <t>Europe</t>
  </si>
  <si>
    <t>United Kingdom</t>
  </si>
  <si>
    <t>North America</t>
  </si>
  <si>
    <t>Central and_x000D_
South_x000D_
America</t>
  </si>
  <si>
    <t>アフリカ計</t>
  </si>
  <si>
    <t>アルジェリア</t>
  </si>
  <si>
    <t>リビア</t>
  </si>
  <si>
    <t>大洋州計</t>
  </si>
  <si>
    <t>Algeria</t>
  </si>
  <si>
    <t>Libya</t>
  </si>
  <si>
    <t>大洋州（つづき）</t>
  </si>
  <si>
    <t>パプア_x000D_
ニューギニア</t>
  </si>
  <si>
    <t>Papua_x000D_
New Guinea</t>
  </si>
  <si>
    <t>ﾍﾞﾄﾅﾑ計</t>
  </si>
  <si>
    <t>ﾊﾞｯｸ･ﾎ</t>
  </si>
  <si>
    <t>ﾀﾞｲﾌﾝ</t>
  </si>
  <si>
    <t>ﾙﾋﾞｰ</t>
  </si>
  <si>
    <t>ｽﾂﾃﾞﾝ</t>
  </si>
  <si>
    <t>ﾁﾑ･ｻｵ</t>
  </si>
  <si>
    <t>南方（つづき）</t>
  </si>
  <si>
    <t>ﾏﾚｰｼｱ計</t>
  </si>
  <si>
    <t>ﾃﾞｭﾗﾝ</t>
  </si>
  <si>
    <t>ﾍﾟﾅﾗ･ﾌﾞﾚﾝﾄﾞ</t>
  </si>
  <si>
    <t>ｾﾊﾟﾄ</t>
  </si>
  <si>
    <t>ﾌﾞﾙﾈｲ計</t>
  </si>
  <si>
    <t>ﾍﾞﾙﾀﾑ</t>
  </si>
  <si>
    <t>ﾁｬﾝﾋﾟｵﾝ</t>
  </si>
  <si>
    <t>ｸｳｪｰﾄ計</t>
  </si>
  <si>
    <t>ｸｳｪｰﾄ</t>
  </si>
  <si>
    <t>ｶﾀｰﾙ計</t>
  </si>
  <si>
    <t>ｵﾏｰﾝ計</t>
  </si>
  <si>
    <t>ｱﾗﾌﾞ首長国_x000D_
連邦計</t>
  </si>
  <si>
    <t>ｶﾀｰﾙ</t>
  </si>
  <si>
    <t>ｶﾀｰﾙ･ﾏﾘｰﾝ</t>
  </si>
  <si>
    <t>ｵﾏｰﾝ</t>
  </si>
  <si>
    <t>United_x000D_
Arab Emirates</t>
  </si>
  <si>
    <t>ﾏｰﾊﾞﾝ</t>
  </si>
  <si>
    <t>英国_x000D_
United Kingdom</t>
  </si>
  <si>
    <t>ﾃﾞｭﾊﾞｲ</t>
  </si>
  <si>
    <t>ｱｯﾊﾟｰ･ｻﾞｸﾑ</t>
  </si>
  <si>
    <t>ﾀﾞｽ</t>
  </si>
  <si>
    <t>ﾌｫｰﾃｨｽﾞ</t>
  </si>
  <si>
    <t>ﾛｼｱ計</t>
  </si>
  <si>
    <t>ﾒｷｼｺ計</t>
  </si>
  <si>
    <t>ｿｺｰﾙ</t>
  </si>
  <si>
    <t>ｴｽﾎﾟ･ﾌﾞﾚﾝﾄﾞ</t>
  </si>
  <si>
    <t>ｻﾊﾘﾝ･ﾌﾞﾚﾝﾄﾞ</t>
  </si>
  <si>
    <t>North_x000D_
America</t>
  </si>
  <si>
    <t>ｲｽﾑｽ</t>
  </si>
  <si>
    <t>ｴｸｱﾄﾞﾙ計</t>
  </si>
  <si>
    <t>ｱﾌﾘｶ計</t>
  </si>
  <si>
    <t>ｱﾙｼﾞｪﾘｱ_x000D_
Algeria</t>
  </si>
  <si>
    <t>ﾏﾔ</t>
  </si>
  <si>
    <t>ｵﾘｴﾝﾃ</t>
  </si>
  <si>
    <t>ﾅﾎﾟ</t>
  </si>
  <si>
    <t>ｻﾊﾗ･ﾌﾞﾚﾝﾄﾞ</t>
  </si>
  <si>
    <t>ｵｰｽﾄﾗﾘｱ計</t>
  </si>
  <si>
    <t>ﾜﾝﾄﾞｩｰ</t>
  </si>
  <si>
    <t>ｽﾀｸﾞ</t>
  </si>
  <si>
    <t>年・期・月</t>
  </si>
  <si>
    <t>④国・地域別月別輸出 / Monthly Export by Area and Country</t>
    <rPh sb="1" eb="2">
      <t>クニ</t>
    </rPh>
    <rPh sb="3" eb="5">
      <t>チイキ</t>
    </rPh>
    <rPh sb="5" eb="6">
      <t>ベツ</t>
    </rPh>
    <phoneticPr fontId="14"/>
  </si>
  <si>
    <t>②国・地域別月別輸入 / Monthly Import by Area and Country</t>
    <rPh sb="1" eb="2">
      <t>クニ</t>
    </rPh>
    <rPh sb="3" eb="5">
      <t>チイキ</t>
    </rPh>
    <rPh sb="5" eb="6">
      <t>ベツ</t>
    </rPh>
    <phoneticPr fontId="14"/>
  </si>
  <si>
    <t>ｲｰｸﾞﾙ･ﾌｫｰﾄﾞ</t>
  </si>
  <si>
    <t>ｳｪｽﾄ･ﾌﾞｯｶ</t>
  </si>
  <si>
    <t>ｹﾀﾊﾟﾝ</t>
  </si>
  <si>
    <t>（３）非精製用出荷内訳 / Shipment of Crude Oil for Non-Refining</t>
    <rPh sb="9" eb="11">
      <t>ウチワケ</t>
    </rPh>
    <phoneticPr fontId="14"/>
  </si>
  <si>
    <t>電力用計</t>
  </si>
  <si>
    <t>Electric Power</t>
  </si>
  <si>
    <t>電力用（つづき）</t>
  </si>
  <si>
    <t>石油化学用計</t>
  </si>
  <si>
    <t>Petro Chemical</t>
  </si>
  <si>
    <t>その他用計</t>
  </si>
  <si>
    <t>ｱﾗﾌﾞ首長国連邦_x000D_
United Arab Emirates</t>
  </si>
  <si>
    <t>Other Industries</t>
  </si>
  <si>
    <t>ｲﾝﾄﾞﾈｼｱ_x000D_
Indonesia</t>
  </si>
  <si>
    <t>Lubricant Manufacturers</t>
  </si>
  <si>
    <t>計</t>
    <rPh sb="0" eb="1">
      <t>ケイ</t>
    </rPh>
    <phoneticPr fontId="14"/>
  </si>
  <si>
    <t>計</t>
  </si>
  <si>
    <t>採油業者</t>
    <rPh sb="0" eb="2">
      <t>サイユ</t>
    </rPh>
    <rPh sb="2" eb="4">
      <t>ギョウシャ</t>
    </rPh>
    <phoneticPr fontId="14"/>
  </si>
  <si>
    <t>その他業者</t>
  </si>
  <si>
    <t>潤滑油業者</t>
  </si>
  <si>
    <t>精製業者</t>
  </si>
  <si>
    <t>合計</t>
    <rPh sb="0" eb="2">
      <t>ゴウケイ</t>
    </rPh>
    <phoneticPr fontId="14"/>
  </si>
  <si>
    <t>②原油在庫 / Inventory of Crude Oil</t>
    <rPh sb="1" eb="3">
      <t>ゲンユ</t>
    </rPh>
    <rPh sb="3" eb="5">
      <t>ザイコ</t>
    </rPh>
    <phoneticPr fontId="14"/>
  </si>
  <si>
    <t>Refiners</t>
  </si>
  <si>
    <t xml:space="preserve">①原油処理 / Crude Oil Processing </t>
    <rPh sb="1" eb="3">
      <t>ゲンユ</t>
    </rPh>
    <rPh sb="3" eb="5">
      <t>ショリ</t>
    </rPh>
    <phoneticPr fontId="14"/>
  </si>
  <si>
    <t xml:space="preserve">（４）原油処理及び原油在庫 / Crude Oil Processing and Inventory </t>
    <rPh sb="3" eb="5">
      <t>ゲンユ</t>
    </rPh>
    <rPh sb="5" eb="7">
      <t>ショリ</t>
    </rPh>
    <rPh sb="7" eb="8">
      <t>オヨ</t>
    </rPh>
    <rPh sb="9" eb="11">
      <t>ゲンユ</t>
    </rPh>
    <rPh sb="11" eb="13">
      <t>ザイコ</t>
    </rPh>
    <phoneticPr fontId="14"/>
  </si>
  <si>
    <t>Manufacturers and Importers</t>
  </si>
  <si>
    <t>年末在庫計</t>
  </si>
  <si>
    <t>Other Shipments</t>
  </si>
  <si>
    <t>Own Consumption</t>
  </si>
  <si>
    <t>Exports</t>
  </si>
  <si>
    <t>Domestic Sales</t>
  </si>
  <si>
    <t>国内向販売</t>
    <rPh sb="2" eb="3">
      <t>ム</t>
    </rPh>
    <rPh sb="3" eb="5">
      <t>ハンバイ</t>
    </rPh>
    <phoneticPr fontId="51"/>
  </si>
  <si>
    <t>払出合計</t>
  </si>
  <si>
    <t>Other Receipts</t>
  </si>
  <si>
    <t>Imports</t>
  </si>
  <si>
    <t>Production Division</t>
  </si>
  <si>
    <t>受入合計</t>
  </si>
  <si>
    <t xml:space="preserve"> </t>
  </si>
  <si>
    <t>Inventory at Start of Year</t>
  </si>
  <si>
    <t>年初在庫計</t>
  </si>
  <si>
    <t>Paraffin Wax</t>
  </si>
  <si>
    <t>Grease</t>
  </si>
  <si>
    <t>Asphalt</t>
  </si>
  <si>
    <t>Kerosene</t>
  </si>
  <si>
    <t>Gasoline</t>
  </si>
  <si>
    <t>Ｂ・Ｃ重油</t>
    <rPh sb="3" eb="5">
      <t>ジュウユ</t>
    </rPh>
    <phoneticPr fontId="12"/>
  </si>
  <si>
    <t>Ａ重油</t>
    <rPh sb="1" eb="3">
      <t>ジュウユ</t>
    </rPh>
    <phoneticPr fontId="12"/>
  </si>
  <si>
    <t>　</t>
  </si>
  <si>
    <t>燃料油</t>
  </si>
  <si>
    <t>Category</t>
  </si>
  <si>
    <t>燃料油計</t>
    <rPh sb="3" eb="4">
      <t>ケイ</t>
    </rPh>
    <phoneticPr fontId="12"/>
  </si>
  <si>
    <t>２．石油製品 / Petroleum Products</t>
    <rPh sb="4" eb="6">
      <t>セイヒン</t>
    </rPh>
    <phoneticPr fontId="12"/>
  </si>
  <si>
    <t>Lubricating Oil</t>
  </si>
  <si>
    <t>Inventory at End of Year</t>
  </si>
  <si>
    <t>製造業者・輸入業者への販売・融通　</t>
    <rPh sb="7" eb="9">
      <t>ギョウシャ</t>
    </rPh>
    <phoneticPr fontId="22"/>
  </si>
  <si>
    <t>消費者･販売業者向販売</t>
    <rPh sb="0" eb="3">
      <t>ショウヒシャ</t>
    </rPh>
    <rPh sb="4" eb="6">
      <t>ハンバイ</t>
    </rPh>
    <rPh sb="6" eb="8">
      <t>ギョウシャ</t>
    </rPh>
    <rPh sb="8" eb="9">
      <t>ム</t>
    </rPh>
    <rPh sb="9" eb="11">
      <t>ハンバイ</t>
    </rPh>
    <phoneticPr fontId="22"/>
  </si>
  <si>
    <t>Return from Petrochemical Industry</t>
  </si>
  <si>
    <t>製造業者・輸入業者よりの購入・融通　</t>
    <rPh sb="7" eb="9">
      <t>ギョウシャ</t>
    </rPh>
    <rPh sb="12" eb="14">
      <t>コウニュウ</t>
    </rPh>
    <phoneticPr fontId="22"/>
  </si>
  <si>
    <t/>
  </si>
  <si>
    <t>オースト_x000D_
ラリア_x000D_
Australia</t>
  </si>
  <si>
    <t>ナイジェ_x000D_
リア_x000D_
Nigeria</t>
  </si>
  <si>
    <t>エジプト_x000D_
Egypt</t>
  </si>
  <si>
    <t>アルジェ_x000D_
リア_x000D_
Algeria</t>
  </si>
  <si>
    <t>ブラジル_x000D_
Brazil</t>
  </si>
  <si>
    <t>大洋州</t>
  </si>
  <si>
    <t>アフリカ</t>
  </si>
  <si>
    <t>ペルー_x000D_
Peru</t>
  </si>
  <si>
    <t>アメリカ_x000D_
合衆国_x000D_
United States of America</t>
  </si>
  <si>
    <t>ロシア_x000D_
Russia</t>
  </si>
  <si>
    <t>スペイン_x000D_
Spain</t>
  </si>
  <si>
    <t>フランス_x000D_
France</t>
  </si>
  <si>
    <t>ベルギー_x000D_
Belgium</t>
  </si>
  <si>
    <t>ノルウェー_x000D_
Norway</t>
  </si>
  <si>
    <t>オマーン_x000D_
Oman</t>
  </si>
  <si>
    <t>カタール_x000D_
Qatar</t>
  </si>
  <si>
    <t>インド_x000D_
ネシア_x000D_
Indonesia</t>
  </si>
  <si>
    <t>ブルネイ_x000D_
Brunei</t>
  </si>
  <si>
    <t>マレーシア_x000D_
Malaysia</t>
  </si>
  <si>
    <t>シンガ_x000D_
ポール_x000D_
Singapore</t>
  </si>
  <si>
    <t>大韓民国_x000D_
Republic of Korea</t>
  </si>
  <si>
    <t>南アメリカ</t>
  </si>
  <si>
    <t>北アメリカ</t>
  </si>
  <si>
    <t>ヨーロッパ</t>
  </si>
  <si>
    <t>アジア（つづき）</t>
  </si>
  <si>
    <t>アルゼン_x000D_
チン_x000D_
Argentina</t>
  </si>
  <si>
    <t>クウェート_x000D_
Kuwait</t>
  </si>
  <si>
    <t>サウジ_x000D_
アラビア_x000D_
Saudi Arabia</t>
  </si>
  <si>
    <t>バーレーン_x000D_
Bahrain</t>
  </si>
  <si>
    <t>アジア</t>
  </si>
  <si>
    <t>パナマ_x000D_
Panama</t>
  </si>
  <si>
    <t>B.B Total</t>
  </si>
  <si>
    <t>ブタン合計</t>
  </si>
  <si>
    <t>プロパン_x000D_
合計</t>
  </si>
  <si>
    <t>液化石油ガス（つづき）</t>
  </si>
  <si>
    <t>台湾_x000D_
Taiwan</t>
  </si>
  <si>
    <t>Liquefied Petroleum Gas Total</t>
  </si>
  <si>
    <t>カナダ_x000D_
Canada</t>
  </si>
  <si>
    <t>トルコ_x000D_
Turkey</t>
  </si>
  <si>
    <t>ドイツ_x000D_
Germany</t>
  </si>
  <si>
    <t>タイ_x000D_
Thailand</t>
  </si>
  <si>
    <t>香港_x000D_
Hong Kong</t>
  </si>
  <si>
    <t>Grease Total</t>
  </si>
  <si>
    <t>グリース_x000D_
合計</t>
  </si>
  <si>
    <t>イタリア_x000D_
Italy</t>
  </si>
  <si>
    <t>インド_x000D_
India</t>
  </si>
  <si>
    <t>Asphalt Total</t>
  </si>
  <si>
    <t>アスファルト_x000D_
合計</t>
  </si>
  <si>
    <t>潤滑油（つづき）</t>
  </si>
  <si>
    <t>スウェー_x000D_
デン_x000D_
Sweden</t>
  </si>
  <si>
    <t>Lubricating Oil Total</t>
  </si>
  <si>
    <t>潤滑油_x000D_
合計</t>
  </si>
  <si>
    <t>Fuel Oil A Total</t>
  </si>
  <si>
    <t>Gas Oil Total</t>
  </si>
  <si>
    <t>Ａ重油合計</t>
  </si>
  <si>
    <t>軽油合計</t>
  </si>
  <si>
    <t>Kerosene Total</t>
  </si>
  <si>
    <t>Jet Fuel Total</t>
  </si>
  <si>
    <t>アフリカ（つづき）</t>
  </si>
  <si>
    <t>灯油合計</t>
  </si>
  <si>
    <t>ナフサ（つづき）</t>
  </si>
  <si>
    <t>メキシコ_x000D_
Mexico</t>
  </si>
  <si>
    <t>ギリシャ_x000D_
Greece</t>
  </si>
  <si>
    <t>デンマーク_x000D_
Denmark</t>
  </si>
  <si>
    <t>バングラ_x000D_
デシュ_x000D_
Bangladesh</t>
  </si>
  <si>
    <t>スリランカ_x000D_
Sri Lanka</t>
  </si>
  <si>
    <t>パキスタン_x000D_
Pakistan</t>
  </si>
  <si>
    <t>フィリピン_x000D_
Philippines</t>
  </si>
  <si>
    <t>Naphtha Total</t>
  </si>
  <si>
    <t>Gasoline Total</t>
  </si>
  <si>
    <t>ナフサ合計</t>
  </si>
  <si>
    <t>ガソリン_x000D_
合計</t>
  </si>
  <si>
    <t>燃料油（つづき）</t>
  </si>
  <si>
    <t>燃料油_x000D_
合計</t>
  </si>
  <si>
    <t xml:space="preserve">   ②国・地域別月別輸入 / Monthly Import by Area and Country</t>
    <rPh sb="9" eb="11">
      <t>ツキベツ</t>
    </rPh>
    <rPh sb="11" eb="13">
      <t>ユニュウ</t>
    </rPh>
    <phoneticPr fontId="14"/>
  </si>
  <si>
    <t>年・期・月</t>
    <rPh sb="0" eb="1">
      <t>ネン</t>
    </rPh>
    <rPh sb="2" eb="3">
      <t>キ</t>
    </rPh>
    <rPh sb="4" eb="5">
      <t>ツキ</t>
    </rPh>
    <phoneticPr fontId="12"/>
  </si>
  <si>
    <t>ボンド_x000D_
Bonded Oil</t>
  </si>
  <si>
    <t>The U.S.Armed Forces &amp; Bonded Oil</t>
  </si>
  <si>
    <t>ケニア_x000D_
Kenya</t>
  </si>
  <si>
    <t>チリ_x000D_
Chile</t>
  </si>
  <si>
    <t>エクアドル_x000D_
Ecuador</t>
  </si>
  <si>
    <t>コロンビア_x000D_
Colombia</t>
  </si>
  <si>
    <t>ドミニカ_x000D_
Dominica</t>
  </si>
  <si>
    <t>パラフィン（つづき）</t>
  </si>
  <si>
    <t>グアテマラ_x000D_
Guatemala</t>
  </si>
  <si>
    <t>ハンガリー_x000D_
Hungary</t>
  </si>
  <si>
    <t>ベトナム_x000D_
Viet Nam</t>
  </si>
  <si>
    <t>グリース（つづき）</t>
  </si>
  <si>
    <t>ジョージア_x000D_
Georgia</t>
  </si>
  <si>
    <t>レバノン_x000D_
Lebanon</t>
  </si>
  <si>
    <t>イスラエル_x000D_
Israel</t>
  </si>
  <si>
    <t>ミャンマー_x000D_
Myanmar</t>
  </si>
  <si>
    <t>モンゴル_x000D_
Mongolia</t>
  </si>
  <si>
    <t>米軍_x000D_
The U.S.Armed Forces</t>
  </si>
  <si>
    <t>パラオ_x000D_
Palau</t>
  </si>
  <si>
    <t>グアム（米）_x000D_
Guam (USA)</t>
  </si>
  <si>
    <t>軽油（つづき）</t>
  </si>
  <si>
    <t>ジェット燃料油（つづき）</t>
  </si>
  <si>
    <t>ガソリン（つづき）</t>
  </si>
  <si>
    <t>M &amp; I</t>
  </si>
  <si>
    <t>製造・輸入業者</t>
  </si>
  <si>
    <t>製油所</t>
  </si>
  <si>
    <t>1月</t>
  </si>
  <si>
    <t>（５）石油製品月別業態別在庫 / Monthly Inventory of Petroleum Products by Type of Business</t>
    <rPh sb="11" eb="12">
      <t>ベツ</t>
    </rPh>
    <phoneticPr fontId="12"/>
  </si>
  <si>
    <t xml:space="preserve">    表番→年報P114-115（業態別在庫）　(様式改善案 ： 石油製品　+　液化石油ガス)</t>
    <rPh sb="18" eb="20">
      <t>ギョウタイ</t>
    </rPh>
    <rPh sb="20" eb="21">
      <t>ベツ</t>
    </rPh>
    <rPh sb="21" eb="23">
      <t>ザイコ</t>
    </rPh>
    <rPh sb="26" eb="28">
      <t>ヨウシキ</t>
    </rPh>
    <rPh sb="28" eb="30">
      <t>カイゼン</t>
    </rPh>
    <rPh sb="30" eb="31">
      <t>アン</t>
    </rPh>
    <rPh sb="34" eb="36">
      <t>セキユ</t>
    </rPh>
    <rPh sb="36" eb="38">
      <t>セイヒン</t>
    </rPh>
    <phoneticPr fontId="12"/>
  </si>
  <si>
    <t>その他特定用途向け</t>
  </si>
  <si>
    <t>油</t>
    <rPh sb="0" eb="1">
      <t>ユ</t>
    </rPh>
    <phoneticPr fontId="76"/>
  </si>
  <si>
    <t>ディーゼルエンジン油</t>
  </si>
  <si>
    <t>滑</t>
    <rPh sb="0" eb="1">
      <t>ヌメ</t>
    </rPh>
    <phoneticPr fontId="76"/>
  </si>
  <si>
    <t>潤</t>
    <rPh sb="0" eb="1">
      <t>ジュン</t>
    </rPh>
    <phoneticPr fontId="76"/>
  </si>
  <si>
    <t>消費者　　　・販売　　業者向　　販売</t>
    <rPh sb="0" eb="3">
      <t>ショウヒシャ</t>
    </rPh>
    <rPh sb="7" eb="9">
      <t>ハンバイ</t>
    </rPh>
    <rPh sb="11" eb="13">
      <t>ギョウシャ</t>
    </rPh>
    <rPh sb="13" eb="14">
      <t>ム</t>
    </rPh>
    <rPh sb="16" eb="18">
      <t>ハンバイ</t>
    </rPh>
    <phoneticPr fontId="76"/>
  </si>
  <si>
    <t>そ　の　他　</t>
    <rPh sb="4" eb="5">
      <t>タ</t>
    </rPh>
    <phoneticPr fontId="76"/>
  </si>
  <si>
    <t>石油化学用</t>
  </si>
  <si>
    <t>自動車用並級</t>
  </si>
  <si>
    <t>自動車用高級</t>
  </si>
  <si>
    <r>
      <t>（７）製造業者</t>
    </r>
    <r>
      <rPr>
        <sz val="8"/>
        <rFont val="ＭＳ Ｐゴシック"/>
        <family val="3"/>
        <charset val="128"/>
      </rPr>
      <t>・</t>
    </r>
    <r>
      <rPr>
        <sz val="10"/>
        <rFont val="ＭＳ Ｐゴシック"/>
        <family val="3"/>
        <charset val="128"/>
      </rPr>
      <t>輸入業者品種別、月別消費者</t>
    </r>
    <r>
      <rPr>
        <sz val="8"/>
        <rFont val="ＭＳ Ｐゴシック"/>
        <family val="3"/>
        <charset val="128"/>
      </rPr>
      <t>・</t>
    </r>
    <r>
      <rPr>
        <sz val="10"/>
        <rFont val="ＭＳ Ｐゴシック"/>
        <family val="3"/>
        <charset val="128"/>
      </rPr>
      <t>販売業者向販売及び在庫内訳 /</t>
    </r>
    <rPh sb="22" eb="23">
      <t>ハン</t>
    </rPh>
    <rPh sb="23" eb="24">
      <t>バイ</t>
    </rPh>
    <rPh sb="24" eb="25">
      <t>ギョウ</t>
    </rPh>
    <rPh sb="25" eb="26">
      <t>モノ</t>
    </rPh>
    <rPh sb="26" eb="27">
      <t>ムカイ</t>
    </rPh>
    <phoneticPr fontId="76"/>
  </si>
  <si>
    <t xml:space="preserve">         3</t>
  </si>
  <si>
    <t xml:space="preserve">         2</t>
  </si>
  <si>
    <t xml:space="preserve">        12</t>
  </si>
  <si>
    <t xml:space="preserve">        11</t>
  </si>
  <si>
    <t xml:space="preserve">        10</t>
  </si>
  <si>
    <t xml:space="preserve">         9</t>
  </si>
  <si>
    <t xml:space="preserve">         8</t>
  </si>
  <si>
    <t xml:space="preserve">         7</t>
  </si>
  <si>
    <t xml:space="preserve">         6</t>
  </si>
  <si>
    <t xml:space="preserve">         4</t>
  </si>
  <si>
    <t>Oil Producer Country's Government</t>
  </si>
  <si>
    <t>American Independence</t>
  </si>
  <si>
    <t>Majors</t>
  </si>
  <si>
    <t>メジャーズ</t>
  </si>
  <si>
    <t>スポット契約</t>
    <rPh sb="4" eb="6">
      <t>ケイヤク</t>
    </rPh>
    <phoneticPr fontId="14"/>
  </si>
  <si>
    <t>長期契約</t>
    <rPh sb="0" eb="2">
      <t>チョウキ</t>
    </rPh>
    <rPh sb="2" eb="4">
      <t>ケイヤク</t>
    </rPh>
    <phoneticPr fontId="14"/>
  </si>
  <si>
    <t xml:space="preserve">スポット比率   </t>
  </si>
  <si>
    <t xml:space="preserve">合計             </t>
  </si>
  <si>
    <t>平均　　API度</t>
    <rPh sb="7" eb="8">
      <t>ド</t>
    </rPh>
    <phoneticPr fontId="14"/>
  </si>
  <si>
    <r>
      <t>CIF総額（千ドル）                                        Value（CIF）(10</t>
    </r>
    <r>
      <rPr>
        <vertAlign val="superscript"/>
        <sz val="8"/>
        <rFont val="ＭＳ Ｐ明朝"/>
        <family val="1"/>
        <charset val="128"/>
      </rPr>
      <t>3</t>
    </r>
    <r>
      <rPr>
        <sz val="8"/>
        <rFont val="ＭＳ Ｐ明朝"/>
        <family val="1"/>
        <charset val="128"/>
      </rPr>
      <t>＄）</t>
    </r>
    <rPh sb="3" eb="5">
      <t>ソウガク</t>
    </rPh>
    <rPh sb="6" eb="7">
      <t>セン</t>
    </rPh>
    <phoneticPr fontId="14"/>
  </si>
  <si>
    <t>年・期・月</t>
    <rPh sb="0" eb="1">
      <t>ネン</t>
    </rPh>
    <rPh sb="2" eb="3">
      <t>キ</t>
    </rPh>
    <rPh sb="4" eb="5">
      <t>ツキ</t>
    </rPh>
    <phoneticPr fontId="14"/>
  </si>
  <si>
    <t>Others</t>
  </si>
  <si>
    <t>その他</t>
  </si>
  <si>
    <t>X</t>
  </si>
  <si>
    <t>合　　　　計</t>
    <rPh sb="0" eb="1">
      <t>ゴウ</t>
    </rPh>
    <rPh sb="5" eb="6">
      <t>ケイ</t>
    </rPh>
    <phoneticPr fontId="14"/>
  </si>
  <si>
    <t>国名</t>
    <rPh sb="0" eb="1">
      <t>クニ</t>
    </rPh>
    <rPh sb="1" eb="2">
      <t>ナ</t>
    </rPh>
    <phoneticPr fontId="14"/>
  </si>
  <si>
    <t>区分</t>
    <rPh sb="0" eb="2">
      <t>クブン</t>
    </rPh>
    <phoneticPr fontId="14"/>
  </si>
  <si>
    <t>国名</t>
    <rPh sb="0" eb="1">
      <t>クニ</t>
    </rPh>
    <rPh sb="1" eb="2">
      <t>メイ</t>
    </rPh>
    <phoneticPr fontId="14"/>
  </si>
  <si>
    <t>保険料総額</t>
    <rPh sb="0" eb="3">
      <t>ホケンリョウ</t>
    </rPh>
    <rPh sb="3" eb="5">
      <t>ソウガク</t>
    </rPh>
    <phoneticPr fontId="14"/>
  </si>
  <si>
    <t>運賃総額</t>
    <rPh sb="0" eb="2">
      <t>ウンチン</t>
    </rPh>
    <rPh sb="2" eb="4">
      <t>ソウガク</t>
    </rPh>
    <phoneticPr fontId="14"/>
  </si>
  <si>
    <t>船積数量</t>
    <rPh sb="0" eb="1">
      <t>フネ</t>
    </rPh>
    <rPh sb="1" eb="2">
      <t>ツミ</t>
    </rPh>
    <rPh sb="2" eb="4">
      <t>スウリョウ</t>
    </rPh>
    <phoneticPr fontId="14"/>
  </si>
  <si>
    <t>合　　　　計</t>
  </si>
  <si>
    <t>液化天然ガス   　　　　　　　　　　　　　　LNG</t>
    <rPh sb="0" eb="2">
      <t>エキカ</t>
    </rPh>
    <rPh sb="2" eb="4">
      <t>テンネン</t>
    </rPh>
    <phoneticPr fontId="14"/>
  </si>
  <si>
    <t>液化石油ガス   　　　　　　　　　　　　　　LPG</t>
    <rPh sb="0" eb="2">
      <t>エキカ</t>
    </rPh>
    <rPh sb="2" eb="4">
      <t>セキユ</t>
    </rPh>
    <phoneticPr fontId="14"/>
  </si>
  <si>
    <t>Ｃ重油   　　　　　　　　　　 Fuel Oil C</t>
    <rPh sb="1" eb="3">
      <t>ジュウユ</t>
    </rPh>
    <phoneticPr fontId="14"/>
  </si>
  <si>
    <t>Ａ重油　　　　　　　　　　　 Fuel Oil A</t>
    <rPh sb="1" eb="3">
      <t>ジュウユ</t>
    </rPh>
    <phoneticPr fontId="14"/>
  </si>
  <si>
    <t>原油     　　　　　　　　　　　　　　　　　　　　　　　　　　　　　　　　　　Crude Oil</t>
    <rPh sb="0" eb="2">
      <t>ゲンユ</t>
    </rPh>
    <phoneticPr fontId="14"/>
  </si>
  <si>
    <t>年  月</t>
    <rPh sb="0" eb="1">
      <t>ネン</t>
    </rPh>
    <rPh sb="3" eb="4">
      <t>ツキ</t>
    </rPh>
    <phoneticPr fontId="14"/>
  </si>
  <si>
    <t>２．石油輸入価格推移 / Customs Clearance Prices of Crude Oil and Petroleum Products(CIF)</t>
    <rPh sb="2" eb="3">
      <t>イシ</t>
    </rPh>
    <rPh sb="3" eb="4">
      <t>ユ</t>
    </rPh>
    <rPh sb="4" eb="5">
      <t>ユ</t>
    </rPh>
    <rPh sb="5" eb="6">
      <t>イリ</t>
    </rPh>
    <rPh sb="6" eb="7">
      <t>アタイ</t>
    </rPh>
    <rPh sb="7" eb="8">
      <t>カク</t>
    </rPh>
    <rPh sb="8" eb="10">
      <t>スイイ</t>
    </rPh>
    <phoneticPr fontId="14"/>
  </si>
  <si>
    <t>製品
 Products</t>
    <rPh sb="0" eb="2">
      <t>セイヒン</t>
    </rPh>
    <phoneticPr fontId="14"/>
  </si>
  <si>
    <t>原油
Crude  Oil</t>
    <rPh sb="0" eb="2">
      <t>ゲンユ</t>
    </rPh>
    <phoneticPr fontId="14"/>
  </si>
  <si>
    <t>計   Total</t>
    <rPh sb="0" eb="1">
      <t>ケイ</t>
    </rPh>
    <phoneticPr fontId="14"/>
  </si>
  <si>
    <t>合計   Total</t>
    <rPh sb="0" eb="2">
      <t>ゴウケイ</t>
    </rPh>
    <phoneticPr fontId="14"/>
  </si>
  <si>
    <t>産油国共同備蓄     Joint oil storage projects</t>
    <rPh sb="0" eb="3">
      <t>サンユコク</t>
    </rPh>
    <rPh sb="3" eb="5">
      <t>キョウドウ</t>
    </rPh>
    <rPh sb="5" eb="7">
      <t>ビチク</t>
    </rPh>
    <phoneticPr fontId="14"/>
  </si>
  <si>
    <t>国家備蓄          Government</t>
    <rPh sb="0" eb="2">
      <t>コッカ</t>
    </rPh>
    <rPh sb="2" eb="4">
      <t>ビチク</t>
    </rPh>
    <phoneticPr fontId="14"/>
  </si>
  <si>
    <t>民間備蓄   Private</t>
    <rPh sb="0" eb="2">
      <t>ミンカン</t>
    </rPh>
    <rPh sb="2" eb="4">
      <t>ビチク</t>
    </rPh>
    <phoneticPr fontId="14"/>
  </si>
  <si>
    <t>１．石油備蓄量推移 / Changes in Oil Stock</t>
    <rPh sb="2" eb="3">
      <t>イシ</t>
    </rPh>
    <rPh sb="3" eb="4">
      <t>ユ</t>
    </rPh>
    <rPh sb="4" eb="6">
      <t>ビチク</t>
    </rPh>
    <rPh sb="6" eb="7">
      <t>リョウ</t>
    </rPh>
    <rPh sb="7" eb="8">
      <t>スイ</t>
    </rPh>
    <rPh sb="8" eb="9">
      <t>ウツリ</t>
    </rPh>
    <phoneticPr fontId="14"/>
  </si>
  <si>
    <t>料</t>
    <rPh sb="0" eb="1">
      <t>リョウ</t>
    </rPh>
    <phoneticPr fontId="14"/>
  </si>
  <si>
    <t>資</t>
    <rPh sb="0" eb="1">
      <t>シ</t>
    </rPh>
    <phoneticPr fontId="14"/>
  </si>
  <si>
    <t>考</t>
    <rPh sb="0" eb="1">
      <t>コウ</t>
    </rPh>
    <phoneticPr fontId="14"/>
  </si>
  <si>
    <t>参</t>
    <rPh sb="0" eb="1">
      <t>サン</t>
    </rPh>
    <phoneticPr fontId="14"/>
  </si>
  <si>
    <t>バーレーン</t>
  </si>
  <si>
    <t>Bahrain</t>
  </si>
  <si>
    <t>モザンビーク</t>
  </si>
  <si>
    <t>Mozambique</t>
  </si>
  <si>
    <t>ﾊﾞｰﾚｰﾝ_x000D_
Bahrain</t>
  </si>
  <si>
    <t>ﾑﾊﾞﾗｽ･ｸﾙｰﾄﾞ</t>
  </si>
  <si>
    <t>WTIﾐｯﾄﾞﾗﾝﾄﾞ</t>
  </si>
  <si>
    <t>ﾏｰｽﾞ</t>
  </si>
  <si>
    <t>ﾓｻﾞﾝﾋﾞｰｸ_x000D_
Mozambique</t>
  </si>
  <si>
    <t>マーシャル_x000D_
Marshall</t>
  </si>
  <si>
    <t>→</t>
    <phoneticPr fontId="14"/>
  </si>
  <si>
    <t>製品換算
Products Equivalent</t>
    <rPh sb="0" eb="2">
      <t>セイヒン</t>
    </rPh>
    <rPh sb="2" eb="4">
      <t>カンサン</t>
    </rPh>
    <phoneticPr fontId="14"/>
  </si>
  <si>
    <t>製品換算 
Products Equivalent</t>
    <rPh sb="0" eb="2">
      <t>セイヒン</t>
    </rPh>
    <rPh sb="2" eb="4">
      <t>カンサン</t>
    </rPh>
    <phoneticPr fontId="14"/>
  </si>
  <si>
    <t>ｳﾑﾙﾙ</t>
  </si>
  <si>
    <t>ｵﾛﾑﾍﾞﾝﾄﾞ</t>
  </si>
  <si>
    <t>Feb.</t>
    <phoneticPr fontId="35"/>
  </si>
  <si>
    <t>Mar.</t>
    <phoneticPr fontId="35"/>
  </si>
  <si>
    <t>Apr.</t>
    <phoneticPr fontId="35"/>
  </si>
  <si>
    <t>Jun.</t>
    <phoneticPr fontId="35"/>
  </si>
  <si>
    <t>Jul.</t>
    <phoneticPr fontId="35"/>
  </si>
  <si>
    <t>Aug.</t>
    <phoneticPr fontId="35"/>
  </si>
  <si>
    <t>Sep.</t>
    <phoneticPr fontId="35"/>
  </si>
  <si>
    <t>Oct.</t>
    <phoneticPr fontId="35"/>
  </si>
  <si>
    <t>Nov.</t>
    <phoneticPr fontId="35"/>
  </si>
  <si>
    <t>Dec.</t>
    <phoneticPr fontId="35"/>
  </si>
  <si>
    <t xml:space="preserve">May </t>
    <phoneticPr fontId="14"/>
  </si>
  <si>
    <t>Year                &amp; Month</t>
  </si>
  <si>
    <t>May</t>
  </si>
  <si>
    <t>ナフサ   　　　　　　　　　　　　　　　　　　　　　　　　　　　　　　　　　　　　　　　　　Naphtha</t>
  </si>
  <si>
    <t>Year                                  &amp; Month</t>
  </si>
  <si>
    <t>平均　　硫黄分</t>
    <phoneticPr fontId="14"/>
  </si>
  <si>
    <t xml:space="preserve">長期契約   </t>
    <phoneticPr fontId="14"/>
  </si>
  <si>
    <t>スポット契約</t>
    <phoneticPr fontId="14"/>
  </si>
  <si>
    <t>Total</t>
    <phoneticPr fontId="14"/>
  </si>
  <si>
    <t>Spot Ratio
(%)</t>
    <phoneticPr fontId="14"/>
  </si>
  <si>
    <t>Term Contract</t>
    <phoneticPr fontId="14"/>
  </si>
  <si>
    <t>Spot Contract</t>
    <phoneticPr fontId="14"/>
  </si>
  <si>
    <t>Average Sulfur
（ｗｔ%）</t>
    <phoneticPr fontId="14"/>
  </si>
  <si>
    <t>Q2</t>
    <phoneticPr fontId="14"/>
  </si>
  <si>
    <t>Q3</t>
    <phoneticPr fontId="14"/>
  </si>
  <si>
    <t>Q4</t>
    <phoneticPr fontId="14"/>
  </si>
  <si>
    <t>Mar.</t>
    <phoneticPr fontId="14"/>
  </si>
  <si>
    <t xml:space="preserve">米系以外の　    独立会社   </t>
    <phoneticPr fontId="14"/>
  </si>
  <si>
    <t>産油国政府</t>
    <phoneticPr fontId="14"/>
  </si>
  <si>
    <t xml:space="preserve">邦系石油
開発会社       </t>
    <phoneticPr fontId="14"/>
  </si>
  <si>
    <t>Non American Independence</t>
    <phoneticPr fontId="14"/>
  </si>
  <si>
    <t>Japanese
 Oil Developer</t>
    <phoneticPr fontId="14"/>
  </si>
  <si>
    <t>参考資料 / Ｒｅｆｅｒｅｎｃｅ</t>
    <rPh sb="0" eb="2">
      <t>サンコウ</t>
    </rPh>
    <rPh sb="2" eb="4">
      <t>シリョウ</t>
    </rPh>
    <phoneticPr fontId="14"/>
  </si>
  <si>
    <t>（５）石油製品月別業態別在庫 / Monthly Inventory of Petroleum Products by Type of Business</t>
    <phoneticPr fontId="14"/>
  </si>
  <si>
    <t>（２）原油供給者区分別、月別輸入 /Import of Crude Oil  by Month and Supplier</t>
    <rPh sb="3" eb="5">
      <t>ゲンユ</t>
    </rPh>
    <phoneticPr fontId="14"/>
  </si>
  <si>
    <t>カナダ</t>
  </si>
  <si>
    <t>Canada</t>
  </si>
  <si>
    <t>ﾏﾚｰｼｱ（つづき）</t>
  </si>
  <si>
    <t>ｶﾅﾀﾞ_x000D_
Canada</t>
  </si>
  <si>
    <t>ｺｰﾙﾄﾞ･ﾚｲｸ</t>
  </si>
  <si>
    <t>ﾘﾋﾞｱ計</t>
  </si>
  <si>
    <t>ｱﾑﾅ</t>
  </si>
  <si>
    <t>ﾌﾞ･ｱﾃｨﾌﾙ</t>
  </si>
  <si>
    <t>（１）石油製品需給総括 / Supply and Demand Summary of Petroleum Products</t>
    <phoneticPr fontId="12"/>
  </si>
  <si>
    <t>区　分</t>
    <phoneticPr fontId="12"/>
  </si>
  <si>
    <t>ガソリン</t>
    <phoneticPr fontId="12"/>
  </si>
  <si>
    <t>ナフサ</t>
    <phoneticPr fontId="12"/>
  </si>
  <si>
    <t>ジェット</t>
    <phoneticPr fontId="12"/>
  </si>
  <si>
    <t>灯油</t>
    <phoneticPr fontId="12"/>
  </si>
  <si>
    <t>軽油</t>
    <phoneticPr fontId="12"/>
  </si>
  <si>
    <t>重油</t>
    <phoneticPr fontId="12"/>
  </si>
  <si>
    <t>潤滑油</t>
    <phoneticPr fontId="22"/>
  </si>
  <si>
    <t>アスファルト</t>
    <phoneticPr fontId="22"/>
  </si>
  <si>
    <t>グリース</t>
    <phoneticPr fontId="22"/>
  </si>
  <si>
    <t>パラフィン</t>
    <phoneticPr fontId="22"/>
  </si>
  <si>
    <t>　液化石油ガス</t>
    <phoneticPr fontId="12"/>
  </si>
  <si>
    <t>P・P, P・B</t>
    <phoneticPr fontId="22"/>
  </si>
  <si>
    <t>B・B</t>
    <phoneticPr fontId="12"/>
  </si>
  <si>
    <t>Gas Oil</t>
    <phoneticPr fontId="12"/>
  </si>
  <si>
    <t>Lubricating
 Oil</t>
    <phoneticPr fontId="12"/>
  </si>
  <si>
    <t>Increase in Quantity by Conversion to Another Product</t>
    <phoneticPr fontId="12"/>
  </si>
  <si>
    <t>Return from Petrochemical Industry</t>
    <phoneticPr fontId="12"/>
  </si>
  <si>
    <t>その他の受入量</t>
    <phoneticPr fontId="12"/>
  </si>
  <si>
    <t>Decrease in Quantity by Conversion to Another Product</t>
    <phoneticPr fontId="12"/>
  </si>
  <si>
    <t>Naphtha</t>
    <phoneticPr fontId="12"/>
  </si>
  <si>
    <t>Jet Fuel</t>
    <phoneticPr fontId="12"/>
  </si>
  <si>
    <t>Fuel Oil A</t>
    <phoneticPr fontId="12"/>
  </si>
  <si>
    <t>Fuel Oil              B･C</t>
    <phoneticPr fontId="12"/>
  </si>
  <si>
    <t>LPG</t>
    <phoneticPr fontId="12"/>
  </si>
  <si>
    <t>製油所在庫</t>
    <phoneticPr fontId="12"/>
  </si>
  <si>
    <t>Total Receipts</t>
    <phoneticPr fontId="12"/>
  </si>
  <si>
    <t>輸入</t>
    <phoneticPr fontId="12"/>
  </si>
  <si>
    <t>Total Shipments</t>
    <phoneticPr fontId="12"/>
  </si>
  <si>
    <t>輸出</t>
    <phoneticPr fontId="12"/>
  </si>
  <si>
    <t>自家消費</t>
    <phoneticPr fontId="12"/>
  </si>
  <si>
    <t>その他の払出量</t>
    <phoneticPr fontId="12"/>
  </si>
  <si>
    <t xml:space="preserve">Inventory at End of Year </t>
    <phoneticPr fontId="12"/>
  </si>
  <si>
    <t>　　　  Ｂ・Ｂ＝ブタン・ブチレンを主成分とするもの。</t>
    <phoneticPr fontId="49"/>
  </si>
  <si>
    <t xml:space="preserve">      Receipt and Shipment of Petroleum Products by Manufacturers and Importers</t>
    <phoneticPr fontId="22"/>
  </si>
  <si>
    <t>Lubricating
 Oil</t>
    <phoneticPr fontId="22"/>
  </si>
  <si>
    <t>輸出</t>
    <phoneticPr fontId="22"/>
  </si>
  <si>
    <t>Decrease in Quantity by Conversion to Another Product</t>
    <phoneticPr fontId="22"/>
  </si>
  <si>
    <t xml:space="preserve">自家消費  </t>
    <phoneticPr fontId="22"/>
  </si>
  <si>
    <t>　液化石油ガス</t>
    <phoneticPr fontId="22"/>
  </si>
  <si>
    <t>Fuel Oil
 B･C</t>
    <phoneticPr fontId="12"/>
  </si>
  <si>
    <t>Increase in Quantity by Conversion to Another Product</t>
    <phoneticPr fontId="22"/>
  </si>
  <si>
    <t>Other Received</t>
    <phoneticPr fontId="22"/>
  </si>
  <si>
    <t>Sales to Consumers, Wholesalers and Retailers</t>
    <phoneticPr fontId="22"/>
  </si>
  <si>
    <t xml:space="preserve">Sales or Loans to Manufacturers and Importers </t>
    <phoneticPr fontId="22"/>
  </si>
  <si>
    <t xml:space="preserve">Year,           Quarter                             &amp; Month 
</t>
    <phoneticPr fontId="12"/>
  </si>
  <si>
    <t>年・期・月</t>
    <phoneticPr fontId="12"/>
  </si>
  <si>
    <t>　　  Ｂ・Ｂ＝ブタン・ブチレンを主成分とするもの。</t>
    <phoneticPr fontId="49"/>
  </si>
  <si>
    <t>　液化石油ガス</t>
    <phoneticPr fontId="65"/>
  </si>
  <si>
    <t>アゼルバイジャン_x000D_
Azerbaijan</t>
  </si>
  <si>
    <t>ラトビア_x000D_
Latvia</t>
  </si>
  <si>
    <t>パラグアイ_x000D_
Paraguay</t>
  </si>
  <si>
    <t>区　分</t>
    <phoneticPr fontId="76"/>
  </si>
  <si>
    <t xml:space="preserve">    Premium Gasoline </t>
    <phoneticPr fontId="76"/>
  </si>
  <si>
    <t xml:space="preserve">    Regular Gasoline </t>
    <phoneticPr fontId="76"/>
  </si>
  <si>
    <t>末在庫</t>
    <phoneticPr fontId="76"/>
  </si>
  <si>
    <t>ン</t>
    <phoneticPr fontId="76"/>
  </si>
  <si>
    <t xml:space="preserve">    Gasoline Engine Oil</t>
    <phoneticPr fontId="76"/>
  </si>
  <si>
    <t xml:space="preserve">    Other Lubricating Oil for Automobile</t>
    <phoneticPr fontId="76"/>
  </si>
  <si>
    <t>機　　　械　　　油</t>
    <phoneticPr fontId="76"/>
  </si>
  <si>
    <t>Year，                       Quarter 
&amp; Month</t>
    <phoneticPr fontId="14"/>
  </si>
  <si>
    <t>年・期・月</t>
    <phoneticPr fontId="14"/>
  </si>
  <si>
    <t xml:space="preserve"> 合計     </t>
    <phoneticPr fontId="14"/>
  </si>
  <si>
    <t>Year,                       Quarter 
&amp; Month</t>
    <phoneticPr fontId="14"/>
  </si>
  <si>
    <t>平均     API度</t>
    <phoneticPr fontId="14"/>
  </si>
  <si>
    <t>Avg. API gravity</t>
    <phoneticPr fontId="14"/>
  </si>
  <si>
    <t>Spot    Ratio (%)</t>
    <phoneticPr fontId="14"/>
  </si>
  <si>
    <t>(バレル)</t>
    <phoneticPr fontId="14"/>
  </si>
  <si>
    <t>(ﾄﾞﾙ/バレル)</t>
    <phoneticPr fontId="14"/>
  </si>
  <si>
    <r>
      <t>（10</t>
    </r>
    <r>
      <rPr>
        <vertAlign val="superscript"/>
        <sz val="8"/>
        <rFont val="ＭＳ Ｐ明朝"/>
        <family val="1"/>
        <charset val="128"/>
      </rPr>
      <t>3</t>
    </r>
    <r>
      <rPr>
        <sz val="8"/>
        <rFont val="ＭＳ Ｐ明朝"/>
        <family val="1"/>
        <charset val="128"/>
      </rPr>
      <t>$）</t>
    </r>
    <phoneticPr fontId="14"/>
  </si>
  <si>
    <t>（６）石油製品製造業者・輸入業者月別消費者･販売業者向販売 / Monthly Sales to Consumers, Wholesalers and Retailers of Petroleum Products by Manufacturers and Importers</t>
    <phoneticPr fontId="14"/>
  </si>
  <si>
    <t>（４）原油処理及び原油在庫 / Crude Oil Processing and Inventory</t>
    <phoneticPr fontId="14"/>
  </si>
  <si>
    <t>１．原  油 /  Crude Oil</t>
    <phoneticPr fontId="14"/>
  </si>
  <si>
    <t>　（１）原油地域別、国別輸入 / Import of Crude Oil by Area and Country</t>
    <phoneticPr fontId="14"/>
  </si>
  <si>
    <t>タイ</t>
  </si>
  <si>
    <t>Thailand</t>
  </si>
  <si>
    <t>C.Y. 2020</t>
  </si>
  <si>
    <t>ﾀｲ_x000D_
Thailand</t>
  </si>
  <si>
    <t>ﾗﾌﾞｱﾝ･ﾗｲﾄ</t>
  </si>
  <si>
    <t>中立地帯_x000D_
Neutral Zone</t>
  </si>
  <si>
    <t>ｶﾌｼﾞ</t>
  </si>
  <si>
    <t>ｽｰﾀﾞﾝ_x000D_
Sudan</t>
  </si>
  <si>
    <t xml:space="preserve">Year,
Quarter
&amp; Month     </t>
    <phoneticPr fontId="14"/>
  </si>
  <si>
    <t>10～12</t>
    <phoneticPr fontId="12"/>
  </si>
  <si>
    <t xml:space="preserve">（２）石油製品製造業者 ・ 輸入業者受払 / </t>
    <phoneticPr fontId="22"/>
  </si>
  <si>
    <t>輸入</t>
    <phoneticPr fontId="22"/>
  </si>
  <si>
    <t xml:space="preserve">Purchase or Loans from Manufacturers and Importers </t>
    <phoneticPr fontId="22"/>
  </si>
  <si>
    <t>Purchase from Wholesalers and Retailers</t>
    <phoneticPr fontId="22"/>
  </si>
  <si>
    <t>その他の受入量</t>
    <phoneticPr fontId="22"/>
  </si>
  <si>
    <t>その他の払出量</t>
    <phoneticPr fontId="22"/>
  </si>
  <si>
    <t>製造業者・輸入業者よりの購入・融通</t>
    <phoneticPr fontId="22"/>
  </si>
  <si>
    <t xml:space="preserve">   ①月別輸入 / Import by Month</t>
    <phoneticPr fontId="65"/>
  </si>
  <si>
    <t>　</t>
    <phoneticPr fontId="14"/>
  </si>
  <si>
    <t>イラク_x000D_
Iraq</t>
  </si>
  <si>
    <t>ブルガリア_x000D_
Bulgaria</t>
  </si>
  <si>
    <t>エストニア_x000D_
Estonia</t>
  </si>
  <si>
    <t xml:space="preserve">   ④国・地域別月別輸出 / Monthly Export by Area and Country</t>
    <phoneticPr fontId="14"/>
  </si>
  <si>
    <t xml:space="preserve">  (円/kl)  (yen/kl)</t>
    <rPh sb="3" eb="4">
      <t>エン</t>
    </rPh>
    <phoneticPr fontId="14"/>
  </si>
  <si>
    <t xml:space="preserve">  (円/t)  (yen/ton)</t>
    <rPh sb="3" eb="4">
      <t>エン</t>
    </rPh>
    <phoneticPr fontId="14"/>
  </si>
  <si>
    <t>構成比</t>
    <phoneticPr fontId="34"/>
  </si>
  <si>
    <t>Freight</t>
    <phoneticPr fontId="14"/>
  </si>
  <si>
    <t>Insurance</t>
    <phoneticPr fontId="14"/>
  </si>
  <si>
    <t>日本_x000D_
Japan</t>
  </si>
  <si>
    <t>国産</t>
  </si>
  <si>
    <t xml:space="preserve">Year                             &amp; Month 
</t>
    <phoneticPr fontId="12"/>
  </si>
  <si>
    <t>4月</t>
    <phoneticPr fontId="12"/>
  </si>
  <si>
    <t>5月</t>
    <phoneticPr fontId="12"/>
  </si>
  <si>
    <t>7月</t>
    <phoneticPr fontId="12"/>
  </si>
  <si>
    <t>8月</t>
    <phoneticPr fontId="12"/>
  </si>
  <si>
    <t>10月</t>
    <phoneticPr fontId="12"/>
  </si>
  <si>
    <t>11月</t>
    <phoneticPr fontId="12"/>
  </si>
  <si>
    <t>12月</t>
    <phoneticPr fontId="12"/>
  </si>
  <si>
    <t xml:space="preserve">    Note 1 : M &amp; I = Manufacturers and Importers </t>
    <phoneticPr fontId="12"/>
  </si>
  <si>
    <t>Avg. API gravity
（60℉）</t>
    <phoneticPr fontId="14"/>
  </si>
  <si>
    <t xml:space="preserve">         5</t>
  </si>
  <si>
    <t>米系独立会社</t>
  </si>
  <si>
    <t xml:space="preserve">　　　3 </t>
    <phoneticPr fontId="35"/>
  </si>
  <si>
    <t>C.Y. 2021</t>
  </si>
  <si>
    <t xml:space="preserve">           4～ 6</t>
    <phoneticPr fontId="35"/>
  </si>
  <si>
    <t xml:space="preserve">           7～ 9</t>
    <phoneticPr fontId="35"/>
  </si>
  <si>
    <t xml:space="preserve">          10～12　 </t>
    <phoneticPr fontId="35"/>
  </si>
  <si>
    <t xml:space="preserve">             2</t>
    <phoneticPr fontId="35"/>
  </si>
  <si>
    <t xml:space="preserve">             3</t>
    <phoneticPr fontId="35"/>
  </si>
  <si>
    <t xml:space="preserve">             4</t>
    <phoneticPr fontId="35"/>
  </si>
  <si>
    <t xml:space="preserve">             5</t>
    <phoneticPr fontId="35"/>
  </si>
  <si>
    <t xml:space="preserve">             6</t>
    <phoneticPr fontId="35"/>
  </si>
  <si>
    <t xml:space="preserve">             7</t>
    <phoneticPr fontId="35"/>
  </si>
  <si>
    <t xml:space="preserve">             8</t>
    <phoneticPr fontId="35"/>
  </si>
  <si>
    <t xml:space="preserve">             9</t>
    <phoneticPr fontId="35"/>
  </si>
  <si>
    <t xml:space="preserve">            10</t>
    <phoneticPr fontId="35"/>
  </si>
  <si>
    <t xml:space="preserve">            11</t>
    <phoneticPr fontId="35"/>
  </si>
  <si>
    <t xml:space="preserve">            12</t>
    <phoneticPr fontId="35"/>
  </si>
  <si>
    <t xml:space="preserve">             2</t>
  </si>
  <si>
    <t xml:space="preserve">             3</t>
  </si>
  <si>
    <t>ブラジル</t>
  </si>
  <si>
    <t>Brazil</t>
  </si>
  <si>
    <t>ﾀﾝﾛﾝ</t>
  </si>
  <si>
    <t>ﾗﾗﾝ</t>
  </si>
  <si>
    <t>ﾌﾞﾗｼﾞﾙ計</t>
  </si>
  <si>
    <t>ﾌﾞｰｼﾞｵｽ</t>
  </si>
  <si>
    <t>ﾄｩﾋﾟ</t>
  </si>
  <si>
    <t>ﾋﾟﾚﾆｰｽﾞ</t>
  </si>
  <si>
    <t>ｻｳｼﾞｱﾗﾋﾞｱ_x000D_
Saudi Arabia</t>
  </si>
  <si>
    <t>輸入</t>
    <phoneticPr fontId="14"/>
  </si>
  <si>
    <t>国産</t>
    <phoneticPr fontId="14"/>
  </si>
  <si>
    <r>
      <t>Other</t>
    </r>
    <r>
      <rPr>
        <sz val="7.5"/>
        <color indexed="8"/>
        <rFont val="ＭＳ Ｐ明朝"/>
        <family val="1"/>
        <charset val="128"/>
      </rPr>
      <t xml:space="preserve"> </t>
    </r>
    <r>
      <rPr>
        <sz val="7.1"/>
        <color indexed="8"/>
        <rFont val="ＭＳ Ｐ明朝"/>
        <family val="1"/>
        <charset val="128"/>
      </rPr>
      <t>Establishments</t>
    </r>
    <phoneticPr fontId="14"/>
  </si>
  <si>
    <t>Imported
Crude Oil</t>
    <phoneticPr fontId="14"/>
  </si>
  <si>
    <t>Domestic
Crude Oil</t>
    <phoneticPr fontId="12"/>
  </si>
  <si>
    <t xml:space="preserve">  1月</t>
    <phoneticPr fontId="12"/>
  </si>
  <si>
    <t xml:space="preserve">  2</t>
    <phoneticPr fontId="14"/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</si>
  <si>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</si>
  <si>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</si>
  <si>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</si>
  <si>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</si>
  <si>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</si>
  <si>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</si>
  <si>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</si>
  <si>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 xml:space="preserve">  1</t>
    <phoneticPr fontId="14"/>
  </si>
  <si>
    <t xml:space="preserve">  3</t>
    <phoneticPr fontId="14"/>
  </si>
  <si>
    <t>基地・油槽所</t>
    <phoneticPr fontId="14"/>
  </si>
  <si>
    <t>Oil drilling
 enterprises</t>
    <phoneticPr fontId="14"/>
  </si>
  <si>
    <t>Refiners</t>
    <phoneticPr fontId="14"/>
  </si>
  <si>
    <t>（単位：kl、アスファルト以降：ｔ/Unit: kl, from Asphalt onward is ton)</t>
    <rPh sb="13" eb="15">
      <t>イコウ</t>
    </rPh>
    <phoneticPr fontId="14"/>
  </si>
  <si>
    <t xml:space="preserve">  1～ 3月</t>
    <phoneticPr fontId="14"/>
  </si>
  <si>
    <t xml:space="preserve">  4～ 6</t>
    <phoneticPr fontId="12"/>
  </si>
  <si>
    <r>
      <t xml:space="preserve">  7～ 9</t>
    </r>
    <r>
      <rPr>
        <sz val="11"/>
        <color theme="1"/>
        <rFont val="ＭＳ Ｐゴシック"/>
        <family val="3"/>
        <charset val="128"/>
        <scheme val="minor"/>
      </rPr>
      <t/>
    </r>
    <phoneticPr fontId="12"/>
  </si>
  <si>
    <t xml:space="preserve">  1～ 3</t>
    <phoneticPr fontId="14"/>
  </si>
  <si>
    <t>マルタ_x000D_
Malta</t>
  </si>
  <si>
    <t xml:space="preserve">   ③月別輸出 / Export by Month</t>
    <phoneticPr fontId="12"/>
  </si>
  <si>
    <t xml:space="preserve"> 液化石油ガス</t>
    <phoneticPr fontId="12"/>
  </si>
  <si>
    <t>2月</t>
    <phoneticPr fontId="12"/>
  </si>
  <si>
    <t>3月</t>
    <phoneticPr fontId="12"/>
  </si>
  <si>
    <t>Refiners</t>
    <phoneticPr fontId="12"/>
  </si>
  <si>
    <t>6月</t>
    <phoneticPr fontId="12"/>
  </si>
  <si>
    <t>9月</t>
    <phoneticPr fontId="12"/>
  </si>
  <si>
    <t xml:space="preserve">（６）石油製品製造業者・輸入業者月別消費者･販売業者向販売 / </t>
    <phoneticPr fontId="12"/>
  </si>
  <si>
    <t xml:space="preserve">Monthly Sales to Consumers, Wholesalers and Retailers of Petroleum Products by Manufacturers and Importers    </t>
    <phoneticPr fontId="12"/>
  </si>
  <si>
    <t xml:space="preserve">      Monthly Inventory and Sales to Consumers, Wholesalers and Retailers by Manufacturers and Importers </t>
    <phoneticPr fontId="76"/>
  </si>
  <si>
    <t>計</t>
    <phoneticPr fontId="76"/>
  </si>
  <si>
    <t>Total</t>
    <phoneticPr fontId="76"/>
  </si>
  <si>
    <t>ガ</t>
    <phoneticPr fontId="76"/>
  </si>
  <si>
    <t>自動車用高級</t>
    <phoneticPr fontId="76"/>
  </si>
  <si>
    <t>Sale</t>
    <phoneticPr fontId="76"/>
  </si>
  <si>
    <t>自動車用並級</t>
    <phoneticPr fontId="76"/>
  </si>
  <si>
    <t>ソ</t>
    <phoneticPr fontId="76"/>
  </si>
  <si>
    <t xml:space="preserve">    Others </t>
    <phoneticPr fontId="76"/>
  </si>
  <si>
    <t>Gasoline</t>
    <phoneticPr fontId="76"/>
  </si>
  <si>
    <t>リ</t>
    <phoneticPr fontId="76"/>
  </si>
  <si>
    <t>Inventory</t>
    <phoneticPr fontId="76"/>
  </si>
  <si>
    <t>ナ</t>
    <phoneticPr fontId="76"/>
  </si>
  <si>
    <t>石油化学用</t>
    <phoneticPr fontId="76"/>
  </si>
  <si>
    <t xml:space="preserve">    Petrochemical Use</t>
    <phoneticPr fontId="76"/>
  </si>
  <si>
    <t>Naphtha</t>
    <phoneticPr fontId="76"/>
  </si>
  <si>
    <t>フ</t>
    <phoneticPr fontId="76"/>
  </si>
  <si>
    <t>サ</t>
    <phoneticPr fontId="76"/>
  </si>
  <si>
    <t>ガソリンエンジン油</t>
    <phoneticPr fontId="76"/>
  </si>
  <si>
    <t xml:space="preserve">    Diesel Engine Oil</t>
    <phoneticPr fontId="76"/>
  </si>
  <si>
    <t>そ の 他 車 両 用</t>
    <phoneticPr fontId="76"/>
  </si>
  <si>
    <t>船舶エ ン ジ ン油</t>
    <phoneticPr fontId="76"/>
  </si>
  <si>
    <t xml:space="preserve">    Marine Diesel Engine Oil</t>
    <phoneticPr fontId="76"/>
  </si>
  <si>
    <t xml:space="preserve">    Mechanical Oil</t>
    <phoneticPr fontId="76"/>
  </si>
  <si>
    <t>金　属　加　工　油</t>
    <phoneticPr fontId="76"/>
  </si>
  <si>
    <t xml:space="preserve">    Metal Working Oil</t>
    <phoneticPr fontId="76"/>
  </si>
  <si>
    <t>電　気　絶　縁　油</t>
    <phoneticPr fontId="76"/>
  </si>
  <si>
    <t xml:space="preserve">    Electrical Insulating Oil</t>
    <phoneticPr fontId="76"/>
  </si>
  <si>
    <t xml:space="preserve">    Other Specific Lubricating Oil</t>
    <phoneticPr fontId="76"/>
  </si>
  <si>
    <t>そ　 　 の　  　他</t>
    <phoneticPr fontId="76"/>
  </si>
  <si>
    <t xml:space="preserve">    Other Lubricating Oil</t>
    <phoneticPr fontId="76"/>
  </si>
  <si>
    <t>Ｒｅｆｅｒｅｎｃｅ</t>
    <phoneticPr fontId="35"/>
  </si>
  <si>
    <t xml:space="preserve">           2</t>
    <phoneticPr fontId="35"/>
  </si>
  <si>
    <t xml:space="preserve">           3</t>
    <phoneticPr fontId="35"/>
  </si>
  <si>
    <t xml:space="preserve">           4</t>
    <phoneticPr fontId="35"/>
  </si>
  <si>
    <t>　　　　   5</t>
    <phoneticPr fontId="35"/>
  </si>
  <si>
    <t xml:space="preserve">           6</t>
    <phoneticPr fontId="35"/>
  </si>
  <si>
    <t xml:space="preserve">           7</t>
    <phoneticPr fontId="35"/>
  </si>
  <si>
    <t xml:space="preserve">           8</t>
    <phoneticPr fontId="35"/>
  </si>
  <si>
    <t xml:space="preserve">           9</t>
    <phoneticPr fontId="35"/>
  </si>
  <si>
    <t xml:space="preserve">          10</t>
    <phoneticPr fontId="35"/>
  </si>
  <si>
    <t xml:space="preserve">          11</t>
    <phoneticPr fontId="35"/>
  </si>
  <si>
    <t xml:space="preserve">          12</t>
    <phoneticPr fontId="35"/>
  </si>
  <si>
    <t xml:space="preserve"> (ﾄﾞﾙ/ﾊﾞﾚﾙ)                ($/barrel)</t>
    <phoneticPr fontId="35"/>
  </si>
  <si>
    <t>平均    硫黄分</t>
    <phoneticPr fontId="14"/>
  </si>
  <si>
    <t xml:space="preserve">Country </t>
    <phoneticPr fontId="14"/>
  </si>
  <si>
    <t>長期契約</t>
    <phoneticPr fontId="14"/>
  </si>
  <si>
    <t>スポット比率</t>
    <phoneticPr fontId="14"/>
  </si>
  <si>
    <t>Avg.　　　　Sulfur</t>
    <phoneticPr fontId="14"/>
  </si>
  <si>
    <t>（ｗｔ%）</t>
    <phoneticPr fontId="14"/>
  </si>
  <si>
    <t xml:space="preserve">            The number of companies that imported it from these countries is two or less.</t>
    <phoneticPr fontId="14"/>
  </si>
  <si>
    <r>
      <t>CIF総額（千ドル）　（10</t>
    </r>
    <r>
      <rPr>
        <vertAlign val="superscript"/>
        <sz val="8"/>
        <rFont val="ＭＳ Ｐ明朝"/>
        <family val="1"/>
        <charset val="128"/>
      </rPr>
      <t>3</t>
    </r>
    <r>
      <rPr>
        <sz val="8"/>
        <rFont val="ＭＳ Ｐ明朝"/>
        <family val="1"/>
        <charset val="128"/>
      </rPr>
      <t>$）</t>
    </r>
    <phoneticPr fontId="14"/>
  </si>
  <si>
    <t>Total Value</t>
    <phoneticPr fontId="14"/>
  </si>
  <si>
    <t>Country</t>
    <phoneticPr fontId="14"/>
  </si>
  <si>
    <t>FOB</t>
    <phoneticPr fontId="14"/>
  </si>
  <si>
    <t>Shipped Quantity</t>
    <phoneticPr fontId="14"/>
  </si>
  <si>
    <t>(千ドル)</t>
    <phoneticPr fontId="34"/>
  </si>
  <si>
    <t>（barrel)</t>
    <phoneticPr fontId="14"/>
  </si>
  <si>
    <t>（$/barrel）</t>
    <phoneticPr fontId="14"/>
  </si>
  <si>
    <t xml:space="preserve">　　　　　 </t>
    <phoneticPr fontId="14"/>
  </si>
  <si>
    <t>　①原油処理 / Crude Oil Processing</t>
    <rPh sb="2" eb="4">
      <t>ゲンユ</t>
    </rPh>
    <rPh sb="4" eb="6">
      <t>ショリ</t>
    </rPh>
    <phoneticPr fontId="14"/>
  </si>
  <si>
    <t>　②原油在庫 / Inventory of Crude Oil</t>
    <rPh sb="2" eb="4">
      <t>ゲンユ</t>
    </rPh>
    <rPh sb="4" eb="6">
      <t>ザイコ</t>
    </rPh>
    <phoneticPr fontId="14"/>
  </si>
  <si>
    <t>（３）石油製品月別国内向販売 / Domestic Sales of Petroleum Products by Month</t>
    <phoneticPr fontId="14"/>
  </si>
  <si>
    <t>ベトナム</t>
  </si>
  <si>
    <t xml:space="preserve">　　　4 </t>
    <phoneticPr fontId="35"/>
  </si>
  <si>
    <t>C.Y. 2022</t>
  </si>
  <si>
    <t>ｶｻﾞﾌｽﾀﾝ_x000D_
Kazakhstan</t>
  </si>
  <si>
    <t>ｵｰｽﾄﾗﾘｱ（つづき）</t>
  </si>
  <si>
    <t>ﾉｰｽｳｴｽﾄ･
ｼｪﾙﾌ･ｺﾝﾃﾞﾝｾｰﾄ</t>
    <phoneticPr fontId="89"/>
  </si>
  <si>
    <t>令和</t>
  </si>
  <si>
    <r>
      <t xml:space="preserve"> </t>
    </r>
    <r>
      <rPr>
        <sz val="8"/>
        <rFont val="ＭＳ Ｐ明朝"/>
        <family val="1"/>
        <charset val="128"/>
      </rPr>
      <t>10</t>
    </r>
    <phoneticPr fontId="14"/>
  </si>
  <si>
    <r>
      <t xml:space="preserve"> </t>
    </r>
    <r>
      <rPr>
        <sz val="8"/>
        <rFont val="ＭＳ Ｐ明朝"/>
        <family val="1"/>
        <charset val="128"/>
      </rPr>
      <t>11</t>
    </r>
    <r>
      <rPr>
        <sz val="11"/>
        <color theme="1"/>
        <rFont val="ＭＳ Ｐゴシック"/>
        <family val="3"/>
        <charset val="128"/>
        <scheme val="minor"/>
      </rPr>
      <t/>
    </r>
  </si>
  <si>
    <r>
      <t xml:space="preserve"> </t>
    </r>
    <r>
      <rPr>
        <sz val="8"/>
        <rFont val="ＭＳ Ｐ明朝"/>
        <family val="1"/>
        <charset val="128"/>
      </rPr>
      <t>12</t>
    </r>
    <r>
      <rPr>
        <sz val="11"/>
        <color theme="1"/>
        <rFont val="ＭＳ Ｐゴシック"/>
        <family val="3"/>
        <charset val="128"/>
        <scheme val="minor"/>
      </rPr>
      <t/>
    </r>
  </si>
  <si>
    <t>Total of Main Petroleum Products</t>
    <phoneticPr fontId="12"/>
  </si>
  <si>
    <t xml:space="preserve">Total
 Fuel Oil </t>
    <phoneticPr fontId="12"/>
  </si>
  <si>
    <t>製造・輸入業者在庫</t>
    <phoneticPr fontId="12"/>
  </si>
  <si>
    <t>生産</t>
    <phoneticPr fontId="12"/>
  </si>
  <si>
    <t>品種振替による増量</t>
    <phoneticPr fontId="12"/>
  </si>
  <si>
    <t>石油化学よりの返還</t>
    <rPh sb="7" eb="9">
      <t>ヘンカン</t>
    </rPh>
    <phoneticPr fontId="12"/>
  </si>
  <si>
    <t>品種振替による減量</t>
    <rPh sb="7" eb="8">
      <t>ゲン</t>
    </rPh>
    <phoneticPr fontId="51"/>
  </si>
  <si>
    <t>石油化学よりの受入</t>
  </si>
  <si>
    <t>生産部門よりの受入</t>
    <phoneticPr fontId="22"/>
  </si>
  <si>
    <t>販売業者よりの購入</t>
    <phoneticPr fontId="22"/>
  </si>
  <si>
    <t>品種振替による増量</t>
    <phoneticPr fontId="22"/>
  </si>
  <si>
    <t xml:space="preserve">品種振替による減量  </t>
    <phoneticPr fontId="22"/>
  </si>
  <si>
    <t xml:space="preserve">（３）石油製品月別国内向販売 / Domestic Sales of Petroleum Products by Month </t>
    <phoneticPr fontId="12"/>
  </si>
  <si>
    <t>　　　   Ｂ・Ｂ＝ブタン・ブチレンを主成分とするもの。</t>
    <phoneticPr fontId="49"/>
  </si>
  <si>
    <t>3</t>
  </si>
  <si>
    <t>4</t>
  </si>
  <si>
    <t>Total of_x000D_
Main_x000D_
Petroleum_x000D_
Products</t>
  </si>
  <si>
    <t>南アフリカ
共和国
South Africa</t>
    <phoneticPr fontId="89"/>
  </si>
  <si>
    <r>
      <t xml:space="preserve">パプア
ニュー
ギニア
</t>
    </r>
    <r>
      <rPr>
        <sz val="7.5"/>
        <rFont val="ＭＳ Ｐ明朝"/>
        <family val="1"/>
        <charset val="128"/>
      </rPr>
      <t>Papua 
New Guinea</t>
    </r>
    <phoneticPr fontId="89"/>
  </si>
  <si>
    <t>ヨーロッパ（つづき）</t>
  </si>
  <si>
    <t>Fuel Oil B･C 
Total</t>
    <phoneticPr fontId="89"/>
  </si>
  <si>
    <t>パラフィン
合計</t>
    <phoneticPr fontId="89"/>
  </si>
  <si>
    <t>液化石油ガス
合計</t>
    <phoneticPr fontId="89"/>
  </si>
  <si>
    <r>
      <t xml:space="preserve">東ティ
モール
</t>
    </r>
    <r>
      <rPr>
        <sz val="7"/>
        <rFont val="ＭＳ Ｐ明朝"/>
        <family val="1"/>
        <charset val="128"/>
      </rPr>
      <t>Timor-Leste</t>
    </r>
    <phoneticPr fontId="89"/>
  </si>
  <si>
    <t>北アメリカ（つづき）</t>
  </si>
  <si>
    <t>米軍及び
ボンド</t>
    <phoneticPr fontId="89"/>
  </si>
  <si>
    <t>Ａ重油（つづき）</t>
  </si>
  <si>
    <t>キルギス_x000D_
Kyrgyz</t>
  </si>
  <si>
    <t>ベネズエラ_x000D_
Venezuela</t>
  </si>
  <si>
    <r>
      <t xml:space="preserve"> </t>
    </r>
    <r>
      <rPr>
        <sz val="8"/>
        <color theme="1"/>
        <rFont val="ＭＳ Ｐ明朝"/>
        <family val="1"/>
        <charset val="128"/>
      </rPr>
      <t>10</t>
    </r>
    <phoneticPr fontId="14"/>
  </si>
  <si>
    <r>
      <t xml:space="preserve"> </t>
    </r>
    <r>
      <rPr>
        <sz val="8"/>
        <color theme="1"/>
        <rFont val="ＭＳ Ｐ明朝"/>
        <family val="1"/>
        <charset val="128"/>
      </rPr>
      <t>11</t>
    </r>
    <r>
      <rPr>
        <sz val="11"/>
        <color theme="1"/>
        <rFont val="ＭＳ Ｐゴシック"/>
        <family val="3"/>
        <charset val="128"/>
        <scheme val="minor"/>
      </rPr>
      <t/>
    </r>
  </si>
  <si>
    <r>
      <t xml:space="preserve"> </t>
    </r>
    <r>
      <rPr>
        <sz val="8"/>
        <color theme="1"/>
        <rFont val="ＭＳ Ｐ明朝"/>
        <family val="1"/>
        <charset val="128"/>
      </rPr>
      <t>12</t>
    </r>
    <r>
      <rPr>
        <sz val="11"/>
        <color theme="1"/>
        <rFont val="ＭＳ Ｐゴシック"/>
        <family val="3"/>
        <charset val="128"/>
        <scheme val="minor"/>
      </rPr>
      <t/>
    </r>
  </si>
  <si>
    <t>年・月</t>
    <rPh sb="0" eb="1">
      <t>ネン</t>
    </rPh>
    <rPh sb="2" eb="3">
      <t>ツキ</t>
    </rPh>
    <phoneticPr fontId="35"/>
  </si>
  <si>
    <t>輸入量（Import）</t>
    <rPh sb="0" eb="1">
      <t>ユ</t>
    </rPh>
    <rPh sb="1" eb="2">
      <t>ニュウ</t>
    </rPh>
    <rPh sb="2" eb="3">
      <t>リョウ</t>
    </rPh>
    <phoneticPr fontId="35"/>
  </si>
  <si>
    <t>消費量（Consumption）</t>
    <rPh sb="0" eb="1">
      <t>ショウ</t>
    </rPh>
    <rPh sb="1" eb="2">
      <t>ヒ</t>
    </rPh>
    <rPh sb="2" eb="3">
      <t>リョウ</t>
    </rPh>
    <phoneticPr fontId="35"/>
  </si>
  <si>
    <t>在庫量（Inventory）</t>
    <rPh sb="0" eb="1">
      <t>ザイ</t>
    </rPh>
    <rPh sb="1" eb="2">
      <t>コ</t>
    </rPh>
    <rPh sb="2" eb="3">
      <t>リョウ</t>
    </rPh>
    <phoneticPr fontId="35"/>
  </si>
  <si>
    <t>Year 
&amp; Month</t>
    <phoneticPr fontId="35"/>
  </si>
  <si>
    <t>輸入量　※１</t>
    <rPh sb="0" eb="3">
      <t>ユニュウリョウ</t>
    </rPh>
    <phoneticPr fontId="35"/>
  </si>
  <si>
    <t>火力発電用　※２</t>
    <rPh sb="0" eb="2">
      <t>カリョク</t>
    </rPh>
    <rPh sb="2" eb="4">
      <t>ハツデン</t>
    </rPh>
    <rPh sb="4" eb="5">
      <t>ヨウ</t>
    </rPh>
    <phoneticPr fontId="35"/>
  </si>
  <si>
    <t>都市ガス事業用　※３</t>
    <rPh sb="0" eb="2">
      <t>トシ</t>
    </rPh>
    <rPh sb="4" eb="6">
      <t>ジギョウ</t>
    </rPh>
    <rPh sb="6" eb="7">
      <t>ヨウ</t>
    </rPh>
    <phoneticPr fontId="35"/>
  </si>
  <si>
    <t>液売り　※３</t>
    <rPh sb="0" eb="2">
      <t>エキウ</t>
    </rPh>
    <phoneticPr fontId="35"/>
  </si>
  <si>
    <t>月末貯蔵量　※２</t>
    <rPh sb="0" eb="2">
      <t>ゲツマツ</t>
    </rPh>
    <rPh sb="2" eb="5">
      <t>チョゾウリョウ</t>
    </rPh>
    <phoneticPr fontId="35"/>
  </si>
  <si>
    <t>月末在庫量　※３</t>
    <rPh sb="2" eb="4">
      <t>ザイコ</t>
    </rPh>
    <phoneticPr fontId="35"/>
  </si>
  <si>
    <t>貯蔵・在庫量合計</t>
    <rPh sb="0" eb="2">
      <t>チョゾウ</t>
    </rPh>
    <rPh sb="3" eb="5">
      <t>ザイコ</t>
    </rPh>
    <rPh sb="5" eb="6">
      <t>リョウ</t>
    </rPh>
    <rPh sb="6" eb="8">
      <t>ゴウケイ</t>
    </rPh>
    <phoneticPr fontId="35"/>
  </si>
  <si>
    <t>ガス事業用以外</t>
    <rPh sb="2" eb="4">
      <t>ジギョウ</t>
    </rPh>
    <rPh sb="4" eb="5">
      <t>ヨウ</t>
    </rPh>
    <rPh sb="5" eb="7">
      <t>イガイ</t>
    </rPh>
    <phoneticPr fontId="35"/>
  </si>
  <si>
    <t>電力用</t>
    <rPh sb="0" eb="3">
      <t>デンリョクヨウ</t>
    </rPh>
    <phoneticPr fontId="35"/>
  </si>
  <si>
    <t>都市ガス用</t>
    <rPh sb="0" eb="2">
      <t>トシ</t>
    </rPh>
    <rPh sb="4" eb="5">
      <t>ヨウ</t>
    </rPh>
    <phoneticPr fontId="35"/>
  </si>
  <si>
    <t>Import</t>
  </si>
  <si>
    <t>Thermal Power Generation</t>
    <phoneticPr fontId="35"/>
  </si>
  <si>
    <t>Gas Production</t>
    <phoneticPr fontId="35"/>
  </si>
  <si>
    <t>Sales in liquids</t>
  </si>
  <si>
    <t xml:space="preserve"> Inventory
Thermal Power Generation</t>
    <phoneticPr fontId="35"/>
  </si>
  <si>
    <t xml:space="preserve"> Inventory
City Gas</t>
  </si>
  <si>
    <t>Inventory
Total</t>
  </si>
  <si>
    <t xml:space="preserve">    　    　 2</t>
    <phoneticPr fontId="35"/>
  </si>
  <si>
    <t xml:space="preserve">    　    　 3</t>
    <phoneticPr fontId="35"/>
  </si>
  <si>
    <t xml:space="preserve">    　    　 4</t>
    <phoneticPr fontId="35"/>
  </si>
  <si>
    <t xml:space="preserve">    　    　 5</t>
    <phoneticPr fontId="35"/>
  </si>
  <si>
    <t xml:space="preserve">    　    　 6</t>
    <phoneticPr fontId="35"/>
  </si>
  <si>
    <t xml:space="preserve">    　    　 7</t>
    <phoneticPr fontId="35"/>
  </si>
  <si>
    <t xml:space="preserve">    　    　 8</t>
    <phoneticPr fontId="35"/>
  </si>
  <si>
    <t xml:space="preserve">    　    　 9</t>
    <phoneticPr fontId="35"/>
  </si>
  <si>
    <t xml:space="preserve">    　    　10</t>
    <phoneticPr fontId="35"/>
  </si>
  <si>
    <t xml:space="preserve">    　    　11</t>
    <phoneticPr fontId="35"/>
  </si>
  <si>
    <t xml:space="preserve">    　    　12</t>
    <phoneticPr fontId="35"/>
  </si>
  <si>
    <t>合計</t>
    <rPh sb="0" eb="2">
      <t>ゴウケイ</t>
    </rPh>
    <phoneticPr fontId="35"/>
  </si>
  <si>
    <t>中華人民共和国</t>
  </si>
  <si>
    <t>Total</t>
    <phoneticPr fontId="35"/>
  </si>
  <si>
    <t>People's Republic
 of China</t>
    <phoneticPr fontId="35"/>
  </si>
  <si>
    <t xml:space="preserve">    　    　 2</t>
  </si>
  <si>
    <t xml:space="preserve">    　    　 3</t>
  </si>
  <si>
    <t xml:space="preserve">    　    　 4</t>
  </si>
  <si>
    <t xml:space="preserve">    　    　 5</t>
  </si>
  <si>
    <t xml:space="preserve">    　    　 6</t>
  </si>
  <si>
    <t xml:space="preserve">    　    　 7</t>
  </si>
  <si>
    <t xml:space="preserve">    　    　 8</t>
  </si>
  <si>
    <t xml:space="preserve">    　    　 9</t>
  </si>
  <si>
    <t xml:space="preserve">    　    　10</t>
  </si>
  <si>
    <t xml:space="preserve">    　    　11</t>
  </si>
  <si>
    <t xml:space="preserve">    　    　12</t>
  </si>
  <si>
    <t>アメリカ合衆国</t>
    <phoneticPr fontId="35"/>
  </si>
  <si>
    <t>トリニダード・トバゴ</t>
  </si>
  <si>
    <t>ペルー</t>
  </si>
  <si>
    <t>United Arab
 Emirates</t>
    <phoneticPr fontId="35"/>
  </si>
  <si>
    <t>United States 
of America</t>
    <phoneticPr fontId="35"/>
  </si>
  <si>
    <t>Trinidad and
 Tobago</t>
    <phoneticPr fontId="35"/>
  </si>
  <si>
    <t>Peru</t>
  </si>
  <si>
    <t>ナイジェリア</t>
  </si>
  <si>
    <t>赤道ギニア</t>
  </si>
  <si>
    <t>パプアニューギニア</t>
  </si>
  <si>
    <t>Nigeria</t>
  </si>
  <si>
    <t>EQ Guinea</t>
    <phoneticPr fontId="35"/>
  </si>
  <si>
    <t>Papua New Guinea</t>
  </si>
  <si>
    <t xml:space="preserve">　　　5 </t>
    <phoneticPr fontId="35"/>
  </si>
  <si>
    <t>C.Y. 2023</t>
  </si>
  <si>
    <t>F.Y. 2023</t>
  </si>
  <si>
    <t>Q1  2024</t>
  </si>
  <si>
    <t>Jan. 2024</t>
  </si>
  <si>
    <t>ｷｹｰ</t>
  </si>
  <si>
    <t>ﾏﾚｽ･ﾌﾞﾚﾝﾄﾞ</t>
  </si>
  <si>
    <t>ｱﾝｺﾞﾗ_x000D_
Angola</t>
  </si>
  <si>
    <t>ｺｻｯｸ</t>
  </si>
  <si>
    <t>ｲｸｼｽ･ﾌｨｰﾙﾄﾞ･
ｺﾝﾃﾞﾝｾｰﾄ</t>
    <phoneticPr fontId="89"/>
  </si>
  <si>
    <t>ｸﾘﾌ･ﾍｯﾄﾞ</t>
  </si>
  <si>
    <t>ｵｰｽﾄﾗﾘｱ_x000D_
Australia</t>
  </si>
  <si>
    <t>―</t>
  </si>
  <si>
    <t>6年</t>
  </si>
  <si>
    <t>5</t>
  </si>
  <si>
    <t>Paraffin Wax 
Total</t>
    <phoneticPr fontId="89"/>
  </si>
  <si>
    <t>スイス_x000D_
Switzerland</t>
  </si>
  <si>
    <t>プロパン（つづき）</t>
  </si>
  <si>
    <t>ブタン（つづき）</t>
  </si>
  <si>
    <t>北マリアナ
諸島（米）
Northern 
Mariana 
Islands (USA)</t>
    <phoneticPr fontId="89"/>
  </si>
  <si>
    <t>タンザニア_x000D_
Tanzania</t>
  </si>
  <si>
    <t>令和6年</t>
  </si>
  <si>
    <r>
      <t>Total</t>
    </r>
    <r>
      <rPr>
        <sz val="8"/>
        <rFont val="ＭＳ Ｐ明朝"/>
        <family val="1"/>
        <charset val="128"/>
      </rPr>
      <t xml:space="preserve">   Jan. 2024</t>
    </r>
    <phoneticPr fontId="12"/>
  </si>
  <si>
    <r>
      <t>Total</t>
    </r>
    <r>
      <rPr>
        <sz val="8"/>
        <rFont val="ＭＳ Ｐ明朝"/>
        <family val="1"/>
        <charset val="128"/>
      </rPr>
      <t xml:space="preserve">   Feb. 2024</t>
    </r>
    <phoneticPr fontId="12"/>
  </si>
  <si>
    <r>
      <t>Total</t>
    </r>
    <r>
      <rPr>
        <sz val="8"/>
        <rFont val="ＭＳ Ｐ明朝"/>
        <family val="1"/>
        <charset val="128"/>
      </rPr>
      <t xml:space="preserve">   Mar. 2024</t>
    </r>
    <phoneticPr fontId="12"/>
  </si>
  <si>
    <t>C.Y. 2023</t>
    <phoneticPr fontId="35"/>
  </si>
  <si>
    <t>モザンビーク</t>
    <phoneticPr fontId="35"/>
  </si>
  <si>
    <t>Mozambique</t>
    <phoneticPr fontId="35"/>
  </si>
  <si>
    <t>年末在庫</t>
    <phoneticPr fontId="22"/>
  </si>
  <si>
    <t>年度末在庫</t>
    <rPh sb="1" eb="2">
      <t>ド</t>
    </rPh>
    <phoneticPr fontId="22"/>
  </si>
  <si>
    <t>（２）原油供給者区分別、月別輸入 / Import of Crude Oil by Month and Supplier</t>
    <phoneticPr fontId="14"/>
  </si>
  <si>
    <t>（４）石油製品の輸出入 / Import and Export of Petroleum Products</t>
    <phoneticPr fontId="65"/>
  </si>
  <si>
    <t>（４）石油製品の輸出入 / Import and Export of Petroleum Products</t>
    <phoneticPr fontId="14"/>
  </si>
  <si>
    <t>令和6年資源・エネルギー統計年報</t>
    <rPh sb="0" eb="2">
      <t>レイワ</t>
    </rPh>
    <rPh sb="4" eb="6">
      <t>シゲン</t>
    </rPh>
    <rPh sb="12" eb="14">
      <t>トウケイ</t>
    </rPh>
    <rPh sb="14" eb="16">
      <t>ネンポウ</t>
    </rPh>
    <phoneticPr fontId="14"/>
  </si>
  <si>
    <t>　①令和6年 / (C.Y. 2024)</t>
    <rPh sb="2" eb="4">
      <t>レイワ</t>
    </rPh>
    <phoneticPr fontId="14"/>
  </si>
  <si>
    <t>　②令和6年度 / (F.Y. 2024)</t>
    <rPh sb="2" eb="4">
      <t>レイワ</t>
    </rPh>
    <phoneticPr fontId="14"/>
  </si>
  <si>
    <t>　①令和6年 / (C.Y. 2024)</t>
    <phoneticPr fontId="14"/>
  </si>
  <si>
    <t>　②令和6年度 / (F.Y. 2024)</t>
    <phoneticPr fontId="14"/>
  </si>
  <si>
    <t>３．原油契約期間別、供給者区分別、国別輸入 / Import of Crude Oil by Contract, Supplier and Country</t>
    <rPh sb="2" eb="4">
      <t>ゲンユ</t>
    </rPh>
    <phoneticPr fontId="14"/>
  </si>
  <si>
    <t>（１）原油契約期間別、月別輸入、CIF総額、平均API度及び平均硫黄分 / Import of Crude Oil, Value（CIF）, Average API gravity and Average Sulfur by Month and Contract</t>
    <rPh sb="3" eb="5">
      <t>ゲンユ</t>
    </rPh>
    <rPh sb="27" eb="28">
      <t>ド</t>
    </rPh>
    <phoneticPr fontId="14"/>
  </si>
  <si>
    <t>（４）原油国別、契約期間別輸入、平均API度及び平均硫黄分（令和6年度） / Import of Crude Oil, Average API gravity and Average Sulfur by Country and Contract(F.Y. 2024)</t>
    <rPh sb="21" eb="22">
      <t>ド</t>
    </rPh>
    <phoneticPr fontId="14"/>
  </si>
  <si>
    <t>（５）原油国別、契約期間別、CIF総額（令和6年） / Import of Crude Oil Value(CIF) by Country and Contract(C.Y. 2024)</t>
    <phoneticPr fontId="14"/>
  </si>
  <si>
    <t>（７）原油国別船積数量、FOB、運賃総額及び保険料総額（令和6年） / Import of Crude Oil, Shipped Quantity, FOB, Freight and Insurance by Country (C.Y. 2024)</t>
    <rPh sb="3" eb="5">
      <t>ゲンユ</t>
    </rPh>
    <phoneticPr fontId="14"/>
  </si>
  <si>
    <t>４．液化天然ガス（LNG）輸入量、消費量、在庫量 / LNG Import, Consumption and Inventory</t>
    <rPh sb="2" eb="4">
      <t>エキカ</t>
    </rPh>
    <rPh sb="4" eb="6">
      <t>テンネン</t>
    </rPh>
    <rPh sb="13" eb="15">
      <t>ユニュウ</t>
    </rPh>
    <rPh sb="15" eb="16">
      <t>リョウ</t>
    </rPh>
    <rPh sb="17" eb="20">
      <t>ショウヒリョウ</t>
    </rPh>
    <rPh sb="21" eb="23">
      <t>ザイコ</t>
    </rPh>
    <rPh sb="23" eb="24">
      <t>リョウ</t>
    </rPh>
    <phoneticPr fontId="14"/>
  </si>
  <si>
    <t>（１）液化天然ガス（LNG）輸入量、消費量、在庫量 / LNG Import, Consumption and Inventory</t>
    <rPh sb="3" eb="5">
      <t>エキカ</t>
    </rPh>
    <rPh sb="5" eb="7">
      <t>テンネン</t>
    </rPh>
    <rPh sb="14" eb="16">
      <t>ユニュウ</t>
    </rPh>
    <rPh sb="16" eb="17">
      <t>リョウ</t>
    </rPh>
    <rPh sb="18" eb="21">
      <t>ショウヒリョウ</t>
    </rPh>
    <rPh sb="22" eb="24">
      <t>ザイコ</t>
    </rPh>
    <rPh sb="24" eb="25">
      <t>リョウ</t>
    </rPh>
    <phoneticPr fontId="14"/>
  </si>
  <si>
    <t>（２）液化天然ガス（LNG）国別、月別輸入量 / LNG Monthly Import by Country</t>
    <rPh sb="3" eb="5">
      <t>エキカ</t>
    </rPh>
    <rPh sb="5" eb="7">
      <t>テンネン</t>
    </rPh>
    <rPh sb="14" eb="16">
      <t>クニベツ</t>
    </rPh>
    <rPh sb="17" eb="19">
      <t>ツキベツ</t>
    </rPh>
    <rPh sb="19" eb="21">
      <t>ユニュウ</t>
    </rPh>
    <rPh sb="21" eb="22">
      <t>リョウ</t>
    </rPh>
    <phoneticPr fontId="14"/>
  </si>
  <si>
    <t>(単位：kl/Unit: kl)</t>
    <phoneticPr fontId="14"/>
  </si>
  <si>
    <t>令和  2 年</t>
    <rPh sb="0" eb="2">
      <t>レイワ</t>
    </rPh>
    <phoneticPr fontId="35"/>
  </si>
  <si>
    <t xml:space="preserve">　　　6 </t>
    <phoneticPr fontId="35"/>
  </si>
  <si>
    <t>C.Y. 2024</t>
  </si>
  <si>
    <t>令和  5 年度</t>
    <phoneticPr fontId="35"/>
  </si>
  <si>
    <t xml:space="preserve">      6　　 </t>
    <phoneticPr fontId="35"/>
  </si>
  <si>
    <t>F.Y. 2024</t>
  </si>
  <si>
    <t>令和  6 年 1～ 3 月</t>
    <rPh sb="0" eb="2">
      <t>レイワ</t>
    </rPh>
    <rPh sb="6" eb="7">
      <t>ネン</t>
    </rPh>
    <rPh sb="13" eb="14">
      <t>ツキ</t>
    </rPh>
    <phoneticPr fontId="35"/>
  </si>
  <si>
    <t>令和  7 年 1～ 3</t>
    <phoneticPr fontId="35"/>
  </si>
  <si>
    <t>Q1  2025</t>
  </si>
  <si>
    <t xml:space="preserve">令和  6 年   1 月　 </t>
    <phoneticPr fontId="35"/>
  </si>
  <si>
    <t xml:space="preserve">令和  7 年   1　 </t>
    <phoneticPr fontId="35"/>
  </si>
  <si>
    <t>Jan. 2025</t>
  </si>
  <si>
    <t>(単位：kl/Unit: kl)</t>
    <phoneticPr fontId="35"/>
  </si>
  <si>
    <t>東･中央ｱｼﾞｱ
計</t>
    <phoneticPr fontId="35"/>
  </si>
  <si>
    <t>ｼｰﾋﾟｰｼｰ･
ﾌﾞﾚﾝﾄﾞ</t>
    <phoneticPr fontId="35"/>
  </si>
  <si>
    <t>ﾀｲﾗﾝﾄﾞ･
ﾌｭｰｴﾙ･ｵｲﾙ</t>
  </si>
  <si>
    <t>ｲﾗｸ_x000D_
Iraq</t>
  </si>
  <si>
    <t>ﾏﾚｰｼｱ･
ｽﾄﾚｰﾄ･ﾗﾝ･
ﾌｭｰｴﾙ･ｵｲﾙ</t>
  </si>
  <si>
    <t>ﾌﾞﾚﾝﾃﾞﾄﾞ･
ﾌｭｰｴﾙ･ｵｲﾙ</t>
  </si>
  <si>
    <t>ﾊﾞﾉｺ･
ｱﾗﾌﾞ･ﾐﾃﾞｨｱﾑ</t>
  </si>
  <si>
    <t>ｱﾗﾋﾞｱﾝ･
ﾐﾃﾞｨｱﾑ</t>
  </si>
  <si>
    <t>ｱﾗﾋﾞｱﾝ･
ｴｷｽﾄﾗ･ﾗｲﾄ</t>
  </si>
  <si>
    <t>ｱﾗﾋﾞｱﾝ･
ｽｰﾊﾟｰ･ﾗｲﾄ</t>
  </si>
  <si>
    <t>ｸｳｪｰﾄ･
ｽｰﾊﾟｰ･ﾗｲﾄ･
ｸﾙｰﾄﾞ</t>
  </si>
  <si>
    <t>ﾛｰｻﾙﾌｧｰ･
ｺﾝﾃﾞﾝｾｰﾄ</t>
  </si>
  <si>
    <t>ﾃﾞｵﾄﾞﾗｲｽﾞﾄﾞ･
ﾌｨｰﾙﾄﾞ･
ｺﾝﾃﾞﾝｾｰﾄ</t>
  </si>
  <si>
    <r>
      <t xml:space="preserve">英国
</t>
    </r>
    <r>
      <rPr>
        <sz val="7"/>
        <rFont val="ＭＳ Ｐ明朝"/>
        <family val="1"/>
        <charset val="128"/>
      </rPr>
      <t>United Kingdom</t>
    </r>
    <phoneticPr fontId="35"/>
  </si>
  <si>
    <t>ｼｬﾙｼﾞｬ･
ｺﾝﾃﾞﾝｾｰﾄ</t>
  </si>
  <si>
    <t>欧州（つづき）</t>
  </si>
  <si>
    <t>ﾛｼｱ
（つづき）</t>
    <phoneticPr fontId="35"/>
  </si>
  <si>
    <t>ｱﾒﾘｶ合衆国計</t>
    <phoneticPr fontId="35"/>
  </si>
  <si>
    <t>ｺﾛﾝﾋﾞｱ_x000D_
Colombia</t>
  </si>
  <si>
    <t>WTL(ｳｴｽﾄ･
ﾃｷｻｽ･ﾗｲﾄ)
ｸﾙｰﾄﾞ</t>
  </si>
  <si>
    <t>ﾕﾃｨｶ･
ｺﾝﾃﾞﾝｾｰﾄ</t>
  </si>
  <si>
    <t>中南米（つづき）</t>
  </si>
  <si>
    <t>ｴｸｱﾄﾞﾙ
（つづき）</t>
    <phoneticPr fontId="35"/>
  </si>
  <si>
    <t>ﾃﾏﾈ･
ｺﾝﾃﾞﾝｾｰﾄ</t>
  </si>
  <si>
    <t>ﾉｰｽｳｴｽﾄ･
ｼｪﾙﾌ･
ｺﾝﾃﾞﾝｾｰﾄ</t>
  </si>
  <si>
    <t>ﾊﾟﾌﾟｱﾆｭｰｷﾞﾆｱ
Papua 
New Guinea</t>
    <phoneticPr fontId="35"/>
  </si>
  <si>
    <t>ｳﾞｧﾝ･ｺﾞｯﾎ･
ﾌﾞﾚﾝﾄﾞ</t>
  </si>
  <si>
    <t>ﾌﾟﾙｰﾄ･
ｺﾝﾃﾞﾝｾｰﾄ</t>
  </si>
  <si>
    <t>ﾊﾟﾌﾟｱ･
ｽﾄﾚｰﾄ･ﾗﾝ･
ﾌｭｰｴﾙ･ｵｲﾙ</t>
  </si>
  <si>
    <t>その他用（つづき）</t>
  </si>
  <si>
    <t>(単位：kl/Unit: kl)</t>
    <phoneticPr fontId="12"/>
  </si>
  <si>
    <t>2年</t>
  </si>
  <si>
    <t>C.Y. 2020</t>
    <phoneticPr fontId="35"/>
  </si>
  <si>
    <t>C.Y. 2021</t>
    <phoneticPr fontId="35"/>
  </si>
  <si>
    <t>C.Y. 2022</t>
    <phoneticPr fontId="35"/>
  </si>
  <si>
    <t>C.Y. 2024</t>
    <phoneticPr fontId="35"/>
  </si>
  <si>
    <t>5年度</t>
  </si>
  <si>
    <t>F.Y. 2023</t>
    <phoneticPr fontId="35"/>
  </si>
  <si>
    <t>F.Y. 2024</t>
    <phoneticPr fontId="35"/>
  </si>
  <si>
    <t>Q1  2024</t>
    <phoneticPr fontId="35"/>
  </si>
  <si>
    <t xml:space="preserve">Q2  </t>
    <phoneticPr fontId="35"/>
  </si>
  <si>
    <t xml:space="preserve">Q3  </t>
    <phoneticPr fontId="35"/>
  </si>
  <si>
    <t xml:space="preserve">Q4  </t>
    <phoneticPr fontId="35"/>
  </si>
  <si>
    <t>7年</t>
  </si>
  <si>
    <t xml:space="preserve">  1～ 3　</t>
    <phoneticPr fontId="14"/>
  </si>
  <si>
    <t>Q1  2025</t>
    <phoneticPr fontId="35"/>
  </si>
  <si>
    <t>Jan. 2024</t>
    <phoneticPr fontId="35"/>
  </si>
  <si>
    <t>May</t>
    <phoneticPr fontId="35"/>
  </si>
  <si>
    <t>Jan. 2025</t>
    <phoneticPr fontId="35"/>
  </si>
  <si>
    <t>Oil stockpiling bases</t>
  </si>
  <si>
    <t>　①令和6年 / (C.Y. 2024)</t>
    <phoneticPr fontId="12"/>
  </si>
  <si>
    <t>注 1 : 国内向販売＝(年初在庫＋受入) - (年末在庫＋国内向販売以外の各払出項目)</t>
    <rPh sb="8" eb="9">
      <t>ム</t>
    </rPh>
    <rPh sb="32" eb="33">
      <t>ム</t>
    </rPh>
    <phoneticPr fontId="12"/>
  </si>
  <si>
    <t xml:space="preserve">Note 1 : Domestic Sales = (Inventory at Start of Year + Total Receipts ) - ( Inventory at End of Year + Total Shipments except Domestic Sales )  </t>
    <phoneticPr fontId="12"/>
  </si>
  <si>
    <t>注 2 : Ｐ・Ｐ＝プロパン・プロピレン、Ｐ・Ｂ＝プロパン・ブタン、プロピレン・ブチレン等プロパン、プロピレンを主成分とするもの。</t>
    <phoneticPr fontId="49"/>
  </si>
  <si>
    <t xml:space="preserve">Note 2 : P・P is Propane・Propylene; P・B is Propane・Butane; B・B is Butane・Butylene. </t>
    <phoneticPr fontId="12"/>
  </si>
  <si>
    <t>Note 3 : The aggregation method for Lubricating Oil has been revised from April 2022.</t>
    <phoneticPr fontId="14"/>
  </si>
  <si>
    <t>注 3 : 令和４年４月分から潤滑油の集計方法の改訂を行いました。</t>
    <phoneticPr fontId="14"/>
  </si>
  <si>
    <t>　②令和6年度 / (F.Y. 2024)</t>
    <phoneticPr fontId="12"/>
  </si>
  <si>
    <t>（単位：kl、アスファルト以降：ｔ/Unit: kl, from Asphalt onward is ton)</t>
    <rPh sb="13" eb="15">
      <t>イコウ</t>
    </rPh>
    <phoneticPr fontId="12"/>
  </si>
  <si>
    <t>Lubricating Oil</t>
    <phoneticPr fontId="35"/>
  </si>
  <si>
    <t>年度初在庫計</t>
    <rPh sb="1" eb="2">
      <t>ド</t>
    </rPh>
    <phoneticPr fontId="35"/>
  </si>
  <si>
    <t>年度末在庫計</t>
    <rPh sb="1" eb="2">
      <t>ド</t>
    </rPh>
    <phoneticPr fontId="35"/>
  </si>
  <si>
    <t>年初在庫　　　</t>
    <phoneticPr fontId="22"/>
  </si>
  <si>
    <t>注 : Ｐ・Ｐ＝プロパン・プロピレン、Ｐ・Ｂ＝プロパン・ブタン、プロピレン・ブチレン等プロパン、プロピレンを主成分とするもの。</t>
    <phoneticPr fontId="49"/>
  </si>
  <si>
    <t xml:space="preserve">Note : P・P is Propane・Propylene; P・B is Propane・Butane; B・B is Butane・Butylene. </t>
    <phoneticPr fontId="12"/>
  </si>
  <si>
    <t>年度初在庫　　　</t>
    <rPh sb="1" eb="2">
      <t>ド</t>
    </rPh>
    <phoneticPr fontId="22"/>
  </si>
  <si>
    <t>注 2 : 令和４年４月分から潤滑油の集計方法の改訂を行いました。</t>
    <phoneticPr fontId="14"/>
  </si>
  <si>
    <t>Note 2 : The aggregation method for Lubricating Oil has been revised from April 2022.</t>
    <phoneticPr fontId="14"/>
  </si>
  <si>
    <t xml:space="preserve">Note 1 : P・P is Propane・Propylene; P・B is Propane・Butane; B・B is Butane・Butylene. </t>
    <phoneticPr fontId="12"/>
  </si>
  <si>
    <t>注 1 : Ｐ・Ｐ＝プロパン・プロピレン、Ｐ・Ｂ＝プロパン・ブタン、プロピレン・ブチレン等プロパン、プロピレンを主成分とするもの。</t>
    <phoneticPr fontId="49"/>
  </si>
  <si>
    <t>（単位：kl、アスファルト以降：ｔ/Unit: kl, from Asphalt onward is ton)</t>
    <rPh sb="13" eb="15">
      <t>イコウ</t>
    </rPh>
    <phoneticPr fontId="65"/>
  </si>
  <si>
    <t>6</t>
  </si>
  <si>
    <t>注 1 : （　　）はボンド扱い輸入製品で外数である。</t>
    <phoneticPr fontId="65"/>
  </si>
  <si>
    <t xml:space="preserve">    Note 1 : The amount of parenthesis is that for bonded imports and not included in amounts just below.</t>
    <phoneticPr fontId="65"/>
  </si>
  <si>
    <t xml:space="preserve">    Note 2 : P・P is Propane・Propylene; P・B is Propane・Butane; B・B is Butane・Butylene. </t>
    <phoneticPr fontId="12"/>
  </si>
  <si>
    <t>（単位：kl、アスファルト以降：ｔ/Unit: kl, from Asphalt onward is ton)</t>
    <phoneticPr fontId="14"/>
  </si>
  <si>
    <t>Asia</t>
  </si>
  <si>
    <t>中華人民
共和国
People's Republic of China</t>
    <phoneticPr fontId="35"/>
  </si>
  <si>
    <r>
      <rPr>
        <sz val="8"/>
        <rFont val="ＭＳ Ｐ明朝"/>
        <family val="1"/>
        <charset val="128"/>
      </rPr>
      <t>オランダ</t>
    </r>
    <r>
      <rPr>
        <sz val="7"/>
        <rFont val="ＭＳ Ｐ明朝"/>
        <family val="1"/>
        <charset val="128"/>
      </rPr>
      <t xml:space="preserve">
Netherlands</t>
    </r>
    <phoneticPr fontId="35"/>
  </si>
  <si>
    <t>South America</t>
  </si>
  <si>
    <t>（単位：kl、アスファルト以降：ｔ/Unit: kl, from Asphalt onward is ton)</t>
    <phoneticPr fontId="35"/>
  </si>
  <si>
    <t>アラブ首長国
連邦
United Arab
Emirates</t>
    <phoneticPr fontId="35"/>
  </si>
  <si>
    <t>Europe</t>
    <phoneticPr fontId="35"/>
  </si>
  <si>
    <t>ノルウェー
Norway</t>
    <phoneticPr fontId="35"/>
  </si>
  <si>
    <t>ジェット燃料油
合計</t>
    <phoneticPr fontId="35"/>
  </si>
  <si>
    <t>中華人民
共和国_x000D_
People's Republic of China</t>
    <phoneticPr fontId="35"/>
  </si>
  <si>
    <t>Ｂ・Ｃ重油
合計</t>
    <phoneticPr fontId="35"/>
  </si>
  <si>
    <t>パラフィン
合計</t>
    <phoneticPr fontId="35"/>
  </si>
  <si>
    <t>アジア
（つづき）</t>
    <phoneticPr fontId="89"/>
  </si>
  <si>
    <t>P.P and P.B 
Total</t>
    <phoneticPr fontId="35"/>
  </si>
  <si>
    <t xml:space="preserve">    Note : P・P is Propane・Propylene; P・B is Propane・Butane; B・B is Butane・Butylene. </t>
    <phoneticPr fontId="12"/>
  </si>
  <si>
    <t>プエルト
リコ（米）
Puerto Rico (USA)</t>
    <phoneticPr fontId="35"/>
  </si>
  <si>
    <r>
      <rPr>
        <sz val="8"/>
        <rFont val="ＭＳ Ｐ明朝"/>
        <family val="1"/>
        <charset val="128"/>
      </rPr>
      <t>モザン
ビーク</t>
    </r>
    <r>
      <rPr>
        <sz val="7"/>
        <rFont val="ＭＳ Ｐ明朝"/>
        <family val="1"/>
        <charset val="128"/>
      </rPr>
      <t xml:space="preserve">
Mozambique</t>
    </r>
    <phoneticPr fontId="35"/>
  </si>
  <si>
    <t>南アフリカ
共和国
South Africa</t>
    <phoneticPr fontId="35"/>
  </si>
  <si>
    <t>ニュージー
ランド
New Zealand</t>
    <phoneticPr fontId="35"/>
  </si>
  <si>
    <t>燃料油
（つづき）</t>
    <phoneticPr fontId="35"/>
  </si>
  <si>
    <t>米軍及びボンド
（つづき）</t>
    <phoneticPr fontId="35"/>
  </si>
  <si>
    <t>ナフサ合計</t>
    <phoneticPr fontId="35"/>
  </si>
  <si>
    <t>ニュージー
ランド_x000D_
New Zealand</t>
    <phoneticPr fontId="35"/>
  </si>
  <si>
    <t>アラブ首長国
連邦_x000D_
United Arab_x000D_
Emirates</t>
    <phoneticPr fontId="35"/>
  </si>
  <si>
    <t>ヨーロッパ
（つづき）</t>
    <phoneticPr fontId="35"/>
  </si>
  <si>
    <t>南アフリカ
共和国
South Africa</t>
  </si>
  <si>
    <t>灯油（つづき）</t>
  </si>
  <si>
    <t>南アフリカ
共和国_x000D_
South Africa</t>
    <phoneticPr fontId="35"/>
  </si>
  <si>
    <t>Ｂ・Ｃ重油合計</t>
  </si>
  <si>
    <t>Ｂ・Ｃ重油（つづき）</t>
  </si>
  <si>
    <t>カザフスタン
Kazakhstan</t>
    <phoneticPr fontId="35"/>
  </si>
  <si>
    <r>
      <t xml:space="preserve">トルクメニ
スタン
</t>
    </r>
    <r>
      <rPr>
        <sz val="6.5"/>
        <rFont val="ＭＳ Ｐ明朝"/>
        <family val="1"/>
        <charset val="128"/>
      </rPr>
      <t>Turkmenistan</t>
    </r>
    <phoneticPr fontId="35"/>
  </si>
  <si>
    <t>アスファルト
（つづき）</t>
    <phoneticPr fontId="89"/>
  </si>
  <si>
    <t>アジア
(つづき）</t>
    <phoneticPr fontId="89"/>
  </si>
  <si>
    <r>
      <t xml:space="preserve">トルクメニ
スタン
</t>
    </r>
    <r>
      <rPr>
        <sz val="7"/>
        <rFont val="ＭＳ Ｐ明朝"/>
        <family val="1"/>
        <charset val="128"/>
      </rPr>
      <t>Turkmenistan</t>
    </r>
    <phoneticPr fontId="89"/>
  </si>
  <si>
    <t>Paraffin Wax 
Total</t>
    <phoneticPr fontId="35"/>
  </si>
  <si>
    <r>
      <rPr>
        <sz val="7"/>
        <rFont val="ＭＳ Ｐ明朝"/>
        <family val="1"/>
        <charset val="128"/>
      </rPr>
      <t>アイルランド</t>
    </r>
    <r>
      <rPr>
        <sz val="8"/>
        <rFont val="ＭＳ Ｐ明朝"/>
        <family val="1"/>
        <charset val="128"/>
      </rPr>
      <t xml:space="preserve">
Ireland</t>
    </r>
    <phoneticPr fontId="35"/>
  </si>
  <si>
    <t>ドミニカ
共和国_x000D_
Dominican Republic</t>
    <phoneticPr fontId="35"/>
  </si>
  <si>
    <t>液化石油ガス
合計</t>
    <phoneticPr fontId="35"/>
  </si>
  <si>
    <t>北アメリカ
（つづき）</t>
    <phoneticPr fontId="35"/>
  </si>
  <si>
    <t>P.P and P.B Total</t>
  </si>
  <si>
    <r>
      <t>Total</t>
    </r>
    <r>
      <rPr>
        <sz val="8"/>
        <rFont val="ＭＳ Ｐ明朝"/>
        <family val="1"/>
        <charset val="128"/>
      </rPr>
      <t xml:space="preserve">   Apr. 2024</t>
    </r>
    <phoneticPr fontId="12"/>
  </si>
  <si>
    <r>
      <t>Total</t>
    </r>
    <r>
      <rPr>
        <sz val="8"/>
        <rFont val="ＭＳ Ｐ明朝"/>
        <family val="1"/>
        <charset val="128"/>
      </rPr>
      <t xml:space="preserve">   May  2024</t>
    </r>
    <phoneticPr fontId="12"/>
  </si>
  <si>
    <r>
      <t>Total</t>
    </r>
    <r>
      <rPr>
        <sz val="8"/>
        <rFont val="ＭＳ Ｐ明朝"/>
        <family val="1"/>
        <charset val="128"/>
      </rPr>
      <t xml:space="preserve">   Jun. 2024</t>
    </r>
    <phoneticPr fontId="12"/>
  </si>
  <si>
    <r>
      <t>Total</t>
    </r>
    <r>
      <rPr>
        <sz val="8"/>
        <rFont val="ＭＳ Ｐ明朝"/>
        <family val="1"/>
        <charset val="128"/>
      </rPr>
      <t xml:space="preserve">   Jul. 2024</t>
    </r>
    <phoneticPr fontId="12"/>
  </si>
  <si>
    <r>
      <t>Total</t>
    </r>
    <r>
      <rPr>
        <sz val="8"/>
        <rFont val="ＭＳ Ｐ明朝"/>
        <family val="1"/>
        <charset val="128"/>
      </rPr>
      <t xml:space="preserve">   Aug. 2024</t>
    </r>
    <phoneticPr fontId="12"/>
  </si>
  <si>
    <r>
      <t>Total</t>
    </r>
    <r>
      <rPr>
        <sz val="8"/>
        <rFont val="ＭＳ Ｐ明朝"/>
        <family val="1"/>
        <charset val="128"/>
      </rPr>
      <t xml:space="preserve">   Sep. 2024</t>
    </r>
    <phoneticPr fontId="12"/>
  </si>
  <si>
    <r>
      <t>Total</t>
    </r>
    <r>
      <rPr>
        <sz val="8"/>
        <rFont val="ＭＳ Ｐ明朝"/>
        <family val="1"/>
        <charset val="128"/>
      </rPr>
      <t xml:space="preserve">   Oct. 2024</t>
    </r>
    <phoneticPr fontId="12"/>
  </si>
  <si>
    <r>
      <t>Total</t>
    </r>
    <r>
      <rPr>
        <sz val="8"/>
        <rFont val="ＭＳ Ｐ明朝"/>
        <family val="1"/>
        <charset val="128"/>
      </rPr>
      <t xml:space="preserve">   Nov. 2024</t>
    </r>
    <phoneticPr fontId="12"/>
  </si>
  <si>
    <r>
      <t>Total</t>
    </r>
    <r>
      <rPr>
        <sz val="8"/>
        <rFont val="ＭＳ Ｐ明朝"/>
        <family val="1"/>
        <charset val="128"/>
      </rPr>
      <t xml:space="preserve">   Dec. 2024</t>
    </r>
    <phoneticPr fontId="12"/>
  </si>
  <si>
    <t>令和7年</t>
  </si>
  <si>
    <r>
      <t>Total</t>
    </r>
    <r>
      <rPr>
        <sz val="8"/>
        <rFont val="ＭＳ Ｐ明朝"/>
        <family val="1"/>
        <charset val="128"/>
      </rPr>
      <t xml:space="preserve">   Jan. 2025</t>
    </r>
    <phoneticPr fontId="12"/>
  </si>
  <si>
    <r>
      <t>Total</t>
    </r>
    <r>
      <rPr>
        <sz val="8"/>
        <rFont val="ＭＳ Ｐ明朝"/>
        <family val="1"/>
        <charset val="128"/>
      </rPr>
      <t xml:space="preserve">   Feb. 2025</t>
    </r>
    <phoneticPr fontId="12"/>
  </si>
  <si>
    <r>
      <t>Total</t>
    </r>
    <r>
      <rPr>
        <sz val="8"/>
        <rFont val="ＭＳ Ｐ明朝"/>
        <family val="1"/>
        <charset val="128"/>
      </rPr>
      <t xml:space="preserve">   Mar. 2025</t>
    </r>
    <phoneticPr fontId="12"/>
  </si>
  <si>
    <t xml:space="preserve">注 1 : M &amp; I =製造・輸入業者 </t>
    <rPh sb="13" eb="15">
      <t>セイゾウ</t>
    </rPh>
    <rPh sb="16" eb="18">
      <t>ユニュウ</t>
    </rPh>
    <rPh sb="18" eb="20">
      <t>ギョウシャ</t>
    </rPh>
    <phoneticPr fontId="49"/>
  </si>
  <si>
    <t xml:space="preserve">  1月</t>
    <phoneticPr fontId="14"/>
  </si>
  <si>
    <t xml:space="preserve">  (単位：kl/Unit: kl)</t>
    <phoneticPr fontId="76"/>
  </si>
  <si>
    <t>Lubricating  
Oil</t>
    <phoneticPr fontId="76"/>
  </si>
  <si>
    <t>(単位：万kl/Unit: 10 thousand kl)</t>
    <rPh sb="1" eb="3">
      <t>タンイ</t>
    </rPh>
    <rPh sb="4" eb="5">
      <t>マン</t>
    </rPh>
    <phoneticPr fontId="14"/>
  </si>
  <si>
    <t>備蓄日数
 Days
(d)</t>
    <rPh sb="0" eb="2">
      <t>ビチク</t>
    </rPh>
    <rPh sb="2" eb="4">
      <t>ニッスウ</t>
    </rPh>
    <phoneticPr fontId="14"/>
  </si>
  <si>
    <t>備蓄日数
Days
(d)</t>
    <rPh sb="0" eb="2">
      <t>ビチク</t>
    </rPh>
    <rPh sb="2" eb="4">
      <t>ニッスウ</t>
    </rPh>
    <phoneticPr fontId="14"/>
  </si>
  <si>
    <t xml:space="preserve">令和6年    1月　 </t>
    <rPh sb="0" eb="2">
      <t>レイワ</t>
    </rPh>
    <phoneticPr fontId="35"/>
  </si>
  <si>
    <t>令和7年    1</t>
    <phoneticPr fontId="35"/>
  </si>
  <si>
    <t>注 1 : 原油の製品換算は原油量に0.95を乗じたものである。</t>
    <rPh sb="0" eb="1">
      <t>チュウ</t>
    </rPh>
    <rPh sb="6" eb="8">
      <t>ゲンユ</t>
    </rPh>
    <rPh sb="9" eb="11">
      <t>セイヒン</t>
    </rPh>
    <rPh sb="11" eb="13">
      <t>カンサン</t>
    </rPh>
    <rPh sb="14" eb="16">
      <t>ゲンユ</t>
    </rPh>
    <rPh sb="16" eb="17">
      <t>リョウ</t>
    </rPh>
    <rPh sb="23" eb="24">
      <t>ジョウ</t>
    </rPh>
    <phoneticPr fontId="14"/>
  </si>
  <si>
    <t>Note 1 : Products Equivalent = Crude Oil * 0.95</t>
    <phoneticPr fontId="35"/>
  </si>
  <si>
    <t>注 2 : 資源エネルギー庁調べ。</t>
    <rPh sb="0" eb="1">
      <t>チュウ</t>
    </rPh>
    <rPh sb="6" eb="8">
      <t>シゲン</t>
    </rPh>
    <rPh sb="8" eb="14">
      <t>エネルギーチョウ</t>
    </rPh>
    <rPh sb="14" eb="15">
      <t>シラ</t>
    </rPh>
    <phoneticPr fontId="14"/>
  </si>
  <si>
    <t>Note 2 : The source is Agency for Natural Resources and Energy.</t>
    <phoneticPr fontId="35"/>
  </si>
  <si>
    <t>注 1 : 出典は財務省貿易統計。</t>
    <rPh sb="0" eb="1">
      <t>チュウ</t>
    </rPh>
    <rPh sb="6" eb="8">
      <t>シュッテン</t>
    </rPh>
    <rPh sb="9" eb="12">
      <t>ザイムショウ</t>
    </rPh>
    <rPh sb="12" eb="14">
      <t>ボウエキ</t>
    </rPh>
    <rPh sb="14" eb="16">
      <t>トウケイ</t>
    </rPh>
    <phoneticPr fontId="14"/>
  </si>
  <si>
    <t>Note 1 : The source is Ministry of Finance.</t>
    <phoneticPr fontId="35"/>
  </si>
  <si>
    <t>注 2 : 原油（ドル／バレル）は石油連盟「石油資料月報」による。</t>
    <rPh sb="0" eb="1">
      <t>チュウ</t>
    </rPh>
    <rPh sb="6" eb="8">
      <t>ゲンユ</t>
    </rPh>
    <rPh sb="17" eb="19">
      <t>セキユ</t>
    </rPh>
    <rPh sb="19" eb="21">
      <t>レンメイ</t>
    </rPh>
    <rPh sb="22" eb="24">
      <t>セキユ</t>
    </rPh>
    <rPh sb="24" eb="26">
      <t>シリョウ</t>
    </rPh>
    <rPh sb="26" eb="28">
      <t>ゲッポウ</t>
    </rPh>
    <phoneticPr fontId="14"/>
  </si>
  <si>
    <t>Note 2 : Numeric Value of $/barrel by Petroleum Association of Japan.</t>
    <phoneticPr fontId="35"/>
  </si>
  <si>
    <t>注 3 : ナフサは石化用ナフサの輸入価格。</t>
    <rPh sb="0" eb="1">
      <t>チュウ</t>
    </rPh>
    <rPh sb="10" eb="12">
      <t>セッカ</t>
    </rPh>
    <rPh sb="12" eb="13">
      <t>ヨウ</t>
    </rPh>
    <rPh sb="17" eb="19">
      <t>ユニュウ</t>
    </rPh>
    <rPh sb="19" eb="21">
      <t>カカク</t>
    </rPh>
    <phoneticPr fontId="14"/>
  </si>
  <si>
    <t>Note 3 : The import price of naphtha is for petrochemistry.</t>
    <phoneticPr fontId="35"/>
  </si>
  <si>
    <t>注 4 : A重油は農林漁業用の輸入価格。</t>
    <rPh sb="0" eb="1">
      <t>チュウ</t>
    </rPh>
    <rPh sb="7" eb="9">
      <t>ジュウユ</t>
    </rPh>
    <rPh sb="10" eb="12">
      <t>ノウリン</t>
    </rPh>
    <rPh sb="12" eb="15">
      <t>ギョギョウヨウ</t>
    </rPh>
    <rPh sb="16" eb="18">
      <t>ユニュウ</t>
    </rPh>
    <rPh sb="18" eb="20">
      <t>カカク</t>
    </rPh>
    <phoneticPr fontId="14"/>
  </si>
  <si>
    <t>Note 4 : The import price of fuel oil A is for agriculture, forestry and fishery.</t>
    <phoneticPr fontId="35"/>
  </si>
  <si>
    <t>注 5 : C重油は低硫黄C重油の輸入価格。</t>
    <rPh sb="0" eb="1">
      <t>チュウ</t>
    </rPh>
    <rPh sb="7" eb="9">
      <t>ジュウユ</t>
    </rPh>
    <rPh sb="10" eb="13">
      <t>テイイオウ</t>
    </rPh>
    <rPh sb="14" eb="16">
      <t>ジュウユ</t>
    </rPh>
    <rPh sb="17" eb="19">
      <t>ユニュウ</t>
    </rPh>
    <rPh sb="19" eb="21">
      <t>カカク</t>
    </rPh>
    <phoneticPr fontId="14"/>
  </si>
  <si>
    <t>Note 5 : The import price of fuel oil C shows the price of low sulfur spec.</t>
    <phoneticPr fontId="35"/>
  </si>
  <si>
    <t>３．原油契約期間別、供給者区分別、国別輸入 /
Import of Crude Oil by Contract, Supplier and Country</t>
    <phoneticPr fontId="14"/>
  </si>
  <si>
    <t>(１）原油契約期間別、月別輸入、CIF総額、平均API度及び平均硫黄分 /</t>
    <phoneticPr fontId="14"/>
  </si>
  <si>
    <t>　　　 Import of Crude Oil, Value（CIF）, Average API gravity and Average Sulfur by Month and Contract</t>
    <phoneticPr fontId="14"/>
  </si>
  <si>
    <t>輸入量(kl)                                                                       Import of Crude Oil  ( kl )</t>
    <phoneticPr fontId="14"/>
  </si>
  <si>
    <t>Term Contract</t>
  </si>
  <si>
    <t>Spot Contract</t>
  </si>
  <si>
    <t>令和2年</t>
  </si>
  <si>
    <t>C.Y. 2020</t>
    <phoneticPr fontId="14"/>
  </si>
  <si>
    <t>　　3</t>
    <phoneticPr fontId="35"/>
  </si>
  <si>
    <t>C.Y. 2021</t>
    <phoneticPr fontId="14"/>
  </si>
  <si>
    <t>　　4</t>
    <phoneticPr fontId="35"/>
  </si>
  <si>
    <t>C.Y. 2022</t>
    <phoneticPr fontId="14"/>
  </si>
  <si>
    <t>　　5</t>
    <phoneticPr fontId="35"/>
  </si>
  <si>
    <t>C.Y. 2023</t>
    <phoneticPr fontId="14"/>
  </si>
  <si>
    <t>　　6</t>
    <phoneticPr fontId="35"/>
  </si>
  <si>
    <t>令和5年度</t>
  </si>
  <si>
    <t>F.Y. 2023</t>
    <phoneticPr fontId="14"/>
  </si>
  <si>
    <t>令和6年 1～ 3月</t>
  </si>
  <si>
    <t>Q1 2024</t>
    <phoneticPr fontId="14"/>
  </si>
  <si>
    <t xml:space="preserve">        4～ 6</t>
    <phoneticPr fontId="35"/>
  </si>
  <si>
    <t xml:space="preserve">        7～ 9</t>
    <phoneticPr fontId="35"/>
  </si>
  <si>
    <t xml:space="preserve">       10～12</t>
    <phoneticPr fontId="35"/>
  </si>
  <si>
    <t>令和7年 1～ 3</t>
    <phoneticPr fontId="35"/>
  </si>
  <si>
    <t>Q1 2025</t>
    <phoneticPr fontId="14"/>
  </si>
  <si>
    <t>令和6年  1月</t>
    <phoneticPr fontId="35"/>
  </si>
  <si>
    <t>Jan. 2024</t>
    <phoneticPr fontId="14"/>
  </si>
  <si>
    <t>令和7年  1</t>
    <phoneticPr fontId="35"/>
  </si>
  <si>
    <t>Jan. 2025</t>
    <phoneticPr fontId="14"/>
  </si>
  <si>
    <t>注 : 出典は資源エネルギー庁「石油輸入調査」。</t>
    <rPh sb="0" eb="1">
      <t>チュウ</t>
    </rPh>
    <rPh sb="4" eb="6">
      <t>シュッテン</t>
    </rPh>
    <rPh sb="7" eb="9">
      <t>シゲン</t>
    </rPh>
    <rPh sb="14" eb="15">
      <t>チョウ</t>
    </rPh>
    <rPh sb="16" eb="18">
      <t>セキユ</t>
    </rPh>
    <rPh sb="18" eb="20">
      <t>ユニュウ</t>
    </rPh>
    <rPh sb="20" eb="22">
      <t>チョウサ</t>
    </rPh>
    <phoneticPr fontId="14"/>
  </si>
  <si>
    <t>Note : The source is "The Crude Oil Import Survey" by Agency for Natural Resources and Energy.</t>
    <phoneticPr fontId="14"/>
  </si>
  <si>
    <t>（単位：kl／Unit: kl）</t>
    <rPh sb="1" eb="3">
      <t>タンイ</t>
    </rPh>
    <phoneticPr fontId="14"/>
  </si>
  <si>
    <t>Q1 2024</t>
  </si>
  <si>
    <t>Q2</t>
  </si>
  <si>
    <t>Q3</t>
  </si>
  <si>
    <t>Q4</t>
  </si>
  <si>
    <t>Q1 2025</t>
  </si>
  <si>
    <t xml:space="preserve">（３）原油国別、契約期間別輸入、平均API度及び平均硫黄分（令和6年） / </t>
    <phoneticPr fontId="14"/>
  </si>
  <si>
    <t>　　　 Import of Crude Oil, Average API gravity and Average Sulfur by Country and Contract(C.Y. 2024)</t>
    <phoneticPr fontId="14"/>
  </si>
  <si>
    <t>輸入量(kl)   Import of Crude Oil  (kl)</t>
    <phoneticPr fontId="14"/>
  </si>
  <si>
    <t>Share (%)</t>
    <phoneticPr fontId="14"/>
  </si>
  <si>
    <t>（60℉）</t>
    <phoneticPr fontId="14"/>
  </si>
  <si>
    <t>注 1 : 出典は資源エネルギー庁「石油輸入調査」。</t>
    <rPh sb="0" eb="1">
      <t>チュウ</t>
    </rPh>
    <rPh sb="6" eb="8">
      <t>シュッテン</t>
    </rPh>
    <rPh sb="9" eb="11">
      <t>シゲン</t>
    </rPh>
    <rPh sb="16" eb="17">
      <t>チョウ</t>
    </rPh>
    <rPh sb="18" eb="20">
      <t>セキユ</t>
    </rPh>
    <rPh sb="20" eb="22">
      <t>ユニュウ</t>
    </rPh>
    <rPh sb="22" eb="24">
      <t>チョウサ</t>
    </rPh>
    <phoneticPr fontId="14"/>
  </si>
  <si>
    <t>注 2 : 2社以下の集計数量に係る箇所は、秘匿措置（X）を講じている。</t>
    <rPh sb="0" eb="1">
      <t>チュウ</t>
    </rPh>
    <rPh sb="7" eb="10">
      <t>シャイカ</t>
    </rPh>
    <rPh sb="11" eb="13">
      <t>シュウケイ</t>
    </rPh>
    <rPh sb="13" eb="15">
      <t>スウリョウ</t>
    </rPh>
    <rPh sb="16" eb="17">
      <t>カカ</t>
    </rPh>
    <rPh sb="18" eb="20">
      <t>カショ</t>
    </rPh>
    <rPh sb="22" eb="24">
      <t>ヒトク</t>
    </rPh>
    <rPh sb="24" eb="26">
      <t>ソチ</t>
    </rPh>
    <rPh sb="30" eb="31">
      <t>コウ</t>
    </rPh>
    <phoneticPr fontId="14"/>
  </si>
  <si>
    <t>注 3 : 「その他」は、輸入実績が2社以下の国。令和6年の内訳は、ブルネイ、インドネシア、バーレーン、中立地帯、オマーン、カナダ、スーダン。</t>
    <phoneticPr fontId="65"/>
  </si>
  <si>
    <t>Note 1 : The source is "The Crude Oil Import Survey" by Agency for Natural Resources and Energy.</t>
    <phoneticPr fontId="14"/>
  </si>
  <si>
    <t>Note 2 : As for sign of "X", the number of companies means two or less. Therefore, import volume does not describe the kind of the contract clearly.</t>
    <phoneticPr fontId="14"/>
  </si>
  <si>
    <t>Note 3 : Others include Brunei, Indonesia, Bahrain, Neutral Zone, Oman, Canada and Sudan.</t>
    <phoneticPr fontId="14"/>
  </si>
  <si>
    <t xml:space="preserve">           The number of companies that imported it from these countries is two or less.</t>
    <phoneticPr fontId="14"/>
  </si>
  <si>
    <t xml:space="preserve">（４）原油国別、契約期間別輸入、平均API度及び平均硫黄分（令和6年度） / </t>
    <phoneticPr fontId="14"/>
  </si>
  <si>
    <t>　　　 Import of Crude Oil, Average API gravity and Average Sulfur by Country and Contract(F.Y. 2024)</t>
    <phoneticPr fontId="14"/>
  </si>
  <si>
    <t>注 3 : 「その他」は、輸入実績が2社以下の国。令和6年度の内訳は、ベトナム、マレーシア、ブルネイ、インドネシア、中立地帯、カナダ、スーダン。</t>
    <phoneticPr fontId="65"/>
  </si>
  <si>
    <t>Note 3 : Others include Viet Nam, Malaysia, Brunei, Indonesia, Neutral Zone, Canada and Sudan.</t>
    <phoneticPr fontId="14"/>
  </si>
  <si>
    <t>注 2 : 2社以下の集計金額に係る箇所は、秘匿措置（X）を講じている。</t>
    <rPh sb="0" eb="1">
      <t>チュウ</t>
    </rPh>
    <rPh sb="7" eb="10">
      <t>シャイカ</t>
    </rPh>
    <rPh sb="11" eb="13">
      <t>シュウケイ</t>
    </rPh>
    <rPh sb="13" eb="15">
      <t>キンガク</t>
    </rPh>
    <rPh sb="16" eb="17">
      <t>カカ</t>
    </rPh>
    <rPh sb="18" eb="20">
      <t>カショ</t>
    </rPh>
    <rPh sb="22" eb="24">
      <t>ヒトク</t>
    </rPh>
    <rPh sb="24" eb="26">
      <t>ソチ</t>
    </rPh>
    <rPh sb="30" eb="31">
      <t>コウ</t>
    </rPh>
    <phoneticPr fontId="14"/>
  </si>
  <si>
    <t>Note 2 : As for sign of "X", the number of companies means two or less. Therefore, import value does not describe the kind of the contract clearly.</t>
    <phoneticPr fontId="14"/>
  </si>
  <si>
    <t>（６）原油国別、契約期間別、CIF総額（令和6年度） / Import of Crude Oil Value(CIF) by Country and Contract(F.Y. 2024)</t>
    <phoneticPr fontId="14"/>
  </si>
  <si>
    <t>Note 2 : As for sign of "X" , the number of companies means two or less. Therefore, import value does not describe the kind of the contract clearly.</t>
    <phoneticPr fontId="14"/>
  </si>
  <si>
    <t xml:space="preserve">（７）原油国別船積数量、FOB、運賃総額及び保険料総額（令和6年） / </t>
    <phoneticPr fontId="14"/>
  </si>
  <si>
    <t>　　　 Import of Crude Oil, Shipped Quantity, FOB, Freight and Insurance by Country (C.Y. 2024)</t>
    <phoneticPr fontId="14"/>
  </si>
  <si>
    <t>注 2 : 「その他」は、輸入実績が2社以下の国。令和6年の内訳は、ブルネイ、インドネシア、バーレーン、中立地帯、オマーン、カナダ、スーダン。</t>
    <phoneticPr fontId="65"/>
  </si>
  <si>
    <t>Note 2 : Others include Brunei, Indonesia, Bahrain, Neutral Zone, Oman, Canada and Sudan.</t>
    <phoneticPr fontId="14"/>
  </si>
  <si>
    <t xml:space="preserve">（８）原油国別船積数量、FOB、運賃総額及び保険料総額（令和6年度） / </t>
    <phoneticPr fontId="14"/>
  </si>
  <si>
    <t>　　　 Import of Crude Oil, Shipped Quantity, FOB, Freight and Insurance by Country (F.Y. 2024)</t>
    <phoneticPr fontId="14"/>
  </si>
  <si>
    <t>注 2 : 「その他」は、輸入実績が2社以下の国。令和6年度の内訳は、ベトナム、マレーシア、ブルネイ、インドネシア、中立地帯、カナダ、スーダン。</t>
    <phoneticPr fontId="65"/>
  </si>
  <si>
    <t>Note 2 : Others include Viet Nam, Malaysia, Brunei, Indonesia, Neutral Zone, Canada and Sudan.</t>
    <phoneticPr fontId="14"/>
  </si>
  <si>
    <t>４．液化天然ガス（LNG）輸入量、消費量、在庫量 / LNG Import, Consumption and Inventory</t>
    <rPh sb="2" eb="4">
      <t>エキカ</t>
    </rPh>
    <rPh sb="4" eb="6">
      <t>テンネン</t>
    </rPh>
    <rPh sb="13" eb="16">
      <t>ユニュウリョウ</t>
    </rPh>
    <rPh sb="17" eb="20">
      <t>ショウヒリョウ</t>
    </rPh>
    <rPh sb="21" eb="23">
      <t>ザイコ</t>
    </rPh>
    <rPh sb="23" eb="24">
      <t>リョウ</t>
    </rPh>
    <phoneticPr fontId="35"/>
  </si>
  <si>
    <t>（１）液化天然ガス（LNG）輸入量、消費量、在庫量 / LNG Import, Consumption and Inventory</t>
    <rPh sb="3" eb="5">
      <t>エキカ</t>
    </rPh>
    <rPh sb="5" eb="7">
      <t>テンネン</t>
    </rPh>
    <rPh sb="18" eb="21">
      <t>ショウヒリョウ</t>
    </rPh>
    <phoneticPr fontId="35"/>
  </si>
  <si>
    <t>（単位：t／Unit: ton）</t>
    <rPh sb="1" eb="3">
      <t>タンイ</t>
    </rPh>
    <phoneticPr fontId="35"/>
  </si>
  <si>
    <t>令和6年</t>
    <rPh sb="0" eb="2">
      <t>レイワ</t>
    </rPh>
    <rPh sb="3" eb="4">
      <t>ネン</t>
    </rPh>
    <phoneticPr fontId="35"/>
  </si>
  <si>
    <t>令和6年 1 月</t>
    <phoneticPr fontId="35"/>
  </si>
  <si>
    <t>注 1 : ※１の出典は財務省「普通貿易統計」。</t>
    <rPh sb="0" eb="1">
      <t>チュウ</t>
    </rPh>
    <rPh sb="9" eb="11">
      <t>シュッテン</t>
    </rPh>
    <rPh sb="12" eb="15">
      <t>ザイムショウ</t>
    </rPh>
    <phoneticPr fontId="35"/>
  </si>
  <si>
    <t>注 2 : ※２の出典は資源エネルギー庁「電力調査統計」。</t>
    <rPh sb="12" eb="14">
      <t>シゲン</t>
    </rPh>
    <rPh sb="19" eb="20">
      <t>チョウ</t>
    </rPh>
    <rPh sb="21" eb="23">
      <t>デンリョク</t>
    </rPh>
    <rPh sb="23" eb="25">
      <t>チョウサ</t>
    </rPh>
    <rPh sb="25" eb="27">
      <t>トウケイ</t>
    </rPh>
    <phoneticPr fontId="35"/>
  </si>
  <si>
    <t>注 3 : ※３の出典は資源エネルギー庁「ガス事業生産動態統計」。</t>
    <rPh sb="23" eb="25">
      <t>ジギョウ</t>
    </rPh>
    <rPh sb="25" eb="27">
      <t>セイサン</t>
    </rPh>
    <rPh sb="27" eb="29">
      <t>ドウタイ</t>
    </rPh>
    <rPh sb="29" eb="31">
      <t>トウケイ</t>
    </rPh>
    <phoneticPr fontId="35"/>
  </si>
  <si>
    <t>注 4 : 注1から注3のすべての統計表が公表された年次分を掲載。</t>
    <rPh sb="0" eb="1">
      <t>チュウ</t>
    </rPh>
    <rPh sb="6" eb="7">
      <t>チュウ</t>
    </rPh>
    <rPh sb="10" eb="11">
      <t>チュウ</t>
    </rPh>
    <rPh sb="17" eb="20">
      <t>トウケイヒョウ</t>
    </rPh>
    <rPh sb="21" eb="23">
      <t>コウヒョウ</t>
    </rPh>
    <rPh sb="26" eb="28">
      <t>ネンジ</t>
    </rPh>
    <rPh sb="28" eb="29">
      <t>ブン</t>
    </rPh>
    <rPh sb="30" eb="32">
      <t>ケイサイ</t>
    </rPh>
    <phoneticPr fontId="35"/>
  </si>
  <si>
    <t>Note 1 : ※1 The source is "Trade Statistics of Japan" by Ministry of Finance.</t>
    <phoneticPr fontId="35"/>
  </si>
  <si>
    <t>Note 2 : ※2 The source is "Electric Power Investigation Statistics" by Agency for Natural Resources and Energy.</t>
    <phoneticPr fontId="35"/>
  </si>
  <si>
    <t>Note 3 : ※3 The source is "Current Survey of Production Concerning Gas Industry" by Agency for Natural Resources and Energy.</t>
    <phoneticPr fontId="35"/>
  </si>
  <si>
    <t>Note 4 : All statistical tables are for the year in which they were published.</t>
    <phoneticPr fontId="35"/>
  </si>
  <si>
    <t>（２）液化天然ガス（LNG）国別、月別輸入量 / LNG Monthly Import by Country</t>
    <rPh sb="3" eb="5">
      <t>エキカ</t>
    </rPh>
    <rPh sb="5" eb="7">
      <t>テンネン</t>
    </rPh>
    <rPh sb="14" eb="16">
      <t>クニベツ</t>
    </rPh>
    <rPh sb="17" eb="19">
      <t>ツキベツ</t>
    </rPh>
    <rPh sb="19" eb="22">
      <t>ユニュウリョウ</t>
    </rPh>
    <phoneticPr fontId="35"/>
  </si>
  <si>
    <t>シンガポール</t>
    <phoneticPr fontId="35"/>
  </si>
  <si>
    <t>Singapore</t>
    <phoneticPr fontId="35"/>
  </si>
  <si>
    <t>令和6年  1 月</t>
    <phoneticPr fontId="35"/>
  </si>
  <si>
    <t>カナダ</t>
    <phoneticPr fontId="35"/>
  </si>
  <si>
    <t>Canada</t>
    <phoneticPr fontId="35"/>
  </si>
  <si>
    <t>カメルーン</t>
    <phoneticPr fontId="35"/>
  </si>
  <si>
    <t>Cameroon</t>
    <phoneticPr fontId="35"/>
  </si>
  <si>
    <t>注 : 出典は「普通貿易統計」。</t>
    <rPh sb="0" eb="1">
      <t>チュウ</t>
    </rPh>
    <rPh sb="4" eb="6">
      <t>シュッテン</t>
    </rPh>
    <phoneticPr fontId="35"/>
  </si>
  <si>
    <t>Note : The source is "Trade Statistics of Japan" by Ministry of Finance.</t>
    <phoneticPr fontId="35"/>
  </si>
  <si>
    <t>中華人民
共和国
People's Republic of China</t>
    <phoneticPr fontId="34"/>
  </si>
  <si>
    <t>アラブ首長国
連邦
United Arab
Emirates</t>
    <phoneticPr fontId="34"/>
  </si>
  <si>
    <t>（６）原油国別、契約期間別、CIF総額（令和6年度） / Import of  Crude Oil Value(CIF) by Country and Contract(F.Y. 2024)</t>
    <phoneticPr fontId="14"/>
  </si>
  <si>
    <t>（７）製造業者・輸入業者品種別、月別消費者・販売業者向販売及び在庫内訳 / Monthly Inventory and Sales to Consumers, Wholesalers and Retailers by Manufacturers and Importers</t>
    <phoneticPr fontId="14"/>
  </si>
  <si>
    <t>（３）原油国別、契約期間別輸入、平均API度及び平均硫黄分（令和6年） / Import of Crude Oil, Average API gravity and Average Sulfur by Country and Contract(C.Y. 2024)</t>
    <rPh sb="3" eb="5">
      <t>ゲンユ</t>
    </rPh>
    <rPh sb="21" eb="22">
      <t>ド</t>
    </rPh>
    <phoneticPr fontId="14"/>
  </si>
  <si>
    <t>（８）原油国別船積数量、FOB、運賃総額及び保険料総額（令和6年度） / Import of Crude Oil, Shipped Quantity, FOB, Freight and Insurance by Country (F.Y. 2024)</t>
    <rPh sb="3" eb="5">
      <t>ゲンユ</t>
    </rPh>
    <phoneticPr fontId="14"/>
  </si>
  <si>
    <t>Inventory at Start of Year</t>
    <phoneticPr fontId="35"/>
  </si>
  <si>
    <t>Refiners</t>
    <phoneticPr fontId="35"/>
  </si>
  <si>
    <t>Manufacturers and Importers</t>
    <phoneticPr fontId="35"/>
  </si>
  <si>
    <t>Production Division</t>
    <phoneticPr fontId="35"/>
  </si>
  <si>
    <t>Imports</t>
    <phoneticPr fontId="35"/>
  </si>
  <si>
    <t>Return from Petrochemical  Industry</t>
    <phoneticPr fontId="12"/>
  </si>
  <si>
    <t>Other Receipts</t>
    <phoneticPr fontId="35"/>
  </si>
  <si>
    <t>Domestic Sales</t>
    <phoneticPr fontId="35"/>
  </si>
  <si>
    <t>Exports</t>
    <phoneticPr fontId="35"/>
  </si>
  <si>
    <t>Own Consumption</t>
    <phoneticPr fontId="35"/>
  </si>
  <si>
    <t>Other Shipments</t>
    <phoneticPr fontId="3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</si>
</sst>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6" formatCode="&quot;¥&quot;#,##0;[Red]&quot;¥&quot;\-#,##0"/>
    <numFmt numFmtId="176" formatCode="mmm\."/>
    <numFmt numFmtId="177" formatCode="#,##0;&quot;▲ &quot;#,##0;#.##0;* @"/>
    <numFmt numFmtId="178" formatCode="mmm\.\ yyyy"/>
    <numFmt numFmtId="179" formatCode="&quot;Q1&quot;\ \ yyyy"/>
    <numFmt numFmtId="180" formatCode="&quot;Q4&quot;\ \ "/>
    <numFmt numFmtId="181" formatCode="&quot;Q3&quot;\ \ "/>
    <numFmt numFmtId="182" formatCode="&quot;Q2&quot;\ \ "/>
    <numFmt numFmtId="183" formatCode="&quot;F.Y.&quot;\ yyyy"/>
    <numFmt numFmtId="184" formatCode="&quot;C.Y.&quot;\ yyyy"/>
    <numFmt numFmtId="185" formatCode="#,##0;[Red]#,##0"/>
    <numFmt numFmtId="186" formatCode="\(#,##0\)"/>
    <numFmt numFmtId="187" formatCode="&quot;r&quot;\ #,##0;&quot;*&quot;&quot;*&quot;\ \ \ \ \ \ \ \ \ \ \ \ \ &quot;▲ &quot;#,##0"/>
    <numFmt numFmtId="188" formatCode="0_);[Red]\(0\)"/>
    <numFmt numFmtId="189" formatCode="mmm"/>
    <numFmt numFmtId="190" formatCode="m&quot;月&quot;"/>
    <numFmt numFmtId="191" formatCode="ggge&quot;年&quot;"/>
    <numFmt numFmtId="192" formatCode="#,##0,"/>
    <numFmt numFmtId="193" formatCode="0.00_ "/>
    <numFmt numFmtId="194" formatCode="#,##0_ ;[Red]\-#,##0\ "/>
    <numFmt numFmtId="195" formatCode="0.0_ "/>
    <numFmt numFmtId="196" formatCode="0.00;[Red]0.00"/>
    <numFmt numFmtId="197" formatCode="0.0;[Red]0.0"/>
    <numFmt numFmtId="198" formatCode="0.00000_ "/>
    <numFmt numFmtId="199" formatCode="#,##0.0;[Red]\-#,##0.0"/>
    <numFmt numFmtId="200" formatCode="#,##0;&quot;▲&quot;#.##0;#.##0;* @"/>
    <numFmt numFmtId="201" formatCode="#,##0.00;&quot;▲&quot;#.##000;#.##000;* @"/>
    <numFmt numFmtId="202" formatCode="#,##0_ "/>
    <numFmt numFmtId="203" formatCode="&quot;r&quot;\ \ \ #,##0;&quot;*&quot;&quot;*&quot;\ \ \ \ \ \ \ \ \ \ \ \ \ &quot;▲ &quot;#,##0"/>
    <numFmt numFmtId="204" formatCode="e&quot;年&quot;m&quot;月&quot;"/>
    <numFmt numFmtId="205" formatCode="0.00_);[Red]\(0.00\)"/>
  </numFmts>
  <fonts count="102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Arial"/>
      <family val="2"/>
    </font>
    <font>
      <sz val="6"/>
      <name val="ＭＳ Ｐゴシック"/>
      <family val="3"/>
      <charset val="128"/>
    </font>
    <font>
      <sz val="20"/>
      <name val="ＭＳ 明朝"/>
      <family val="1"/>
      <charset val="128"/>
    </font>
    <font>
      <sz val="10"/>
      <name val="ＭＳ Ｐゴシック"/>
      <family val="3"/>
      <charset val="128"/>
    </font>
    <font>
      <sz val="20"/>
      <name val="ＭＳ Ｐゴシック"/>
      <family val="3"/>
      <charset val="128"/>
    </font>
    <font>
      <sz val="20"/>
      <name val="ＭＳ ゴシック"/>
      <family val="3"/>
      <charset val="128"/>
    </font>
    <font>
      <sz val="8"/>
      <name val="ＭＳ Ｐ明朝"/>
      <family val="1"/>
      <charset val="128"/>
    </font>
    <font>
      <sz val="8"/>
      <name val="ＭＳ 明朝"/>
      <family val="1"/>
      <charset val="128"/>
    </font>
    <font>
      <sz val="7"/>
      <name val="ＭＳ Ｐ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u/>
      <sz val="9"/>
      <color theme="10"/>
      <name val="ＭＳ Ｐゴシック"/>
      <family val="3"/>
      <charset val="128"/>
    </font>
    <font>
      <sz val="11"/>
      <color theme="8" tint="-0.249977111117893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u/>
      <sz val="12"/>
      <color theme="10"/>
      <name val="ＭＳ Ｐゴシック"/>
      <family val="3"/>
      <charset val="128"/>
    </font>
    <font>
      <u/>
      <sz val="12"/>
      <color theme="1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b/>
      <sz val="26"/>
      <color rgb="FF130AC2"/>
      <name val="ＭＳ Ｐゴシック"/>
      <family val="3"/>
      <charset val="128"/>
      <scheme val="minor"/>
    </font>
    <font>
      <sz val="11"/>
      <color rgb="FF130AC2"/>
      <name val="ＭＳ Ｐゴシック"/>
      <family val="3"/>
      <charset val="128"/>
      <scheme val="minor"/>
    </font>
    <font>
      <b/>
      <sz val="12"/>
      <color rgb="FF00B0F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0"/>
      <name val="ＭＳ 明朝"/>
      <family val="1"/>
      <charset val="128"/>
    </font>
    <font>
      <sz val="11"/>
      <color indexed="8"/>
      <name val="ＭＳ Ｐ明朝"/>
      <family val="1"/>
      <charset val="128"/>
    </font>
    <font>
      <sz val="7"/>
      <color indexed="8"/>
      <name val="ＭＳ Ｐ明朝"/>
      <family val="1"/>
      <charset val="128"/>
    </font>
    <font>
      <sz val="8"/>
      <color indexed="8"/>
      <name val="ＭＳ Ｐ明朝"/>
      <family val="1"/>
      <charset val="128"/>
    </font>
    <font>
      <sz val="7.5"/>
      <color indexed="8"/>
      <name val="ＭＳ Ｐ明朝"/>
      <family val="1"/>
      <charset val="128"/>
    </font>
    <font>
      <sz val="7.1"/>
      <color indexed="8"/>
      <name val="ＭＳ Ｐ明朝"/>
      <family val="1"/>
      <charset val="128"/>
    </font>
    <font>
      <sz val="14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7"/>
      <color indexed="8"/>
      <name val="ＭＳ Ｐゴシック"/>
      <family val="3"/>
      <charset val="128"/>
    </font>
    <font>
      <sz val="4"/>
      <color indexed="8"/>
      <name val="ＭＳ Ｐ明朝"/>
      <family val="1"/>
      <charset val="128"/>
    </font>
    <font>
      <b/>
      <sz val="14"/>
      <color indexed="8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14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8"/>
      <name val="ＭＳ Ｐ明朝"/>
      <family val="1"/>
      <charset val="128"/>
    </font>
    <font>
      <sz val="6"/>
      <name val="ＭＳ Ｐ明朝"/>
      <family val="1"/>
      <charset val="128"/>
    </font>
    <font>
      <b/>
      <sz val="14"/>
      <color indexed="8"/>
      <name val="ＭＳ Ｐゴシック"/>
      <family val="3"/>
      <charset val="128"/>
    </font>
    <font>
      <sz val="14"/>
      <name val="ＭＳ Ｐゴシック"/>
      <family val="3"/>
      <charset val="128"/>
    </font>
    <font>
      <sz val="7.8"/>
      <name val="ＭＳ Ｐ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4"/>
      <name val="ＭＳ ゴシック"/>
      <family val="3"/>
      <charset val="128"/>
    </font>
    <font>
      <b/>
      <sz val="10"/>
      <name val="ＭＳ Ｐゴシック"/>
      <family val="3"/>
      <charset val="128"/>
    </font>
    <font>
      <b/>
      <sz val="10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name val="ＭＳ Ｐ明朝"/>
      <family val="1"/>
      <charset val="128"/>
    </font>
    <font>
      <sz val="12"/>
      <color indexed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8"/>
      <color rgb="FFC00000"/>
      <name val="ＭＳ Ｐ明朝"/>
      <family val="1"/>
      <charset val="128"/>
    </font>
    <font>
      <sz val="9"/>
      <name val="ｺﾞｼｯｸ"/>
      <family val="3"/>
      <charset val="128"/>
    </font>
    <font>
      <b/>
      <sz val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6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sz val="11"/>
      <color indexed="8"/>
      <name val="ＭＳ 明朝"/>
      <family val="1"/>
      <charset val="128"/>
    </font>
    <font>
      <b/>
      <sz val="16"/>
      <color indexed="8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ゴシック"/>
      <family val="3"/>
      <charset val="128"/>
    </font>
    <font>
      <sz val="12"/>
      <name val="ＭＳ ゴシック"/>
      <family val="3"/>
      <charset val="128"/>
    </font>
    <font>
      <vertAlign val="superscript"/>
      <sz val="8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明朝"/>
      <family val="1"/>
      <charset val="128"/>
    </font>
    <font>
      <b/>
      <sz val="10"/>
      <color indexed="8"/>
      <name val="ＭＳ Ｐゴシック"/>
      <family val="3"/>
      <charset val="128"/>
    </font>
    <font>
      <b/>
      <sz val="18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8"/>
      <color indexed="8"/>
      <name val="ＭＳ Ｐ明朝"/>
      <family val="1"/>
      <charset val="128"/>
    </font>
    <font>
      <sz val="9"/>
      <color indexed="8"/>
      <name val="ＭＳ Ｐゴシック"/>
      <family val="3"/>
      <charset val="128"/>
    </font>
    <font>
      <sz val="8"/>
      <color theme="1"/>
      <name val="ＭＳ Ｐ明朝"/>
      <family val="1"/>
      <charset val="128"/>
    </font>
    <font>
      <sz val="6.5"/>
      <name val="ＭＳ Ｐ明朝"/>
      <family val="1"/>
      <charset val="128"/>
    </font>
    <font>
      <sz val="6"/>
      <name val="ＭＳ Ｐゴシック"/>
      <family val="2"/>
      <charset val="128"/>
    </font>
    <font>
      <sz val="7.5"/>
      <name val="ＭＳ Ｐ明朝"/>
      <family val="1"/>
      <charset val="128"/>
    </font>
    <font>
      <sz val="20"/>
      <color rgb="FF000000"/>
      <name val="ＭＳ 明朝"/>
      <family val="1"/>
      <charset val="128"/>
    </font>
    <font>
      <sz val="4"/>
      <name val="ＭＳ Ｐ明朝"/>
      <family val="1"/>
      <charset val="128"/>
    </font>
    <font>
      <i/>
      <sz val="10"/>
      <name val="ＭＳ ゴシック"/>
      <family val="3"/>
      <charset val="128"/>
    </font>
    <font>
      <sz val="4"/>
      <color theme="1"/>
      <name val="ＭＳ Ｐ明朝"/>
      <family val="1"/>
      <charset val="128"/>
    </font>
    <font>
      <sz val="10"/>
      <color theme="1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7.4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30"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3" fillId="0" borderId="0"/>
    <xf numFmtId="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6" fontId="10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11" fillId="0" borderId="0"/>
    <xf numFmtId="0" fontId="22" fillId="0" borderId="0"/>
    <xf numFmtId="0" fontId="12" fillId="0" borderId="0"/>
    <xf numFmtId="37" fontId="12" fillId="0" borderId="0"/>
    <xf numFmtId="0" fontId="11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65">
    <xf numFmtId="0" fontId="0" fillId="0" borderId="0" xfId="0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1" applyFont="1" applyFill="1" applyAlignment="1" applyProtection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38" fontId="15" fillId="0" borderId="0" xfId="2" applyFont="1" applyFill="1" applyAlignment="1"/>
    <xf numFmtId="38" fontId="15" fillId="0" borderId="0" xfId="2" applyFont="1" applyFill="1" applyBorder="1" applyAlignment="1"/>
    <xf numFmtId="38" fontId="20" fillId="0" borderId="0" xfId="2" applyFont="1" applyFill="1" applyAlignment="1"/>
    <xf numFmtId="38" fontId="19" fillId="0" borderId="0" xfId="2" applyFont="1" applyFill="1" applyBorder="1" applyAlignment="1">
      <alignment horizontal="center" vertical="center" wrapText="1"/>
    </xf>
    <xf numFmtId="38" fontId="19" fillId="0" borderId="2" xfId="2" applyFont="1" applyFill="1" applyBorder="1" applyAlignment="1">
      <alignment horizontal="center" vertical="center" wrapText="1"/>
    </xf>
    <xf numFmtId="38" fontId="19" fillId="0" borderId="4" xfId="2" applyFont="1" applyFill="1" applyBorder="1" applyAlignment="1">
      <alignment horizontal="center" vertical="center" wrapText="1"/>
    </xf>
    <xf numFmtId="38" fontId="19" fillId="0" borderId="0" xfId="2" applyFont="1" applyFill="1" applyBorder="1" applyAlignment="1"/>
    <xf numFmtId="38" fontId="19" fillId="0" borderId="0" xfId="2" applyFont="1" applyFill="1" applyAlignment="1"/>
    <xf numFmtId="0" fontId="28" fillId="0" borderId="0" xfId="1" applyFont="1" applyFill="1" applyBorder="1" applyAlignment="1" applyProtection="1">
      <alignment vertical="center"/>
    </xf>
    <xf numFmtId="0" fontId="28" fillId="0" borderId="0" xfId="1" quotePrefix="1" applyFont="1" applyFill="1" applyAlignment="1" applyProtection="1">
      <alignment vertical="center"/>
    </xf>
    <xf numFmtId="0" fontId="16" fillId="0" borderId="0" xfId="5" applyFont="1"/>
    <xf numFmtId="0" fontId="15" fillId="0" borderId="0" xfId="5" applyFont="1"/>
    <xf numFmtId="0" fontId="19" fillId="0" borderId="0" xfId="5" applyFont="1" applyAlignment="1">
      <alignment horizontal="right"/>
    </xf>
    <xf numFmtId="0" fontId="15" fillId="0" borderId="0" xfId="5" applyFont="1" applyAlignment="1">
      <alignment horizontal="center" vertical="center"/>
    </xf>
    <xf numFmtId="38" fontId="19" fillId="0" borderId="3" xfId="2" applyFont="1" applyFill="1" applyBorder="1" applyAlignment="1">
      <alignment horizontal="center" vertical="center" wrapText="1"/>
    </xf>
    <xf numFmtId="0" fontId="19" fillId="0" borderId="0" xfId="5" applyFont="1"/>
    <xf numFmtId="0" fontId="19" fillId="0" borderId="3" xfId="5" applyFont="1" applyBorder="1" applyAlignment="1">
      <alignment horizontal="center" vertical="center" wrapText="1"/>
    </xf>
    <xf numFmtId="0" fontId="21" fillId="0" borderId="2" xfId="5" applyFont="1" applyBorder="1" applyAlignment="1">
      <alignment horizontal="center" vertical="center" wrapText="1"/>
    </xf>
    <xf numFmtId="0" fontId="19" fillId="0" borderId="0" xfId="5" applyFont="1" applyAlignment="1">
      <alignment horizontal="center" vertical="center" wrapText="1"/>
    </xf>
    <xf numFmtId="37" fontId="19" fillId="0" borderId="0" xfId="5" applyNumberFormat="1" applyFont="1" applyAlignment="1">
      <alignment horizontal="right"/>
    </xf>
    <xf numFmtId="37" fontId="19" fillId="0" borderId="1" xfId="5" applyNumberFormat="1" applyFont="1" applyBorder="1" applyAlignment="1">
      <alignment horizontal="right"/>
    </xf>
    <xf numFmtId="37" fontId="19" fillId="0" borderId="1" xfId="5" applyNumberFormat="1" applyFont="1" applyBorder="1" applyAlignment="1">
      <alignment horizontal="left"/>
    </xf>
    <xf numFmtId="37" fontId="19" fillId="0" borderId="1" xfId="5" quotePrefix="1" applyNumberFormat="1" applyFont="1" applyBorder="1" applyAlignment="1">
      <alignment horizontal="left"/>
    </xf>
    <xf numFmtId="37" fontId="19" fillId="0" borderId="3" xfId="5" applyNumberFormat="1" applyFont="1" applyBorder="1" applyAlignment="1">
      <alignment horizontal="right"/>
    </xf>
    <xf numFmtId="38" fontId="19" fillId="0" borderId="0" xfId="2" applyFont="1" applyFill="1" applyAlignment="1">
      <alignment horizontal="center" vertical="center" wrapText="1"/>
    </xf>
    <xf numFmtId="37" fontId="19" fillId="0" borderId="0" xfId="2" applyNumberFormat="1" applyFont="1" applyFill="1" applyBorder="1" applyAlignment="1">
      <alignment horizontal="right"/>
    </xf>
    <xf numFmtId="37" fontId="19" fillId="0" borderId="0" xfId="2" applyNumberFormat="1" applyFont="1" applyFill="1" applyAlignment="1">
      <alignment horizontal="right"/>
    </xf>
    <xf numFmtId="37" fontId="19" fillId="0" borderId="1" xfId="2" applyNumberFormat="1" applyFont="1" applyFill="1" applyBorder="1" applyAlignment="1">
      <alignment horizontal="right"/>
    </xf>
    <xf numFmtId="37" fontId="19" fillId="0" borderId="1" xfId="2" applyNumberFormat="1" applyFont="1" applyFill="1" applyBorder="1" applyAlignment="1">
      <alignment horizontal="left"/>
    </xf>
    <xf numFmtId="37" fontId="19" fillId="0" borderId="1" xfId="2" quotePrefix="1" applyNumberFormat="1" applyFont="1" applyFill="1" applyBorder="1" applyAlignment="1">
      <alignment horizontal="left"/>
    </xf>
    <xf numFmtId="38" fontId="15" fillId="0" borderId="0" xfId="2" applyFont="1" applyFill="1" applyAlignment="1">
      <alignment horizontal="center" vertical="center"/>
    </xf>
    <xf numFmtId="38" fontId="19" fillId="0" borderId="0" xfId="2" applyFont="1" applyFill="1" applyAlignment="1">
      <alignment horizontal="right"/>
    </xf>
    <xf numFmtId="0" fontId="15" fillId="0" borderId="0" xfId="5" applyFont="1" applyAlignment="1">
      <alignment vertical="center"/>
    </xf>
    <xf numFmtId="0" fontId="17" fillId="0" borderId="0" xfId="5" applyFont="1" applyAlignment="1">
      <alignment vertical="center"/>
    </xf>
    <xf numFmtId="37" fontId="19" fillId="0" borderId="0" xfId="5" applyNumberFormat="1" applyFont="1" applyAlignment="1">
      <alignment horizontal="right" vertical="center"/>
    </xf>
    <xf numFmtId="37" fontId="19" fillId="0" borderId="1" xfId="5" applyNumberFormat="1" applyFont="1" applyBorder="1" applyAlignment="1">
      <alignment horizontal="right" vertical="center"/>
    </xf>
    <xf numFmtId="37" fontId="19" fillId="0" borderId="1" xfId="5" applyNumberFormat="1" applyFont="1" applyBorder="1" applyAlignment="1">
      <alignment horizontal="left" vertical="center"/>
    </xf>
    <xf numFmtId="37" fontId="19" fillId="0" borderId="1" xfId="5" quotePrefix="1" applyNumberFormat="1" applyFont="1" applyBorder="1" applyAlignment="1">
      <alignment horizontal="left" vertical="center"/>
    </xf>
    <xf numFmtId="37" fontId="19" fillId="0" borderId="3" xfId="5" applyNumberFormat="1" applyFont="1" applyBorder="1" applyAlignment="1">
      <alignment horizontal="right" vertical="center"/>
    </xf>
    <xf numFmtId="0" fontId="10" fillId="0" borderId="0" xfId="5" applyFont="1" applyAlignment="1">
      <alignment vertical="center"/>
    </xf>
    <xf numFmtId="0" fontId="37" fillId="0" borderId="0" xfId="5" applyFont="1" applyAlignment="1">
      <alignment vertical="center"/>
    </xf>
    <xf numFmtId="0" fontId="38" fillId="0" borderId="0" xfId="5" applyFont="1" applyAlignment="1">
      <alignment vertical="center"/>
    </xf>
    <xf numFmtId="0" fontId="19" fillId="0" borderId="0" xfId="5" applyFont="1" applyAlignment="1">
      <alignment horizontal="right" vertical="center"/>
    </xf>
    <xf numFmtId="176" fontId="19" fillId="0" borderId="1" xfId="5" applyNumberFormat="1" applyFont="1" applyBorder="1" applyAlignment="1">
      <alignment horizontal="left" vertical="center"/>
    </xf>
    <xf numFmtId="177" fontId="19" fillId="0" borderId="3" xfId="5" applyNumberFormat="1" applyFont="1" applyBorder="1" applyAlignment="1">
      <alignment horizontal="right" vertical="center"/>
    </xf>
    <xf numFmtId="177" fontId="19" fillId="0" borderId="0" xfId="5" applyNumberFormat="1" applyFont="1" applyAlignment="1">
      <alignment horizontal="right" vertical="center"/>
    </xf>
    <xf numFmtId="38" fontId="19" fillId="0" borderId="0" xfId="2" applyFont="1" applyFill="1" applyAlignment="1">
      <alignment horizontal="right" vertical="center"/>
    </xf>
    <xf numFmtId="177" fontId="19" fillId="0" borderId="1" xfId="5" applyNumberFormat="1" applyFont="1" applyBorder="1" applyAlignment="1">
      <alignment horizontal="right" vertical="center"/>
    </xf>
    <xf numFmtId="178" fontId="19" fillId="0" borderId="1" xfId="5" applyNumberFormat="1" applyFont="1" applyBorder="1" applyAlignment="1">
      <alignment horizontal="left" vertical="center"/>
    </xf>
    <xf numFmtId="0" fontId="19" fillId="0" borderId="1" xfId="5" applyFont="1" applyBorder="1" applyAlignment="1">
      <alignment horizontal="left" vertical="center"/>
    </xf>
    <xf numFmtId="179" fontId="19" fillId="0" borderId="1" xfId="5" applyNumberFormat="1" applyFont="1" applyBorder="1" applyAlignment="1">
      <alignment horizontal="left" vertical="center"/>
    </xf>
    <xf numFmtId="180" fontId="19" fillId="0" borderId="1" xfId="5" applyNumberFormat="1" applyFont="1" applyBorder="1" applyAlignment="1">
      <alignment horizontal="left" vertical="center"/>
    </xf>
    <xf numFmtId="181" fontId="19" fillId="0" borderId="1" xfId="5" applyNumberFormat="1" applyFont="1" applyBorder="1" applyAlignment="1">
      <alignment horizontal="left" vertical="center"/>
    </xf>
    <xf numFmtId="182" fontId="19" fillId="0" borderId="1" xfId="5" applyNumberFormat="1" applyFont="1" applyBorder="1" applyAlignment="1">
      <alignment horizontal="left" vertical="center"/>
    </xf>
    <xf numFmtId="183" fontId="19" fillId="0" borderId="1" xfId="5" applyNumberFormat="1" applyFont="1" applyBorder="1" applyAlignment="1">
      <alignment horizontal="left" vertical="center"/>
    </xf>
    <xf numFmtId="184" fontId="19" fillId="0" borderId="1" xfId="5" applyNumberFormat="1" applyFont="1" applyBorder="1" applyAlignment="1">
      <alignment horizontal="left" vertical="center"/>
    </xf>
    <xf numFmtId="0" fontId="39" fillId="0" borderId="0" xfId="5" applyFont="1" applyAlignment="1">
      <alignment vertical="center"/>
    </xf>
    <xf numFmtId="0" fontId="39" fillId="0" borderId="1" xfId="5" applyFont="1" applyBorder="1" applyAlignment="1">
      <alignment horizontal="center" vertical="center" wrapText="1"/>
    </xf>
    <xf numFmtId="0" fontId="39" fillId="0" borderId="1" xfId="5" applyFont="1" applyBorder="1" applyAlignment="1">
      <alignment horizontal="center" vertical="center"/>
    </xf>
    <xf numFmtId="0" fontId="39" fillId="0" borderId="2" xfId="5" applyFont="1" applyBorder="1" applyAlignment="1">
      <alignment horizontal="center" vertical="center"/>
    </xf>
    <xf numFmtId="0" fontId="11" fillId="0" borderId="3" xfId="5" applyBorder="1" applyAlignment="1">
      <alignment vertical="center" wrapText="1"/>
    </xf>
    <xf numFmtId="0" fontId="11" fillId="0" borderId="0" xfId="5" applyAlignment="1">
      <alignment vertical="center" wrapText="1"/>
    </xf>
    <xf numFmtId="0" fontId="39" fillId="0" borderId="2" xfId="5" applyFont="1" applyBorder="1" applyAlignment="1">
      <alignment horizontal="centerContinuous" vertical="center"/>
    </xf>
    <xf numFmtId="0" fontId="39" fillId="0" borderId="0" xfId="5" applyFont="1" applyAlignment="1">
      <alignment horizontal="left" vertical="center"/>
    </xf>
    <xf numFmtId="0" fontId="42" fillId="0" borderId="0" xfId="5" applyFont="1" applyAlignment="1">
      <alignment vertical="center"/>
    </xf>
    <xf numFmtId="0" fontId="44" fillId="0" borderId="0" xfId="5" applyFont="1" applyAlignment="1">
      <alignment vertical="center"/>
    </xf>
    <xf numFmtId="185" fontId="44" fillId="0" borderId="0" xfId="14" applyNumberFormat="1" applyFont="1" applyAlignment="1">
      <alignment horizontal="right" vertical="center"/>
    </xf>
    <xf numFmtId="49" fontId="44" fillId="0" borderId="0" xfId="5" applyNumberFormat="1" applyFont="1" applyAlignment="1">
      <alignment horizontal="right" vertical="center"/>
    </xf>
    <xf numFmtId="49" fontId="45" fillId="0" borderId="0" xfId="5" applyNumberFormat="1" applyFont="1" applyAlignment="1">
      <alignment horizontal="left" vertical="center"/>
    </xf>
    <xf numFmtId="176" fontId="19" fillId="0" borderId="0" xfId="5" applyNumberFormat="1" applyFont="1" applyAlignment="1">
      <alignment horizontal="left" vertical="center"/>
    </xf>
    <xf numFmtId="177" fontId="39" fillId="0" borderId="0" xfId="14" applyNumberFormat="1" applyFont="1" applyAlignment="1">
      <alignment horizontal="right" vertical="center"/>
    </xf>
    <xf numFmtId="49" fontId="39" fillId="0" borderId="0" xfId="5" applyNumberFormat="1" applyFont="1" applyAlignment="1">
      <alignment horizontal="right" vertical="center"/>
    </xf>
    <xf numFmtId="177" fontId="19" fillId="0" borderId="0" xfId="14" applyNumberFormat="1" applyFont="1" applyAlignment="1">
      <alignment horizontal="right" vertical="center"/>
    </xf>
    <xf numFmtId="177" fontId="19" fillId="0" borderId="1" xfId="14" applyNumberFormat="1" applyFont="1" applyBorder="1" applyAlignment="1">
      <alignment horizontal="right" vertical="center"/>
    </xf>
    <xf numFmtId="177" fontId="39" fillId="0" borderId="0" xfId="5" applyNumberFormat="1" applyFont="1" applyAlignment="1">
      <alignment horizontal="right" vertical="center"/>
    </xf>
    <xf numFmtId="177" fontId="19" fillId="0" borderId="3" xfId="14" applyNumberFormat="1" applyFont="1" applyBorder="1" applyAlignment="1">
      <alignment horizontal="right" vertical="center"/>
    </xf>
    <xf numFmtId="49" fontId="39" fillId="0" borderId="0" xfId="5" applyNumberFormat="1" applyFont="1" applyAlignment="1">
      <alignment horizontal="left" vertical="center"/>
    </xf>
    <xf numFmtId="177" fontId="19" fillId="0" borderId="0" xfId="2" applyNumberFormat="1" applyFont="1" applyFill="1" applyBorder="1" applyAlignment="1">
      <alignment vertical="center"/>
    </xf>
    <xf numFmtId="0" fontId="39" fillId="0" borderId="1" xfId="5" applyFont="1" applyBorder="1" applyAlignment="1">
      <alignment horizontal="centerContinuous" vertical="center"/>
    </xf>
    <xf numFmtId="0" fontId="39" fillId="0" borderId="0" xfId="5" applyFont="1" applyAlignment="1">
      <alignment horizontal="right" vertical="center"/>
    </xf>
    <xf numFmtId="0" fontId="46" fillId="0" borderId="0" xfId="5" applyFont="1" applyAlignment="1">
      <alignment vertical="center"/>
    </xf>
    <xf numFmtId="0" fontId="43" fillId="0" borderId="0" xfId="5" applyFont="1" applyAlignment="1">
      <alignment vertical="center"/>
    </xf>
    <xf numFmtId="0" fontId="10" fillId="0" borderId="0" xfId="5" applyFont="1"/>
    <xf numFmtId="0" fontId="10" fillId="0" borderId="0" xfId="5" applyFont="1" applyAlignment="1">
      <alignment horizontal="left"/>
    </xf>
    <xf numFmtId="0" fontId="39" fillId="0" borderId="0" xfId="5" applyFont="1"/>
    <xf numFmtId="38" fontId="39" fillId="0" borderId="0" xfId="15" applyNumberFormat="1" applyFont="1"/>
    <xf numFmtId="38" fontId="19" fillId="0" borderId="3" xfId="2" applyFont="1" applyFill="1" applyBorder="1" applyAlignment="1" applyProtection="1">
      <alignment horizontal="right" vertical="center" wrapText="1"/>
    </xf>
    <xf numFmtId="38" fontId="19" fillId="0" borderId="0" xfId="2" applyFont="1" applyFill="1" applyBorder="1" applyAlignment="1" applyProtection="1">
      <alignment horizontal="right" vertical="center" wrapText="1"/>
    </xf>
    <xf numFmtId="38" fontId="19" fillId="0" borderId="7" xfId="2" applyFont="1" applyFill="1" applyBorder="1" applyAlignment="1" applyProtection="1">
      <alignment horizontal="right" vertical="center" wrapText="1"/>
    </xf>
    <xf numFmtId="38" fontId="50" fillId="0" borderId="3" xfId="2" applyFont="1" applyFill="1" applyBorder="1" applyAlignment="1" applyProtection="1">
      <alignment horizontal="right" vertical="center" wrapText="1"/>
    </xf>
    <xf numFmtId="38" fontId="50" fillId="0" borderId="0" xfId="2" applyFont="1" applyFill="1" applyBorder="1" applyAlignment="1" applyProtection="1">
      <alignment horizontal="right" vertical="center" wrapText="1"/>
    </xf>
    <xf numFmtId="38" fontId="50" fillId="0" borderId="7" xfId="2" applyFont="1" applyFill="1" applyBorder="1" applyAlignment="1" applyProtection="1">
      <alignment horizontal="right" vertical="center" wrapText="1"/>
    </xf>
    <xf numFmtId="38" fontId="19" fillId="0" borderId="3" xfId="2" applyFont="1" applyFill="1" applyBorder="1" applyAlignment="1">
      <alignment vertical="center"/>
    </xf>
    <xf numFmtId="38" fontId="19" fillId="0" borderId="0" xfId="2" applyFont="1" applyFill="1" applyBorder="1" applyAlignment="1">
      <alignment vertical="center"/>
    </xf>
    <xf numFmtId="38" fontId="19" fillId="0" borderId="3" xfId="2" applyFont="1" applyFill="1" applyBorder="1" applyAlignment="1">
      <alignment horizontal="right" vertical="center" wrapText="1"/>
    </xf>
    <xf numFmtId="38" fontId="19" fillId="0" borderId="0" xfId="2" applyFont="1" applyFill="1" applyBorder="1" applyAlignment="1">
      <alignment horizontal="right" vertical="center" wrapText="1"/>
    </xf>
    <xf numFmtId="0" fontId="39" fillId="0" borderId="4" xfId="5" applyFont="1" applyBorder="1" applyAlignment="1">
      <alignment vertical="center"/>
    </xf>
    <xf numFmtId="38" fontId="39" fillId="0" borderId="7" xfId="15" applyNumberFormat="1" applyFont="1" applyBorder="1" applyAlignment="1">
      <alignment horizontal="center" vertical="center" wrapText="1"/>
    </xf>
    <xf numFmtId="38" fontId="19" fillId="0" borderId="0" xfId="15" applyNumberFormat="1" applyFont="1" applyAlignment="1">
      <alignment horizontal="center" vertical="center" wrapText="1"/>
    </xf>
    <xf numFmtId="38" fontId="19" fillId="0" borderId="9" xfId="15" applyNumberFormat="1" applyFont="1" applyBorder="1" applyAlignment="1">
      <alignment horizontal="center" vertical="center" wrapText="1"/>
    </xf>
    <xf numFmtId="38" fontId="19" fillId="0" borderId="7" xfId="15" applyNumberFormat="1" applyFont="1" applyBorder="1" applyAlignment="1">
      <alignment horizontal="center" vertical="center" wrapText="1"/>
    </xf>
    <xf numFmtId="38" fontId="39" fillId="0" borderId="0" xfId="15" applyNumberFormat="1" applyFont="1" applyAlignment="1">
      <alignment horizontal="center" vertical="center" wrapText="1"/>
    </xf>
    <xf numFmtId="38" fontId="19" fillId="0" borderId="7" xfId="15" applyNumberFormat="1" applyFont="1" applyBorder="1" applyAlignment="1">
      <alignment horizontal="left" vertical="center"/>
    </xf>
    <xf numFmtId="38" fontId="19" fillId="0" borderId="0" xfId="15" applyNumberFormat="1" applyFont="1" applyAlignment="1">
      <alignment vertical="center" wrapText="1"/>
    </xf>
    <xf numFmtId="0" fontId="19" fillId="0" borderId="8" xfId="5" applyFont="1" applyBorder="1" applyAlignment="1">
      <alignment horizontal="left" vertical="center"/>
    </xf>
    <xf numFmtId="38" fontId="19" fillId="0" borderId="0" xfId="15" applyNumberFormat="1" applyFont="1" applyAlignment="1">
      <alignment horizontal="left" vertical="center"/>
    </xf>
    <xf numFmtId="38" fontId="19" fillId="0" borderId="7" xfId="15" applyNumberFormat="1" applyFont="1" applyBorder="1" applyAlignment="1">
      <alignment vertical="center" wrapText="1"/>
    </xf>
    <xf numFmtId="38" fontId="19" fillId="0" borderId="9" xfId="15" applyNumberFormat="1" applyFont="1" applyBorder="1" applyAlignment="1">
      <alignment vertical="center" wrapText="1"/>
    </xf>
    <xf numFmtId="38" fontId="39" fillId="0" borderId="10" xfId="15" applyNumberFormat="1" applyFont="1" applyBorder="1" applyAlignment="1">
      <alignment vertical="center" wrapText="1"/>
    </xf>
    <xf numFmtId="38" fontId="39" fillId="0" borderId="11" xfId="15" applyNumberFormat="1" applyFont="1" applyBorder="1" applyAlignment="1">
      <alignment vertical="center" wrapText="1"/>
    </xf>
    <xf numFmtId="38" fontId="19" fillId="0" borderId="0" xfId="15" applyNumberFormat="1" applyFont="1" applyAlignment="1">
      <alignment horizontal="right" vertical="center"/>
    </xf>
    <xf numFmtId="3" fontId="19" fillId="0" borderId="0" xfId="15" applyNumberFormat="1" applyFont="1" applyAlignment="1">
      <alignment horizontal="right" vertical="center" wrapText="1"/>
    </xf>
    <xf numFmtId="38" fontId="19" fillId="0" borderId="7" xfId="15" applyNumberFormat="1" applyFont="1" applyBorder="1" applyAlignment="1">
      <alignment horizontal="right" vertical="center"/>
    </xf>
    <xf numFmtId="0" fontId="11" fillId="0" borderId="0" xfId="5"/>
    <xf numFmtId="0" fontId="11" fillId="0" borderId="0" xfId="5" applyAlignment="1">
      <alignment horizontal="left"/>
    </xf>
    <xf numFmtId="0" fontId="53" fillId="0" borderId="0" xfId="5" applyFont="1"/>
    <xf numFmtId="0" fontId="11" fillId="0" borderId="0" xfId="5" applyAlignment="1">
      <alignment vertical="center"/>
    </xf>
    <xf numFmtId="38" fontId="22" fillId="0" borderId="0" xfId="15" applyNumberFormat="1" applyFont="1" applyAlignment="1">
      <alignment vertical="center"/>
    </xf>
    <xf numFmtId="38" fontId="19" fillId="0" borderId="0" xfId="15" applyNumberFormat="1" applyFont="1" applyAlignment="1">
      <alignment horizontal="left" vertical="center" wrapText="1"/>
    </xf>
    <xf numFmtId="38" fontId="19" fillId="0" borderId="0" xfId="15" applyNumberFormat="1" applyFont="1" applyAlignment="1">
      <alignment vertical="center"/>
    </xf>
    <xf numFmtId="38" fontId="22" fillId="0" borderId="0" xfId="15" applyNumberFormat="1" applyFont="1"/>
    <xf numFmtId="38" fontId="19" fillId="0" borderId="0" xfId="15" applyNumberFormat="1" applyFont="1" applyAlignment="1">
      <alignment horizontal="right" wrapText="1"/>
    </xf>
    <xf numFmtId="38" fontId="19" fillId="0" borderId="0" xfId="15" applyNumberFormat="1" applyFont="1" applyAlignment="1">
      <alignment horizontal="right"/>
    </xf>
    <xf numFmtId="3" fontId="19" fillId="0" borderId="3" xfId="15" applyNumberFormat="1" applyFont="1" applyBorder="1" applyAlignment="1">
      <alignment horizontal="right" vertical="center" wrapText="1"/>
    </xf>
    <xf numFmtId="38" fontId="19" fillId="0" borderId="3" xfId="15" applyNumberFormat="1" applyFont="1" applyBorder="1" applyAlignment="1">
      <alignment horizontal="left" vertical="center" wrapText="1"/>
    </xf>
    <xf numFmtId="3" fontId="19" fillId="0" borderId="7" xfId="15" applyNumberFormat="1" applyFont="1" applyBorder="1" applyAlignment="1">
      <alignment horizontal="right" vertical="center" wrapText="1"/>
    </xf>
    <xf numFmtId="38" fontId="19" fillId="0" borderId="8" xfId="15" applyNumberFormat="1" applyFont="1" applyBorder="1" applyAlignment="1">
      <alignment horizontal="left" vertical="center" wrapText="1"/>
    </xf>
    <xf numFmtId="38" fontId="19" fillId="0" borderId="8" xfId="15" applyNumberFormat="1" applyFont="1" applyBorder="1" applyAlignment="1">
      <alignment horizontal="left" vertical="center" wrapText="1" indent="1"/>
    </xf>
    <xf numFmtId="3" fontId="50" fillId="0" borderId="0" xfId="15" applyNumberFormat="1" applyFont="1" applyAlignment="1">
      <alignment horizontal="right" vertical="center" wrapText="1"/>
    </xf>
    <xf numFmtId="3" fontId="50" fillId="0" borderId="7" xfId="15" applyNumberFormat="1" applyFont="1" applyBorder="1" applyAlignment="1">
      <alignment horizontal="right" vertical="center" wrapText="1"/>
    </xf>
    <xf numFmtId="38" fontId="50" fillId="0" borderId="8" xfId="15" applyNumberFormat="1" applyFont="1" applyBorder="1" applyAlignment="1">
      <alignment horizontal="left" vertical="center" wrapText="1"/>
    </xf>
    <xf numFmtId="38" fontId="54" fillId="0" borderId="8" xfId="15" applyNumberFormat="1" applyFont="1" applyBorder="1" applyAlignment="1">
      <alignment horizontal="left" vertical="center" wrapText="1" indent="1"/>
    </xf>
    <xf numFmtId="38" fontId="19" fillId="0" borderId="0" xfId="15" applyNumberFormat="1" applyFont="1" applyAlignment="1">
      <alignment horizontal="right" vertical="center" wrapText="1"/>
    </xf>
    <xf numFmtId="38" fontId="19" fillId="0" borderId="0" xfId="15" applyNumberFormat="1" applyFont="1" applyAlignment="1">
      <alignment horizontal="center" vertical="center"/>
    </xf>
    <xf numFmtId="38" fontId="19" fillId="0" borderId="8" xfId="15" applyNumberFormat="1" applyFont="1" applyBorder="1" applyAlignment="1">
      <alignment horizontal="center" vertical="center" wrapText="1"/>
    </xf>
    <xf numFmtId="38" fontId="19" fillId="0" borderId="8" xfId="15" applyNumberFormat="1" applyFont="1" applyBorder="1" applyAlignment="1">
      <alignment vertical="center" wrapText="1"/>
    </xf>
    <xf numFmtId="38" fontId="16" fillId="0" borderId="0" xfId="15" applyNumberFormat="1" applyFont="1" applyAlignment="1">
      <alignment horizontal="left" wrapText="1"/>
    </xf>
    <xf numFmtId="38" fontId="16" fillId="0" borderId="0" xfId="15" applyNumberFormat="1" applyFont="1"/>
    <xf numFmtId="0" fontId="55" fillId="0" borderId="0" xfId="5" applyFont="1" applyAlignment="1">
      <alignment horizontal="left"/>
    </xf>
    <xf numFmtId="38" fontId="56" fillId="0" borderId="0" xfId="15" applyNumberFormat="1" applyFont="1" applyAlignment="1">
      <alignment horizontal="left" wrapText="1"/>
    </xf>
    <xf numFmtId="38" fontId="57" fillId="0" borderId="0" xfId="15" applyNumberFormat="1" applyFont="1" applyAlignment="1">
      <alignment horizontal="left"/>
    </xf>
    <xf numFmtId="38" fontId="57" fillId="0" borderId="0" xfId="15" applyNumberFormat="1" applyFont="1" applyAlignment="1">
      <alignment horizontal="left" wrapText="1"/>
    </xf>
    <xf numFmtId="38" fontId="16" fillId="0" borderId="0" xfId="15" applyNumberFormat="1" applyFont="1" applyAlignment="1">
      <alignment horizontal="left"/>
    </xf>
    <xf numFmtId="0" fontId="56" fillId="0" borderId="0" xfId="5" applyFont="1" applyAlignment="1">
      <alignment horizontal="left"/>
    </xf>
    <xf numFmtId="38" fontId="56" fillId="0" borderId="0" xfId="15" applyNumberFormat="1" applyFont="1" applyAlignment="1">
      <alignment horizontal="left"/>
    </xf>
    <xf numFmtId="37" fontId="56" fillId="0" borderId="0" xfId="15" applyFont="1" applyAlignment="1">
      <alignment horizontal="left"/>
    </xf>
    <xf numFmtId="37" fontId="16" fillId="0" borderId="0" xfId="15" applyFont="1" applyAlignment="1">
      <alignment horizontal="left"/>
    </xf>
    <xf numFmtId="0" fontId="55" fillId="0" borderId="0" xfId="5" applyFont="1"/>
    <xf numFmtId="0" fontId="57" fillId="0" borderId="0" xfId="5" applyFont="1" applyAlignment="1">
      <alignment horizontal="right"/>
    </xf>
    <xf numFmtId="0" fontId="56" fillId="0" borderId="0" xfId="5" applyFont="1"/>
    <xf numFmtId="38" fontId="58" fillId="0" borderId="0" xfId="15" applyNumberFormat="1" applyFont="1" applyAlignment="1">
      <alignment horizontal="left"/>
    </xf>
    <xf numFmtId="38" fontId="59" fillId="0" borderId="0" xfId="15" applyNumberFormat="1" applyFont="1" applyAlignment="1">
      <alignment horizontal="left"/>
    </xf>
    <xf numFmtId="37" fontId="59" fillId="0" borderId="0" xfId="15" applyFont="1" applyAlignment="1">
      <alignment horizontal="left"/>
    </xf>
    <xf numFmtId="37" fontId="58" fillId="0" borderId="0" xfId="15" applyFont="1" applyAlignment="1">
      <alignment horizontal="left"/>
    </xf>
    <xf numFmtId="0" fontId="60" fillId="0" borderId="0" xfId="5" applyFont="1" applyAlignment="1">
      <alignment vertical="center"/>
    </xf>
    <xf numFmtId="0" fontId="39" fillId="0" borderId="0" xfId="5" applyFont="1" applyAlignment="1">
      <alignment horizontal="left"/>
    </xf>
    <xf numFmtId="17" fontId="19" fillId="0" borderId="0" xfId="5" applyNumberFormat="1" applyFont="1" applyAlignment="1">
      <alignment horizontal="left" vertical="center"/>
    </xf>
    <xf numFmtId="38" fontId="19" fillId="0" borderId="0" xfId="2" applyFont="1" applyFill="1" applyBorder="1" applyAlignment="1">
      <alignment horizontal="right" vertical="center"/>
    </xf>
    <xf numFmtId="49" fontId="19" fillId="0" borderId="3" xfId="5" applyNumberFormat="1" applyFont="1" applyBorder="1" applyAlignment="1">
      <alignment horizontal="right" vertical="center"/>
    </xf>
    <xf numFmtId="49" fontId="19" fillId="0" borderId="0" xfId="5" applyNumberFormat="1" applyFont="1" applyAlignment="1">
      <alignment horizontal="left" vertical="center"/>
    </xf>
    <xf numFmtId="185" fontId="19" fillId="0" borderId="1" xfId="14" applyNumberFormat="1" applyFont="1" applyBorder="1" applyAlignment="1">
      <alignment vertical="center"/>
    </xf>
    <xf numFmtId="38" fontId="19" fillId="0" borderId="0" xfId="2" applyFont="1" applyFill="1" applyAlignment="1">
      <alignment vertical="center"/>
    </xf>
    <xf numFmtId="0" fontId="19" fillId="0" borderId="3" xfId="5" applyFont="1" applyBorder="1" applyAlignment="1">
      <alignment vertical="center"/>
    </xf>
    <xf numFmtId="38" fontId="19" fillId="0" borderId="3" xfId="2" applyFont="1" applyFill="1" applyBorder="1" applyAlignment="1">
      <alignment horizontal="right" vertical="center"/>
    </xf>
    <xf numFmtId="0" fontId="19" fillId="0" borderId="3" xfId="5" applyFont="1" applyBorder="1" applyAlignment="1">
      <alignment horizontal="distributed" vertical="center"/>
    </xf>
    <xf numFmtId="3" fontId="19" fillId="0" borderId="0" xfId="2" applyNumberFormat="1" applyFont="1" applyFill="1" applyBorder="1" applyAlignment="1">
      <alignment horizontal="right" vertical="center"/>
    </xf>
    <xf numFmtId="0" fontId="19" fillId="0" borderId="3" xfId="5" applyFont="1" applyBorder="1" applyAlignment="1">
      <alignment horizontal="right" vertical="center"/>
    </xf>
    <xf numFmtId="0" fontId="39" fillId="0" borderId="0" xfId="5" applyFont="1" applyAlignment="1">
      <alignment horizontal="center"/>
    </xf>
    <xf numFmtId="0" fontId="63" fillId="0" borderId="0" xfId="5" applyFont="1" applyAlignment="1">
      <alignment vertical="center"/>
    </xf>
    <xf numFmtId="0" fontId="63" fillId="0" borderId="0" xfId="5" applyFont="1" applyAlignment="1">
      <alignment horizontal="right" vertical="center"/>
    </xf>
    <xf numFmtId="37" fontId="63" fillId="0" borderId="0" xfId="15" applyFont="1" applyAlignment="1">
      <alignment horizontal="left" vertical="center"/>
    </xf>
    <xf numFmtId="0" fontId="63" fillId="0" borderId="0" xfId="5" applyFont="1" applyAlignment="1">
      <alignment horizontal="center" vertical="center"/>
    </xf>
    <xf numFmtId="37" fontId="63" fillId="0" borderId="0" xfId="15" applyFont="1" applyAlignment="1">
      <alignment vertical="center"/>
    </xf>
    <xf numFmtId="0" fontId="63" fillId="0" borderId="0" xfId="5" applyFont="1"/>
    <xf numFmtId="0" fontId="64" fillId="0" borderId="0" xfId="5" applyFont="1"/>
    <xf numFmtId="0" fontId="21" fillId="0" borderId="0" xfId="5" applyFont="1" applyAlignment="1">
      <alignment vertical="center"/>
    </xf>
    <xf numFmtId="38" fontId="19" fillId="0" borderId="0" xfId="5" applyNumberFormat="1" applyFont="1" applyAlignment="1">
      <alignment vertical="center"/>
    </xf>
    <xf numFmtId="0" fontId="21" fillId="0" borderId="0" xfId="5" applyFont="1"/>
    <xf numFmtId="38" fontId="50" fillId="0" borderId="0" xfId="2" applyFont="1" applyFill="1" applyBorder="1" applyAlignment="1">
      <alignment vertical="center"/>
    </xf>
    <xf numFmtId="0" fontId="19" fillId="0" borderId="0" xfId="5" applyFont="1" applyAlignment="1">
      <alignment vertical="top"/>
    </xf>
    <xf numFmtId="0" fontId="19" fillId="0" borderId="0" xfId="5" applyFont="1" applyAlignment="1">
      <alignment horizontal="right" vertical="top"/>
    </xf>
    <xf numFmtId="176" fontId="19" fillId="0" borderId="1" xfId="5" applyNumberFormat="1" applyFont="1" applyBorder="1" applyAlignment="1">
      <alignment horizontal="left"/>
    </xf>
    <xf numFmtId="3" fontId="19" fillId="0" borderId="3" xfId="5" applyNumberFormat="1" applyFont="1" applyBorder="1"/>
    <xf numFmtId="3" fontId="19" fillId="0" borderId="0" xfId="5" applyNumberFormat="1" applyFont="1"/>
    <xf numFmtId="3" fontId="19" fillId="0" borderId="0" xfId="5" applyNumberFormat="1" applyFont="1" applyAlignment="1">
      <alignment horizontal="center"/>
    </xf>
    <xf numFmtId="186" fontId="19" fillId="0" borderId="0" xfId="5" applyNumberFormat="1" applyFont="1" applyAlignment="1">
      <alignment horizontal="right"/>
    </xf>
    <xf numFmtId="186" fontId="19" fillId="0" borderId="1" xfId="5" applyNumberFormat="1" applyFont="1" applyBorder="1" applyAlignment="1">
      <alignment horizontal="right"/>
    </xf>
    <xf numFmtId="176" fontId="19" fillId="0" borderId="1" xfId="5" applyNumberFormat="1" applyFont="1" applyBorder="1" applyAlignment="1">
      <alignment horizontal="left" vertical="top"/>
    </xf>
    <xf numFmtId="3" fontId="19" fillId="0" borderId="3" xfId="2" applyNumberFormat="1" applyFont="1" applyFill="1" applyBorder="1" applyAlignment="1">
      <alignment vertical="top"/>
    </xf>
    <xf numFmtId="3" fontId="19" fillId="0" borderId="0" xfId="2" applyNumberFormat="1" applyFont="1" applyFill="1" applyBorder="1" applyAlignment="1">
      <alignment vertical="top"/>
    </xf>
    <xf numFmtId="3" fontId="19" fillId="0" borderId="0" xfId="5" applyNumberFormat="1" applyFont="1" applyAlignment="1">
      <alignment horizontal="right" vertical="top" wrapText="1"/>
    </xf>
    <xf numFmtId="3" fontId="19" fillId="0" borderId="0" xfId="5" applyNumberFormat="1" applyFont="1" applyAlignment="1">
      <alignment horizontal="right" vertical="top"/>
    </xf>
    <xf numFmtId="3" fontId="19" fillId="0" borderId="1" xfId="5" applyNumberFormat="1" applyFont="1" applyBorder="1" applyAlignment="1">
      <alignment horizontal="right" vertical="top" wrapText="1"/>
    </xf>
    <xf numFmtId="178" fontId="19" fillId="0" borderId="1" xfId="5" applyNumberFormat="1" applyFont="1" applyBorder="1" applyAlignment="1">
      <alignment horizontal="left"/>
    </xf>
    <xf numFmtId="3" fontId="19" fillId="0" borderId="0" xfId="5" applyNumberFormat="1" applyFont="1" applyAlignment="1">
      <alignment horizontal="right" wrapText="1"/>
    </xf>
    <xf numFmtId="178" fontId="19" fillId="0" borderId="1" xfId="5" applyNumberFormat="1" applyFont="1" applyBorder="1" applyAlignment="1">
      <alignment horizontal="left" vertical="top"/>
    </xf>
    <xf numFmtId="185" fontId="19" fillId="0" borderId="1" xfId="14" applyNumberFormat="1" applyFont="1" applyBorder="1"/>
    <xf numFmtId="3" fontId="19" fillId="0" borderId="0" xfId="5" applyNumberFormat="1" applyFont="1" applyAlignment="1">
      <alignment horizontal="right"/>
    </xf>
    <xf numFmtId="3" fontId="19" fillId="0" borderId="1" xfId="5" applyNumberFormat="1" applyFont="1" applyBorder="1" applyAlignment="1">
      <alignment horizontal="right" wrapText="1"/>
    </xf>
    <xf numFmtId="186" fontId="19" fillId="0" borderId="3" xfId="5" applyNumberFormat="1" applyFont="1" applyBorder="1" applyAlignment="1">
      <alignment horizontal="right"/>
    </xf>
    <xf numFmtId="3" fontId="19" fillId="0" borderId="3" xfId="2" applyNumberFormat="1" applyFont="1" applyFill="1" applyBorder="1" applyAlignment="1"/>
    <xf numFmtId="3" fontId="19" fillId="0" borderId="0" xfId="2" applyNumberFormat="1" applyFont="1" applyFill="1" applyBorder="1" applyAlignment="1"/>
    <xf numFmtId="0" fontId="19" fillId="0" borderId="1" xfId="5" applyFont="1" applyBorder="1" applyAlignment="1">
      <alignment horizontal="left"/>
    </xf>
    <xf numFmtId="186" fontId="19" fillId="0" borderId="0" xfId="5" applyNumberFormat="1" applyFont="1" applyAlignment="1">
      <alignment horizontal="right" wrapText="1"/>
    </xf>
    <xf numFmtId="3" fontId="19" fillId="0" borderId="0" xfId="2" applyNumberFormat="1" applyFont="1" applyFill="1" applyBorder="1" applyAlignment="1">
      <alignment horizontal="right"/>
    </xf>
    <xf numFmtId="3" fontId="19" fillId="0" borderId="1" xfId="2" applyNumberFormat="1" applyFont="1" applyFill="1" applyBorder="1" applyAlignment="1">
      <alignment horizontal="right"/>
    </xf>
    <xf numFmtId="179" fontId="19" fillId="0" borderId="1" xfId="5" applyNumberFormat="1" applyFont="1" applyBorder="1" applyAlignment="1">
      <alignment horizontal="left" vertical="top"/>
    </xf>
    <xf numFmtId="3" fontId="19" fillId="0" borderId="3" xfId="2" applyNumberFormat="1" applyFont="1" applyFill="1" applyBorder="1" applyAlignment="1">
      <alignment horizontal="right" vertical="top"/>
    </xf>
    <xf numFmtId="3" fontId="19" fillId="0" borderId="0" xfId="2" applyNumberFormat="1" applyFont="1" applyFill="1" applyBorder="1" applyAlignment="1">
      <alignment horizontal="right" vertical="top"/>
    </xf>
    <xf numFmtId="3" fontId="19" fillId="0" borderId="1" xfId="2" applyNumberFormat="1" applyFont="1" applyFill="1" applyBorder="1" applyAlignment="1">
      <alignment horizontal="right" vertical="top"/>
    </xf>
    <xf numFmtId="180" fontId="19" fillId="0" borderId="1" xfId="5" applyNumberFormat="1" applyFont="1" applyBorder="1" applyAlignment="1">
      <alignment horizontal="left"/>
    </xf>
    <xf numFmtId="180" fontId="19" fillId="0" borderId="1" xfId="5" applyNumberFormat="1" applyFont="1" applyBorder="1" applyAlignment="1">
      <alignment horizontal="left" vertical="top"/>
    </xf>
    <xf numFmtId="3" fontId="19" fillId="0" borderId="3" xfId="5" applyNumberFormat="1" applyFont="1" applyBorder="1" applyAlignment="1">
      <alignment horizontal="right" vertical="top" wrapText="1"/>
    </xf>
    <xf numFmtId="181" fontId="19" fillId="0" borderId="1" xfId="5" applyNumberFormat="1" applyFont="1" applyBorder="1" applyAlignment="1">
      <alignment horizontal="left"/>
    </xf>
    <xf numFmtId="181" fontId="19" fillId="0" borderId="1" xfId="5" applyNumberFormat="1" applyFont="1" applyBorder="1" applyAlignment="1">
      <alignment horizontal="left" vertical="top"/>
    </xf>
    <xf numFmtId="182" fontId="19" fillId="0" borderId="1" xfId="5" applyNumberFormat="1" applyFont="1" applyBorder="1" applyAlignment="1">
      <alignment horizontal="left"/>
    </xf>
    <xf numFmtId="182" fontId="19" fillId="0" borderId="1" xfId="5" applyNumberFormat="1" applyFont="1" applyBorder="1" applyAlignment="1">
      <alignment horizontal="left" vertical="top"/>
    </xf>
    <xf numFmtId="179" fontId="19" fillId="0" borderId="1" xfId="5" applyNumberFormat="1" applyFont="1" applyBorder="1" applyAlignment="1">
      <alignment horizontal="left"/>
    </xf>
    <xf numFmtId="3" fontId="19" fillId="0" borderId="1" xfId="5" applyNumberFormat="1" applyFont="1" applyBorder="1"/>
    <xf numFmtId="183" fontId="19" fillId="0" borderId="1" xfId="5" applyNumberFormat="1" applyFont="1" applyBorder="1" applyAlignment="1">
      <alignment horizontal="left" vertical="top"/>
    </xf>
    <xf numFmtId="183" fontId="19" fillId="0" borderId="1" xfId="5" applyNumberFormat="1" applyFont="1" applyBorder="1" applyAlignment="1">
      <alignment horizontal="left"/>
    </xf>
    <xf numFmtId="0" fontId="21" fillId="0" borderId="0" xfId="5" applyFont="1" applyAlignment="1">
      <alignment vertical="top"/>
    </xf>
    <xf numFmtId="184" fontId="19" fillId="0" borderId="1" xfId="5" applyNumberFormat="1" applyFont="1" applyBorder="1" applyAlignment="1">
      <alignment horizontal="left" vertical="top"/>
    </xf>
    <xf numFmtId="184" fontId="19" fillId="0" borderId="1" xfId="5" applyNumberFormat="1" applyFont="1" applyBorder="1" applyAlignment="1">
      <alignment horizontal="left"/>
    </xf>
    <xf numFmtId="38" fontId="19" fillId="0" borderId="0" xfId="2" applyFont="1" applyFill="1" applyBorder="1" applyAlignment="1">
      <alignment horizontal="right" vertical="top"/>
    </xf>
    <xf numFmtId="0" fontId="19" fillId="0" borderId="4" xfId="5" applyFont="1" applyBorder="1" applyAlignment="1">
      <alignment horizontal="center" vertical="center"/>
    </xf>
    <xf numFmtId="38" fontId="19" fillId="0" borderId="10" xfId="15" applyNumberFormat="1" applyFont="1" applyBorder="1" applyAlignment="1">
      <alignment vertical="center" wrapText="1"/>
    </xf>
    <xf numFmtId="38" fontId="19" fillId="0" borderId="11" xfId="15" applyNumberFormat="1" applyFont="1" applyBorder="1" applyAlignment="1">
      <alignment vertical="center" wrapText="1"/>
    </xf>
    <xf numFmtId="0" fontId="16" fillId="0" borderId="0" xfId="5" applyFont="1" applyAlignment="1">
      <alignment vertical="center"/>
    </xf>
    <xf numFmtId="187" fontId="68" fillId="0" borderId="0" xfId="2" applyNumberFormat="1" applyFont="1" applyFill="1" applyBorder="1" applyAlignment="1">
      <alignment horizontal="right" vertical="center"/>
    </xf>
    <xf numFmtId="0" fontId="11" fillId="0" borderId="0" xfId="16">
      <alignment vertical="center"/>
    </xf>
    <xf numFmtId="37" fontId="19" fillId="0" borderId="0" xfId="16" applyNumberFormat="1" applyFont="1" applyAlignment="1">
      <alignment horizontal="right" vertical="center"/>
    </xf>
    <xf numFmtId="37" fontId="19" fillId="0" borderId="1" xfId="16" applyNumberFormat="1" applyFont="1" applyBorder="1" applyAlignment="1">
      <alignment horizontal="left" vertical="center"/>
    </xf>
    <xf numFmtId="37" fontId="19" fillId="0" borderId="3" xfId="16" applyNumberFormat="1" applyFont="1" applyBorder="1" applyAlignment="1">
      <alignment horizontal="right" vertical="center"/>
    </xf>
    <xf numFmtId="0" fontId="19" fillId="0" borderId="0" xfId="16" applyFont="1" applyAlignment="1">
      <alignment horizontal="center" vertical="center" wrapText="1"/>
    </xf>
    <xf numFmtId="0" fontId="19" fillId="0" borderId="12" xfId="16" applyFont="1" applyBorder="1" applyAlignment="1">
      <alignment horizontal="center" vertical="center" wrapText="1"/>
    </xf>
    <xf numFmtId="0" fontId="15" fillId="0" borderId="0" xfId="16" applyFont="1" applyAlignment="1">
      <alignment horizontal="center" vertical="center"/>
    </xf>
    <xf numFmtId="0" fontId="19" fillId="0" borderId="13" xfId="16" applyFont="1" applyBorder="1" applyAlignment="1">
      <alignment horizontal="center" vertical="center" wrapText="1"/>
    </xf>
    <xf numFmtId="0" fontId="21" fillId="0" borderId="12" xfId="16" applyFont="1" applyBorder="1" applyAlignment="1">
      <alignment horizontal="center" vertical="center" wrapText="1"/>
    </xf>
    <xf numFmtId="0" fontId="19" fillId="0" borderId="0" xfId="16" applyFont="1" applyAlignment="1">
      <alignment horizontal="right"/>
    </xf>
    <xf numFmtId="38" fontId="70" fillId="0" borderId="0" xfId="2" applyFont="1" applyFill="1" applyBorder="1" applyAlignment="1">
      <alignment vertical="center"/>
    </xf>
    <xf numFmtId="38" fontId="70" fillId="0" borderId="0" xfId="2" applyFont="1" applyFill="1" applyBorder="1" applyAlignment="1">
      <alignment horizontal="right" vertical="center"/>
    </xf>
    <xf numFmtId="0" fontId="60" fillId="0" borderId="0" xfId="5" applyFont="1" applyAlignment="1">
      <alignment horizontal="right" vertical="center"/>
    </xf>
    <xf numFmtId="49" fontId="70" fillId="0" borderId="0" xfId="5" applyNumberFormat="1" applyFont="1" applyAlignment="1">
      <alignment horizontal="right" vertical="center"/>
    </xf>
    <xf numFmtId="0" fontId="60" fillId="0" borderId="0" xfId="5" applyFont="1" applyAlignment="1">
      <alignment horizontal="center" vertical="center"/>
    </xf>
    <xf numFmtId="0" fontId="61" fillId="0" borderId="0" xfId="5" applyFont="1" applyAlignment="1">
      <alignment vertical="center"/>
    </xf>
    <xf numFmtId="0" fontId="61" fillId="0" borderId="0" xfId="5" applyFont="1" applyAlignment="1">
      <alignment horizontal="left" vertical="center"/>
    </xf>
    <xf numFmtId="3" fontId="19" fillId="0" borderId="0" xfId="5" applyNumberFormat="1" applyFont="1" applyAlignment="1">
      <alignment vertical="center"/>
    </xf>
    <xf numFmtId="3" fontId="19" fillId="0" borderId="0" xfId="5" applyNumberFormat="1" applyFont="1" applyAlignment="1">
      <alignment horizontal="right" vertical="center"/>
    </xf>
    <xf numFmtId="3" fontId="50" fillId="0" borderId="0" xfId="2" applyNumberFormat="1" applyFont="1" applyFill="1" applyBorder="1" applyAlignment="1">
      <alignment horizontal="right" vertical="center"/>
    </xf>
    <xf numFmtId="3" fontId="19" fillId="0" borderId="16" xfId="2" applyNumberFormat="1" applyFont="1" applyFill="1" applyBorder="1" applyAlignment="1">
      <alignment horizontal="right" vertical="center"/>
    </xf>
    <xf numFmtId="3" fontId="19" fillId="0" borderId="0" xfId="2" applyNumberFormat="1" applyFont="1" applyFill="1" applyAlignment="1">
      <alignment horizontal="right" vertical="center"/>
    </xf>
    <xf numFmtId="3" fontId="50" fillId="0" borderId="0" xfId="2" applyNumberFormat="1" applyFont="1" applyFill="1" applyAlignment="1">
      <alignment horizontal="right" vertical="center"/>
    </xf>
    <xf numFmtId="0" fontId="19" fillId="0" borderId="1" xfId="5" applyFont="1" applyBorder="1" applyAlignment="1">
      <alignment vertical="center"/>
    </xf>
    <xf numFmtId="0" fontId="19" fillId="0" borderId="1" xfId="5" applyFont="1" applyBorder="1"/>
    <xf numFmtId="0" fontId="10" fillId="0" borderId="0" xfId="5" applyFont="1" applyAlignment="1">
      <alignment horizontal="left" vertical="center"/>
    </xf>
    <xf numFmtId="0" fontId="60" fillId="0" borderId="0" xfId="5" applyFont="1"/>
    <xf numFmtId="188" fontId="60" fillId="0" borderId="0" xfId="5" applyNumberFormat="1" applyFont="1"/>
    <xf numFmtId="188" fontId="60" fillId="0" borderId="0" xfId="5" applyNumberFormat="1" applyFont="1" applyAlignment="1">
      <alignment horizontal="left"/>
    </xf>
    <xf numFmtId="0" fontId="60" fillId="0" borderId="0" xfId="5" applyFont="1" applyAlignment="1">
      <alignment horizontal="left"/>
    </xf>
    <xf numFmtId="38" fontId="20" fillId="0" borderId="0" xfId="5" applyNumberFormat="1" applyFont="1"/>
    <xf numFmtId="0" fontId="20" fillId="0" borderId="0" xfId="5" applyFont="1" applyAlignment="1">
      <alignment horizontal="left"/>
    </xf>
    <xf numFmtId="0" fontId="20" fillId="0" borderId="0" xfId="5" applyFont="1"/>
    <xf numFmtId="38" fontId="19" fillId="0" borderId="4" xfId="5" applyNumberFormat="1" applyFont="1" applyBorder="1"/>
    <xf numFmtId="38" fontId="19" fillId="0" borderId="4" xfId="5" applyNumberFormat="1" applyFont="1" applyBorder="1" applyAlignment="1">
      <alignment horizontal="right"/>
    </xf>
    <xf numFmtId="38" fontId="19" fillId="0" borderId="2" xfId="5" applyNumberFormat="1" applyFont="1" applyBorder="1"/>
    <xf numFmtId="0" fontId="19" fillId="0" borderId="3" xfId="5" applyFont="1" applyBorder="1"/>
    <xf numFmtId="38" fontId="19" fillId="0" borderId="2" xfId="5" applyNumberFormat="1" applyFont="1" applyBorder="1" applyAlignment="1">
      <alignment horizontal="right"/>
    </xf>
    <xf numFmtId="38" fontId="19" fillId="0" borderId="1" xfId="5" applyNumberFormat="1" applyFont="1" applyBorder="1"/>
    <xf numFmtId="188" fontId="19" fillId="0" borderId="0" xfId="5" applyNumberFormat="1" applyFont="1"/>
    <xf numFmtId="188" fontId="19" fillId="0" borderId="2" xfId="5" applyNumberFormat="1" applyFont="1" applyBorder="1"/>
    <xf numFmtId="188" fontId="19" fillId="0" borderId="3" xfId="5" applyNumberFormat="1" applyFont="1" applyBorder="1"/>
    <xf numFmtId="38" fontId="50" fillId="0" borderId="2" xfId="5" applyNumberFormat="1" applyFont="1" applyBorder="1"/>
    <xf numFmtId="38" fontId="19" fillId="0" borderId="0" xfId="5" applyNumberFormat="1" applyFont="1"/>
    <xf numFmtId="38" fontId="50" fillId="0" borderId="2" xfId="5" applyNumberFormat="1" applyFont="1" applyBorder="1" applyAlignment="1">
      <alignment horizontal="right"/>
    </xf>
    <xf numFmtId="38" fontId="50" fillId="0" borderId="1" xfId="5" applyNumberFormat="1" applyFont="1" applyBorder="1"/>
    <xf numFmtId="188" fontId="50" fillId="0" borderId="3" xfId="5" applyNumberFormat="1" applyFont="1" applyBorder="1"/>
    <xf numFmtId="188" fontId="19" fillId="0" borderId="4" xfId="5" applyNumberFormat="1" applyFont="1" applyBorder="1"/>
    <xf numFmtId="188" fontId="19" fillId="0" borderId="0" xfId="5" applyNumberFormat="1" applyFont="1" applyAlignment="1">
      <alignment horizontal="center"/>
    </xf>
    <xf numFmtId="188" fontId="19" fillId="0" borderId="0" xfId="5" applyNumberFormat="1" applyFont="1" applyAlignment="1">
      <alignment horizontal="left"/>
    </xf>
    <xf numFmtId="176" fontId="19" fillId="0" borderId="4" xfId="5" applyNumberFormat="1" applyFont="1" applyBorder="1" applyAlignment="1">
      <alignment horizontal="center"/>
    </xf>
    <xf numFmtId="178" fontId="19" fillId="0" borderId="4" xfId="5" applyNumberFormat="1" applyFont="1" applyBorder="1" applyAlignment="1">
      <alignment horizontal="center"/>
    </xf>
    <xf numFmtId="189" fontId="19" fillId="0" borderId="4" xfId="5" applyNumberFormat="1" applyFont="1" applyBorder="1" applyAlignment="1">
      <alignment horizontal="center"/>
    </xf>
    <xf numFmtId="184" fontId="19" fillId="0" borderId="4" xfId="5" applyNumberFormat="1" applyFont="1" applyBorder="1" applyAlignment="1">
      <alignment horizontal="center"/>
    </xf>
    <xf numFmtId="188" fontId="50" fillId="0" borderId="0" xfId="5" applyNumberFormat="1" applyFont="1"/>
    <xf numFmtId="188" fontId="19" fillId="0" borderId="0" xfId="5" applyNumberFormat="1" applyFont="1" applyAlignment="1">
      <alignment horizontal="right"/>
    </xf>
    <xf numFmtId="188" fontId="70" fillId="0" borderId="0" xfId="5" applyNumberFormat="1" applyFont="1"/>
    <xf numFmtId="188" fontId="16" fillId="0" borderId="0" xfId="5" applyNumberFormat="1" applyFont="1"/>
    <xf numFmtId="188" fontId="16" fillId="0" borderId="0" xfId="12" applyNumberFormat="1" applyFont="1"/>
    <xf numFmtId="0" fontId="77" fillId="0" borderId="0" xfId="5" applyFont="1"/>
    <xf numFmtId="188" fontId="77" fillId="0" borderId="0" xfId="5" applyNumberFormat="1" applyFont="1"/>
    <xf numFmtId="188" fontId="77" fillId="0" borderId="0" xfId="5" applyNumberFormat="1" applyFont="1" applyAlignment="1">
      <alignment horizontal="left"/>
    </xf>
    <xf numFmtId="188" fontId="77" fillId="0" borderId="0" xfId="5" applyNumberFormat="1" applyFont="1" applyAlignment="1">
      <alignment horizontal="right"/>
    </xf>
    <xf numFmtId="192" fontId="11" fillId="0" borderId="0" xfId="5" applyNumberFormat="1"/>
    <xf numFmtId="0" fontId="65" fillId="0" borderId="0" xfId="5" applyFont="1"/>
    <xf numFmtId="192" fontId="65" fillId="0" borderId="0" xfId="5" applyNumberFormat="1" applyFont="1"/>
    <xf numFmtId="192" fontId="65" fillId="0" borderId="0" xfId="5" applyNumberFormat="1" applyFont="1" applyAlignment="1">
      <alignment horizontal="right"/>
    </xf>
    <xf numFmtId="38" fontId="65" fillId="0" borderId="0" xfId="5" applyNumberFormat="1" applyFont="1"/>
    <xf numFmtId="38" fontId="19" fillId="0" borderId="2" xfId="2" applyFont="1" applyFill="1" applyBorder="1" applyAlignment="1">
      <alignment horizontal="right"/>
    </xf>
    <xf numFmtId="49" fontId="20" fillId="0" borderId="3" xfId="5" quotePrefix="1" applyNumberFormat="1" applyFont="1" applyBorder="1" applyAlignment="1">
      <alignment horizontal="left"/>
    </xf>
    <xf numFmtId="3" fontId="19" fillId="0" borderId="1" xfId="5" quotePrefix="1" applyNumberFormat="1" applyFont="1" applyBorder="1" applyAlignment="1">
      <alignment horizontal="left"/>
    </xf>
    <xf numFmtId="49" fontId="76" fillId="0" borderId="3" xfId="5" applyNumberFormat="1" applyFont="1" applyBorder="1" applyAlignment="1">
      <alignment horizontal="right"/>
    </xf>
    <xf numFmtId="38" fontId="19" fillId="0" borderId="1" xfId="2" quotePrefix="1" applyFont="1" applyFill="1" applyBorder="1" applyAlignment="1">
      <alignment horizontal="left"/>
    </xf>
    <xf numFmtId="38" fontId="19" fillId="0" borderId="1" xfId="2" applyFont="1" applyFill="1" applyBorder="1" applyAlignment="1"/>
    <xf numFmtId="49" fontId="20" fillId="0" borderId="0" xfId="5" applyNumberFormat="1" applyFont="1"/>
    <xf numFmtId="49" fontId="20" fillId="0" borderId="0" xfId="5" quotePrefix="1" applyNumberFormat="1" applyFont="1" applyAlignment="1">
      <alignment horizontal="left"/>
    </xf>
    <xf numFmtId="49" fontId="20" fillId="0" borderId="3" xfId="5" applyNumberFormat="1" applyFont="1" applyBorder="1" applyAlignment="1">
      <alignment horizontal="right"/>
    </xf>
    <xf numFmtId="0" fontId="78" fillId="0" borderId="0" xfId="5" applyFont="1"/>
    <xf numFmtId="0" fontId="16" fillId="0" borderId="0" xfId="5" quotePrefix="1" applyFont="1" applyAlignment="1">
      <alignment horizontal="left"/>
    </xf>
    <xf numFmtId="0" fontId="65" fillId="0" borderId="0" xfId="5" applyFont="1" applyAlignment="1">
      <alignment vertical="center"/>
    </xf>
    <xf numFmtId="3" fontId="65" fillId="0" borderId="0" xfId="5" applyNumberFormat="1" applyFont="1" applyAlignment="1">
      <alignment vertical="center"/>
    </xf>
    <xf numFmtId="38" fontId="60" fillId="0" borderId="0" xfId="2" applyFont="1" applyFill="1"/>
    <xf numFmtId="197" fontId="19" fillId="0" borderId="2" xfId="5" applyNumberFormat="1" applyFont="1" applyBorder="1"/>
    <xf numFmtId="196" fontId="19" fillId="0" borderId="2" xfId="5" applyNumberFormat="1" applyFont="1" applyBorder="1"/>
    <xf numFmtId="38" fontId="19" fillId="0" borderId="2" xfId="2" applyFont="1" applyFill="1" applyBorder="1" applyAlignment="1"/>
    <xf numFmtId="38" fontId="19" fillId="0" borderId="9" xfId="2" applyFont="1" applyFill="1" applyBorder="1"/>
    <xf numFmtId="196" fontId="19" fillId="0" borderId="2" xfId="5" applyNumberFormat="1" applyFont="1" applyBorder="1" applyAlignment="1">
      <alignment horizontal="right"/>
    </xf>
    <xf numFmtId="40" fontId="65" fillId="0" borderId="0" xfId="5" applyNumberFormat="1" applyFont="1"/>
    <xf numFmtId="38" fontId="60" fillId="0" borderId="0" xfId="5" applyNumberFormat="1" applyFont="1"/>
    <xf numFmtId="196" fontId="19" fillId="0" borderId="2" xfId="2" applyNumberFormat="1" applyFont="1" applyFill="1" applyBorder="1" applyAlignment="1"/>
    <xf numFmtId="198" fontId="65" fillId="0" borderId="0" xfId="5" applyNumberFormat="1" applyFont="1"/>
    <xf numFmtId="3" fontId="65" fillId="0" borderId="0" xfId="5" applyNumberFormat="1" applyFont="1"/>
    <xf numFmtId="197" fontId="19" fillId="0" borderId="2" xfId="2" applyNumberFormat="1" applyFont="1" applyFill="1" applyBorder="1" applyAlignment="1"/>
    <xf numFmtId="193" fontId="19" fillId="0" borderId="2" xfId="12" applyNumberFormat="1" applyFont="1" applyBorder="1" applyAlignment="1">
      <alignment horizontal="center" vertical="center" wrapText="1"/>
    </xf>
    <xf numFmtId="194" fontId="19" fillId="0" borderId="2" xfId="2" applyNumberFormat="1" applyFont="1" applyFill="1" applyBorder="1" applyAlignment="1">
      <alignment horizontal="center" vertical="center" wrapText="1"/>
    </xf>
    <xf numFmtId="193" fontId="19" fillId="0" borderId="0" xfId="5" applyNumberFormat="1" applyFont="1" applyAlignment="1">
      <alignment horizontal="left" indent="1"/>
    </xf>
    <xf numFmtId="40" fontId="19" fillId="0" borderId="0" xfId="2" applyNumberFormat="1" applyFont="1" applyFill="1" applyBorder="1" applyAlignment="1"/>
    <xf numFmtId="199" fontId="19" fillId="0" borderId="0" xfId="2" applyNumberFormat="1" applyFont="1" applyFill="1" applyBorder="1" applyAlignment="1"/>
    <xf numFmtId="0" fontId="19" fillId="0" borderId="0" xfId="5" quotePrefix="1" applyFont="1"/>
    <xf numFmtId="38" fontId="19" fillId="0" borderId="0" xfId="2" applyFont="1" applyFill="1" applyBorder="1" applyAlignment="1">
      <alignment horizontal="right"/>
    </xf>
    <xf numFmtId="38" fontId="19" fillId="0" borderId="0" xfId="2" applyFont="1" applyFill="1" applyBorder="1"/>
    <xf numFmtId="0" fontId="80" fillId="0" borderId="0" xfId="5" applyFont="1"/>
    <xf numFmtId="38" fontId="16" fillId="0" borderId="0" xfId="5" applyNumberFormat="1" applyFont="1"/>
    <xf numFmtId="0" fontId="19" fillId="0" borderId="0" xfId="5" applyFont="1" applyAlignment="1">
      <alignment wrapText="1"/>
    </xf>
    <xf numFmtId="193" fontId="19" fillId="0" borderId="0" xfId="5" applyNumberFormat="1" applyFont="1"/>
    <xf numFmtId="0" fontId="50" fillId="0" borderId="3" xfId="5" applyFont="1" applyBorder="1" applyAlignment="1">
      <alignment horizontal="centerContinuous"/>
    </xf>
    <xf numFmtId="193" fontId="19" fillId="0" borderId="0" xfId="5" applyNumberFormat="1" applyFont="1" applyAlignment="1">
      <alignment vertical="center"/>
    </xf>
    <xf numFmtId="0" fontId="19" fillId="0" borderId="0" xfId="5" quotePrefix="1" applyFont="1" applyAlignment="1">
      <alignment horizontal="left" vertical="center"/>
    </xf>
    <xf numFmtId="193" fontId="19" fillId="0" borderId="2" xfId="5" applyNumberFormat="1" applyFont="1" applyBorder="1" applyAlignment="1">
      <alignment horizontal="center" vertical="center" wrapText="1"/>
    </xf>
    <xf numFmtId="0" fontId="19" fillId="0" borderId="0" xfId="5" quotePrefix="1" applyFont="1" applyAlignment="1">
      <alignment wrapText="1"/>
    </xf>
    <xf numFmtId="40" fontId="19" fillId="0" borderId="2" xfId="2" applyNumberFormat="1" applyFont="1" applyFill="1" applyBorder="1" applyAlignment="1">
      <alignment horizontal="right"/>
    </xf>
    <xf numFmtId="0" fontId="65" fillId="0" borderId="0" xfId="5" quotePrefix="1" applyFont="1" applyAlignment="1">
      <alignment horizontal="left"/>
    </xf>
    <xf numFmtId="38" fontId="19" fillId="0" borderId="2" xfId="5" applyNumberFormat="1" applyFont="1" applyBorder="1" applyAlignment="1">
      <alignment horizontal="center" vertical="center" wrapText="1"/>
    </xf>
    <xf numFmtId="199" fontId="19" fillId="0" borderId="2" xfId="2" applyNumberFormat="1" applyFont="1" applyFill="1" applyBorder="1" applyAlignment="1">
      <alignment horizontal="right"/>
    </xf>
    <xf numFmtId="0" fontId="50" fillId="0" borderId="0" xfId="5" applyFont="1" applyAlignment="1">
      <alignment horizontal="centerContinuous"/>
    </xf>
    <xf numFmtId="193" fontId="19" fillId="0" borderId="2" xfId="12" applyNumberFormat="1" applyFont="1" applyBorder="1" applyAlignment="1">
      <alignment horizontal="center" vertical="center"/>
    </xf>
    <xf numFmtId="38" fontId="19" fillId="0" borderId="2" xfId="12" quotePrefix="1" applyNumberFormat="1" applyFont="1" applyBorder="1" applyAlignment="1">
      <alignment horizontal="center" vertical="center" wrapText="1"/>
    </xf>
    <xf numFmtId="195" fontId="19" fillId="0" borderId="0" xfId="12" applyNumberFormat="1" applyFont="1" applyAlignment="1">
      <alignment horizontal="center" vertical="center" wrapText="1"/>
    </xf>
    <xf numFmtId="194" fontId="19" fillId="0" borderId="2" xfId="2" applyNumberFormat="1" applyFont="1" applyFill="1" applyBorder="1" applyAlignment="1">
      <alignment horizontal="center" vertical="center"/>
    </xf>
    <xf numFmtId="193" fontId="19" fillId="0" borderId="2" xfId="12" quotePrefix="1" applyNumberFormat="1" applyFont="1" applyBorder="1" applyAlignment="1">
      <alignment horizontal="center" vertical="center" wrapText="1"/>
    </xf>
    <xf numFmtId="193" fontId="21" fillId="0" borderId="2" xfId="12" quotePrefix="1" applyNumberFormat="1" applyFont="1" applyBorder="1" applyAlignment="1">
      <alignment horizontal="center" vertical="center" wrapText="1"/>
    </xf>
    <xf numFmtId="197" fontId="19" fillId="0" borderId="2" xfId="2" applyNumberFormat="1" applyFont="1" applyFill="1" applyBorder="1" applyAlignment="1">
      <alignment horizontal="right"/>
    </xf>
    <xf numFmtId="176" fontId="19" fillId="0" borderId="0" xfId="5" applyNumberFormat="1" applyFont="1" applyAlignment="1">
      <alignment horizontal="left"/>
    </xf>
    <xf numFmtId="200" fontId="19" fillId="0" borderId="0" xfId="5" applyNumberFormat="1" applyFont="1" applyAlignment="1">
      <alignment horizontal="right"/>
    </xf>
    <xf numFmtId="201" fontId="19" fillId="0" borderId="0" xfId="5" applyNumberFormat="1" applyFont="1"/>
    <xf numFmtId="200" fontId="19" fillId="0" borderId="1" xfId="5" applyNumberFormat="1" applyFont="1" applyBorder="1" applyAlignment="1">
      <alignment horizontal="right"/>
    </xf>
    <xf numFmtId="200" fontId="19" fillId="0" borderId="3" xfId="5" applyNumberFormat="1" applyFont="1" applyBorder="1" applyAlignment="1">
      <alignment horizontal="right"/>
    </xf>
    <xf numFmtId="202" fontId="19" fillId="0" borderId="0" xfId="5" applyNumberFormat="1" applyFont="1" applyAlignment="1">
      <alignment horizontal="right"/>
    </xf>
    <xf numFmtId="202" fontId="19" fillId="0" borderId="1" xfId="5" applyNumberFormat="1" applyFont="1" applyBorder="1" applyAlignment="1">
      <alignment horizontal="right"/>
    </xf>
    <xf numFmtId="0" fontId="11" fillId="0" borderId="0" xfId="5" applyAlignment="1">
      <alignment horizontal="center" vertical="center" wrapText="1"/>
    </xf>
    <xf numFmtId="0" fontId="19" fillId="0" borderId="12" xfId="5" applyFont="1" applyBorder="1" applyAlignment="1">
      <alignment horizontal="center" vertical="center" wrapText="1"/>
    </xf>
    <xf numFmtId="0" fontId="19" fillId="0" borderId="12" xfId="5" quotePrefix="1" applyFont="1" applyBorder="1" applyAlignment="1">
      <alignment horizontal="center" vertical="center" wrapText="1"/>
    </xf>
    <xf numFmtId="0" fontId="19" fillId="0" borderId="0" xfId="5" quotePrefix="1" applyFont="1" applyAlignment="1">
      <alignment horizontal="center" vertical="center" wrapText="1"/>
    </xf>
    <xf numFmtId="0" fontId="81" fillId="0" borderId="0" xfId="5" applyFont="1"/>
    <xf numFmtId="200" fontId="19" fillId="0" borderId="3" xfId="2" applyNumberFormat="1" applyFont="1" applyFill="1" applyBorder="1"/>
    <xf numFmtId="200" fontId="19" fillId="0" borderId="0" xfId="2" applyNumberFormat="1" applyFont="1" applyFill="1" applyBorder="1"/>
    <xf numFmtId="200" fontId="19" fillId="0" borderId="1" xfId="2" applyNumberFormat="1" applyFont="1" applyFill="1" applyBorder="1"/>
    <xf numFmtId="200" fontId="19" fillId="0" borderId="0" xfId="2" applyNumberFormat="1" applyFont="1" applyFill="1" applyBorder="1" applyAlignment="1">
      <alignment horizontal="right"/>
    </xf>
    <xf numFmtId="38" fontId="19" fillId="0" borderId="3" xfId="2" applyFont="1" applyFill="1" applyBorder="1"/>
    <xf numFmtId="38" fontId="19" fillId="0" borderId="0" xfId="2" applyFont="1" applyFill="1"/>
    <xf numFmtId="38" fontId="19" fillId="0" borderId="1" xfId="2" applyFont="1" applyFill="1" applyBorder="1"/>
    <xf numFmtId="0" fontId="78" fillId="0" borderId="0" xfId="5" applyFont="1" applyAlignment="1">
      <alignment horizontal="center" vertical="center"/>
    </xf>
    <xf numFmtId="0" fontId="78" fillId="0" borderId="0" xfId="5" applyFont="1" applyAlignment="1">
      <alignment vertical="center"/>
    </xf>
    <xf numFmtId="0" fontId="19" fillId="0" borderId="5" xfId="5" applyFont="1" applyBorder="1" applyAlignment="1">
      <alignment horizontal="centerContinuous" vertical="center"/>
    </xf>
    <xf numFmtId="0" fontId="19" fillId="0" borderId="13" xfId="5" applyFont="1" applyBorder="1" applyAlignment="1">
      <alignment horizontal="centerContinuous" vertical="center"/>
    </xf>
    <xf numFmtId="0" fontId="19" fillId="0" borderId="6" xfId="5" applyFont="1" applyBorder="1" applyAlignment="1">
      <alignment horizontal="centerContinuous" vertical="center"/>
    </xf>
    <xf numFmtId="0" fontId="82" fillId="0" borderId="0" xfId="5" applyFont="1" applyAlignment="1">
      <alignment vertical="center"/>
    </xf>
    <xf numFmtId="0" fontId="47" fillId="0" borderId="0" xfId="5" applyFont="1" applyAlignment="1">
      <alignment vertical="center"/>
    </xf>
    <xf numFmtId="0" fontId="28" fillId="0" borderId="0" xfId="1" applyFont="1" applyAlignment="1" applyProtection="1">
      <alignment vertical="center"/>
    </xf>
    <xf numFmtId="49" fontId="20" fillId="0" borderId="3" xfId="2" applyNumberFormat="1" applyFont="1" applyFill="1" applyBorder="1" applyAlignment="1">
      <alignment horizontal="left"/>
    </xf>
    <xf numFmtId="3" fontId="19" fillId="0" borderId="3" xfId="2" applyNumberFormat="1" applyFont="1" applyFill="1" applyBorder="1" applyAlignment="1">
      <alignment horizontal="right" vertical="center"/>
    </xf>
    <xf numFmtId="3" fontId="19" fillId="0" borderId="3" xfId="5" applyNumberFormat="1" applyFont="1" applyBorder="1" applyAlignment="1">
      <alignment horizontal="right" vertical="center"/>
    </xf>
    <xf numFmtId="0" fontId="20" fillId="0" borderId="0" xfId="5" applyFont="1" applyAlignment="1">
      <alignment horizontal="center"/>
    </xf>
    <xf numFmtId="0" fontId="43" fillId="0" borderId="0" xfId="5" applyFont="1" applyAlignment="1">
      <alignment horizontal="left" vertical="center"/>
    </xf>
    <xf numFmtId="22" fontId="43" fillId="0" borderId="0" xfId="5" applyNumberFormat="1" applyFont="1" applyAlignment="1">
      <alignment vertical="center"/>
    </xf>
    <xf numFmtId="0" fontId="83" fillId="0" borderId="0" xfId="5" applyFont="1" applyAlignment="1">
      <alignment vertical="center"/>
    </xf>
    <xf numFmtId="0" fontId="52" fillId="0" borderId="0" xfId="5" applyFont="1" applyAlignment="1">
      <alignment horizontal="left" vertical="center"/>
    </xf>
    <xf numFmtId="0" fontId="52" fillId="0" borderId="0" xfId="5" applyFont="1" applyAlignment="1">
      <alignment vertical="center"/>
    </xf>
    <xf numFmtId="37" fontId="39" fillId="0" borderId="0" xfId="15" applyFont="1" applyAlignment="1">
      <alignment vertical="center"/>
    </xf>
    <xf numFmtId="38" fontId="39" fillId="0" borderId="8" xfId="15" applyNumberFormat="1" applyFont="1" applyBorder="1" applyAlignment="1">
      <alignment vertical="center" wrapText="1"/>
    </xf>
    <xf numFmtId="0" fontId="84" fillId="0" borderId="0" xfId="5" applyFont="1" applyAlignment="1">
      <alignment vertical="center"/>
    </xf>
    <xf numFmtId="37" fontId="39" fillId="0" borderId="0" xfId="15" applyFont="1" applyAlignment="1">
      <alignment horizontal="center" vertical="center"/>
    </xf>
    <xf numFmtId="38" fontId="39" fillId="0" borderId="8" xfId="15" applyNumberFormat="1" applyFont="1" applyBorder="1" applyAlignment="1">
      <alignment horizontal="center" vertical="center" wrapText="1"/>
    </xf>
    <xf numFmtId="37" fontId="39" fillId="0" borderId="0" xfId="15" applyFont="1" applyAlignment="1">
      <alignment horizontal="right" vertical="center"/>
    </xf>
    <xf numFmtId="38" fontId="85" fillId="0" borderId="8" xfId="15" applyNumberFormat="1" applyFont="1" applyBorder="1" applyAlignment="1">
      <alignment horizontal="left" vertical="center" wrapText="1"/>
    </xf>
    <xf numFmtId="0" fontId="85" fillId="0" borderId="0" xfId="5" applyFont="1" applyAlignment="1">
      <alignment vertical="center"/>
    </xf>
    <xf numFmtId="38" fontId="39" fillId="0" borderId="8" xfId="15" applyNumberFormat="1" applyFont="1" applyBorder="1" applyAlignment="1">
      <alignment horizontal="left" vertical="center" wrapText="1" indent="1"/>
    </xf>
    <xf numFmtId="38" fontId="85" fillId="0" borderId="8" xfId="15" applyNumberFormat="1" applyFont="1" applyBorder="1" applyAlignment="1">
      <alignment vertical="center" wrapText="1"/>
    </xf>
    <xf numFmtId="38" fontId="39" fillId="0" borderId="8" xfId="15" applyNumberFormat="1" applyFont="1" applyBorder="1" applyAlignment="1">
      <alignment horizontal="left" vertical="center" indent="1"/>
    </xf>
    <xf numFmtId="38" fontId="39" fillId="0" borderId="8" xfId="15" applyNumberFormat="1" applyFont="1" applyBorder="1" applyAlignment="1">
      <alignment vertical="center"/>
    </xf>
    <xf numFmtId="37" fontId="39" fillId="0" borderId="0" xfId="15" applyFont="1"/>
    <xf numFmtId="38" fontId="39" fillId="0" borderId="0" xfId="15" applyNumberFormat="1" applyFont="1" applyAlignment="1">
      <alignment wrapText="1"/>
    </xf>
    <xf numFmtId="38" fontId="39" fillId="0" borderId="0" xfId="15" applyNumberFormat="1" applyFont="1" applyAlignment="1">
      <alignment horizontal="left" wrapText="1"/>
    </xf>
    <xf numFmtId="38" fontId="39" fillId="0" borderId="0" xfId="15" quotePrefix="1" applyNumberFormat="1" applyFont="1" applyAlignment="1">
      <alignment wrapText="1"/>
    </xf>
    <xf numFmtId="0" fontId="48" fillId="0" borderId="0" xfId="5" applyFont="1"/>
    <xf numFmtId="0" fontId="85" fillId="0" borderId="0" xfId="5" applyFont="1" applyAlignment="1">
      <alignment horizontal="left" vertical="center"/>
    </xf>
    <xf numFmtId="0" fontId="49" fillId="0" borderId="0" xfId="5" applyFont="1"/>
    <xf numFmtId="0" fontId="84" fillId="0" borderId="0" xfId="5" applyFont="1"/>
    <xf numFmtId="0" fontId="84" fillId="0" borderId="0" xfId="5" applyFont="1" applyAlignment="1">
      <alignment horizontal="center"/>
    </xf>
    <xf numFmtId="38" fontId="39" fillId="0" borderId="7" xfId="15" applyNumberFormat="1" applyFont="1" applyBorder="1" applyAlignment="1">
      <alignment horizontal="center" vertical="top" wrapText="1"/>
    </xf>
    <xf numFmtId="0" fontId="84" fillId="0" borderId="0" xfId="5" applyFont="1" applyAlignment="1">
      <alignment horizontal="right"/>
    </xf>
    <xf numFmtId="0" fontId="38" fillId="0" borderId="0" xfId="5" applyFont="1"/>
    <xf numFmtId="38" fontId="39" fillId="0" borderId="0" xfId="5" applyNumberFormat="1" applyFont="1" applyAlignment="1">
      <alignment vertical="center"/>
    </xf>
    <xf numFmtId="0" fontId="10" fillId="0" borderId="0" xfId="5" applyFont="1" applyAlignment="1">
      <alignment horizontal="center"/>
    </xf>
    <xf numFmtId="0" fontId="39" fillId="0" borderId="0" xfId="5" applyFont="1" applyAlignment="1">
      <alignment horizontal="right"/>
    </xf>
    <xf numFmtId="3" fontId="87" fillId="0" borderId="0" xfId="2" applyNumberFormat="1" applyFont="1" applyFill="1" applyBorder="1" applyAlignment="1">
      <alignment horizontal="right" vertical="center"/>
    </xf>
    <xf numFmtId="184" fontId="87" fillId="0" borderId="1" xfId="5" applyNumberFormat="1" applyFont="1" applyBorder="1" applyAlignment="1">
      <alignment horizontal="left" vertical="center"/>
    </xf>
    <xf numFmtId="3" fontId="87" fillId="0" borderId="3" xfId="2" applyNumberFormat="1" applyFont="1" applyFill="1" applyBorder="1" applyAlignment="1">
      <alignment horizontal="right" vertical="center"/>
    </xf>
    <xf numFmtId="3" fontId="87" fillId="0" borderId="0" xfId="2" applyNumberFormat="1" applyFont="1" applyFill="1" applyBorder="1" applyAlignment="1">
      <alignment vertical="center"/>
    </xf>
    <xf numFmtId="3" fontId="87" fillId="0" borderId="3" xfId="2" applyNumberFormat="1" applyFont="1" applyFill="1" applyBorder="1" applyAlignment="1">
      <alignment vertical="center"/>
    </xf>
    <xf numFmtId="183" fontId="87" fillId="0" borderId="1" xfId="5" applyNumberFormat="1" applyFont="1" applyBorder="1" applyAlignment="1">
      <alignment horizontal="left" vertical="center"/>
    </xf>
    <xf numFmtId="0" fontId="87" fillId="0" borderId="1" xfId="5" applyFont="1" applyBorder="1" applyAlignment="1">
      <alignment horizontal="left" vertical="center"/>
    </xf>
    <xf numFmtId="179" fontId="87" fillId="0" borderId="1" xfId="5" applyNumberFormat="1" applyFont="1" applyBorder="1" applyAlignment="1">
      <alignment horizontal="left" vertical="center"/>
    </xf>
    <xf numFmtId="182" fontId="87" fillId="0" borderId="1" xfId="5" applyNumberFormat="1" applyFont="1" applyBorder="1" applyAlignment="1">
      <alignment horizontal="left" vertical="center"/>
    </xf>
    <xf numFmtId="181" fontId="87" fillId="0" borderId="1" xfId="5" applyNumberFormat="1" applyFont="1" applyBorder="1" applyAlignment="1">
      <alignment horizontal="left" vertical="center"/>
    </xf>
    <xf numFmtId="180" fontId="87" fillId="0" borderId="1" xfId="5" applyNumberFormat="1" applyFont="1" applyBorder="1" applyAlignment="1">
      <alignment horizontal="left" vertical="center"/>
    </xf>
    <xf numFmtId="3" fontId="87" fillId="0" borderId="0" xfId="5" applyNumberFormat="1" applyFont="1" applyAlignment="1">
      <alignment vertical="center"/>
    </xf>
    <xf numFmtId="3" fontId="87" fillId="0" borderId="3" xfId="5" applyNumberFormat="1" applyFont="1" applyBorder="1" applyAlignment="1">
      <alignment vertical="center"/>
    </xf>
    <xf numFmtId="178" fontId="87" fillId="0" borderId="1" xfId="5" applyNumberFormat="1" applyFont="1" applyBorder="1" applyAlignment="1">
      <alignment horizontal="left" vertical="center"/>
    </xf>
    <xf numFmtId="176" fontId="87" fillId="0" borderId="1" xfId="5" applyNumberFormat="1" applyFont="1" applyBorder="1" applyAlignment="1">
      <alignment horizontal="left" vertical="center"/>
    </xf>
    <xf numFmtId="185" fontId="87" fillId="0" borderId="1" xfId="14" applyNumberFormat="1" applyFont="1" applyBorder="1" applyAlignment="1">
      <alignment vertical="center"/>
    </xf>
    <xf numFmtId="200" fontId="19" fillId="0" borderId="1" xfId="2" quotePrefix="1" applyNumberFormat="1" applyFont="1" applyFill="1" applyBorder="1"/>
    <xf numFmtId="200" fontId="19" fillId="0" borderId="0" xfId="2" quotePrefix="1" applyNumberFormat="1" applyFont="1" applyFill="1" applyBorder="1"/>
    <xf numFmtId="200" fontId="19" fillId="0" borderId="3" xfId="2" quotePrefix="1" applyNumberFormat="1" applyFont="1" applyFill="1" applyBorder="1"/>
    <xf numFmtId="205" fontId="19" fillId="0" borderId="0" xfId="5" applyNumberFormat="1" applyFont="1" applyAlignment="1">
      <alignment horizontal="left"/>
    </xf>
    <xf numFmtId="201" fontId="19" fillId="0" borderId="0" xfId="5" applyNumberFormat="1" applyFont="1" applyAlignment="1">
      <alignment horizontal="right"/>
    </xf>
    <xf numFmtId="0" fontId="17" fillId="0" borderId="0" xfId="5" applyFont="1"/>
    <xf numFmtId="0" fontId="18" fillId="0" borderId="0" xfId="5" applyFont="1"/>
    <xf numFmtId="49" fontId="20" fillId="0" borderId="3" xfId="5" applyNumberFormat="1" applyFont="1" applyBorder="1" applyAlignment="1">
      <alignment horizontal="left"/>
    </xf>
    <xf numFmtId="0" fontId="36" fillId="0" borderId="0" xfId="5" applyFont="1" applyAlignment="1">
      <alignment vertical="center"/>
    </xf>
    <xf numFmtId="0" fontId="83" fillId="0" borderId="0" xfId="5" applyFont="1" applyAlignment="1">
      <alignment horizontal="left" vertical="center"/>
    </xf>
    <xf numFmtId="0" fontId="16" fillId="0" borderId="0" xfId="5" applyFont="1" applyAlignment="1">
      <alignment horizontal="left"/>
    </xf>
    <xf numFmtId="0" fontId="67" fillId="0" borderId="0" xfId="5" applyFont="1" applyAlignment="1">
      <alignment horizontal="left"/>
    </xf>
    <xf numFmtId="38" fontId="69" fillId="0" borderId="0" xfId="3" applyFont="1" applyFill="1">
      <alignment vertical="center"/>
    </xf>
    <xf numFmtId="38" fontId="15" fillId="0" borderId="0" xfId="3" applyFont="1" applyFill="1" applyAlignment="1">
      <alignment horizontal="center" vertical="center"/>
    </xf>
    <xf numFmtId="38" fontId="66" fillId="0" borderId="0" xfId="3" applyFont="1" applyFill="1">
      <alignment vertical="center"/>
    </xf>
    <xf numFmtId="38" fontId="19" fillId="0" borderId="0" xfId="3" applyFont="1" applyFill="1">
      <alignment vertical="center"/>
    </xf>
    <xf numFmtId="38" fontId="19" fillId="0" borderId="0" xfId="3" quotePrefix="1" applyFont="1" applyFill="1" applyBorder="1" applyAlignment="1">
      <alignment vertical="center"/>
    </xf>
    <xf numFmtId="38" fontId="19" fillId="0" borderId="0" xfId="3" quotePrefix="1" applyFont="1" applyFill="1" applyBorder="1" applyAlignment="1">
      <alignment horizontal="right"/>
    </xf>
    <xf numFmtId="188" fontId="59" fillId="0" borderId="0" xfId="5" applyNumberFormat="1" applyFont="1"/>
    <xf numFmtId="0" fontId="65" fillId="0" borderId="0" xfId="5" applyFont="1" applyAlignment="1">
      <alignment horizontal="centerContinuous"/>
    </xf>
    <xf numFmtId="0" fontId="19" fillId="0" borderId="0" xfId="5" applyFont="1" applyAlignment="1">
      <alignment horizontal="centerContinuous"/>
    </xf>
    <xf numFmtId="200" fontId="19" fillId="0" borderId="1" xfId="2" applyNumberFormat="1" applyFont="1" applyFill="1" applyBorder="1" applyAlignment="1"/>
    <xf numFmtId="200" fontId="19" fillId="0" borderId="0" xfId="2" applyNumberFormat="1" applyFont="1" applyFill="1" applyBorder="1" applyAlignment="1"/>
    <xf numFmtId="49" fontId="19" fillId="0" borderId="3" xfId="5" applyNumberFormat="1" applyFont="1" applyBorder="1" applyAlignment="1">
      <alignment horizontal="left"/>
    </xf>
    <xf numFmtId="37" fontId="19" fillId="0" borderId="3" xfId="2" applyNumberFormat="1" applyFont="1" applyFill="1" applyBorder="1" applyAlignment="1">
      <alignment horizontal="right"/>
    </xf>
    <xf numFmtId="0" fontId="91" fillId="0" borderId="0" xfId="5" applyFont="1" applyAlignment="1">
      <alignment horizontal="center" vertical="center"/>
    </xf>
    <xf numFmtId="0" fontId="19" fillId="0" borderId="0" xfId="5" applyFont="1" applyAlignment="1">
      <alignment horizontal="distributed" vertical="center"/>
    </xf>
    <xf numFmtId="49" fontId="92" fillId="0" borderId="0" xfId="5" applyNumberFormat="1" applyFont="1" applyAlignment="1">
      <alignment horizontal="left" vertical="center"/>
    </xf>
    <xf numFmtId="38" fontId="19" fillId="0" borderId="3" xfId="15" applyNumberFormat="1" applyFont="1" applyBorder="1" applyAlignment="1">
      <alignment horizontal="right" vertical="center"/>
    </xf>
    <xf numFmtId="38" fontId="39" fillId="0" borderId="0" xfId="5" applyNumberFormat="1" applyFont="1"/>
    <xf numFmtId="3" fontId="50" fillId="0" borderId="3" xfId="15" applyNumberFormat="1" applyFont="1" applyBorder="1" applyAlignment="1">
      <alignment horizontal="right" vertical="center" wrapText="1"/>
    </xf>
    <xf numFmtId="38" fontId="50" fillId="0" borderId="0" xfId="15" applyNumberFormat="1" applyFont="1" applyAlignment="1">
      <alignment vertical="center" wrapText="1"/>
    </xf>
    <xf numFmtId="38" fontId="50" fillId="0" borderId="0" xfId="15" applyNumberFormat="1" applyFont="1" applyAlignment="1">
      <alignment horizontal="left" vertical="center" wrapText="1"/>
    </xf>
    <xf numFmtId="0" fontId="93" fillId="0" borderId="0" xfId="5" applyFont="1"/>
    <xf numFmtId="3" fontId="19" fillId="0" borderId="1" xfId="2" applyNumberFormat="1" applyFont="1" applyFill="1" applyBorder="1" applyAlignment="1">
      <alignment horizontal="right" vertical="center"/>
    </xf>
    <xf numFmtId="49" fontId="19" fillId="0" borderId="0" xfId="5" applyNumberFormat="1" applyFont="1" applyAlignment="1">
      <alignment horizontal="left" vertical="top"/>
    </xf>
    <xf numFmtId="0" fontId="19" fillId="0" borderId="3" xfId="5" applyFont="1" applyBorder="1" applyAlignment="1">
      <alignment horizontal="right" vertical="top"/>
    </xf>
    <xf numFmtId="49" fontId="19" fillId="0" borderId="0" xfId="5" applyNumberFormat="1" applyFont="1" applyAlignment="1">
      <alignment horizontal="left"/>
    </xf>
    <xf numFmtId="49" fontId="19" fillId="0" borderId="0" xfId="5" applyNumberFormat="1" applyFont="1" applyAlignment="1">
      <alignment horizontal="center"/>
    </xf>
    <xf numFmtId="0" fontId="19" fillId="0" borderId="3" xfId="5" applyFont="1" applyBorder="1" applyAlignment="1">
      <alignment horizontal="right"/>
    </xf>
    <xf numFmtId="38" fontId="19" fillId="0" borderId="3" xfId="2" applyFont="1" applyFill="1" applyBorder="1" applyAlignment="1">
      <alignment horizontal="right" vertical="top"/>
    </xf>
    <xf numFmtId="49" fontId="21" fillId="0" borderId="0" xfId="5" applyNumberFormat="1" applyFont="1"/>
    <xf numFmtId="0" fontId="19" fillId="0" borderId="0" xfId="5" applyFont="1" applyAlignment="1">
      <alignment horizontal="distributed" vertical="top"/>
    </xf>
    <xf numFmtId="0" fontId="19" fillId="0" borderId="3" xfId="5" applyFont="1" applyBorder="1" applyAlignment="1">
      <alignment horizontal="distributed" vertical="top"/>
    </xf>
    <xf numFmtId="0" fontId="19" fillId="0" borderId="0" xfId="5" applyFont="1" applyAlignment="1">
      <alignment horizontal="distributed"/>
    </xf>
    <xf numFmtId="0" fontId="19" fillId="0" borderId="3" xfId="5" applyFont="1" applyBorder="1" applyAlignment="1">
      <alignment horizontal="distributed"/>
    </xf>
    <xf numFmtId="0" fontId="19" fillId="0" borderId="0" xfId="5" applyFont="1" applyAlignment="1">
      <alignment horizontal="left" vertical="top"/>
    </xf>
    <xf numFmtId="49" fontId="19" fillId="0" borderId="3" xfId="5" applyNumberFormat="1" applyFont="1" applyBorder="1" applyAlignment="1">
      <alignment horizontal="right" vertical="top"/>
    </xf>
    <xf numFmtId="49" fontId="19" fillId="0" borderId="0" xfId="5" applyNumberFormat="1" applyFont="1" applyAlignment="1">
      <alignment horizontal="right"/>
    </xf>
    <xf numFmtId="49" fontId="19" fillId="0" borderId="3" xfId="5" applyNumberFormat="1" applyFont="1" applyBorder="1" applyAlignment="1">
      <alignment horizontal="right"/>
    </xf>
    <xf numFmtId="49" fontId="92" fillId="0" borderId="0" xfId="5" applyNumberFormat="1" applyFont="1" applyAlignment="1">
      <alignment horizontal="left" vertical="top"/>
    </xf>
    <xf numFmtId="38" fontId="16" fillId="0" borderId="0" xfId="3" quotePrefix="1" applyFont="1" applyFill="1" applyAlignment="1">
      <alignment horizontal="left" vertical="center"/>
    </xf>
    <xf numFmtId="3" fontId="50" fillId="0" borderId="3" xfId="2" applyNumberFormat="1" applyFont="1" applyFill="1" applyBorder="1" applyAlignment="1">
      <alignment horizontal="right" vertical="center"/>
    </xf>
    <xf numFmtId="3" fontId="19" fillId="0" borderId="17" xfId="2" applyNumberFormat="1" applyFont="1" applyFill="1" applyBorder="1" applyAlignment="1">
      <alignment horizontal="right" vertical="center"/>
    </xf>
    <xf numFmtId="49" fontId="87" fillId="0" borderId="0" xfId="5" applyNumberFormat="1" applyFont="1" applyAlignment="1">
      <alignment horizontal="left" vertical="center"/>
    </xf>
    <xf numFmtId="0" fontId="87" fillId="0" borderId="0" xfId="5" applyFont="1" applyAlignment="1">
      <alignment horizontal="right" vertical="center"/>
    </xf>
    <xf numFmtId="0" fontId="87" fillId="0" borderId="3" xfId="5" applyFont="1" applyBorder="1" applyAlignment="1">
      <alignment horizontal="right" vertical="center"/>
    </xf>
    <xf numFmtId="0" fontId="87" fillId="0" borderId="0" xfId="5" applyFont="1" applyAlignment="1">
      <alignment vertical="center"/>
    </xf>
    <xf numFmtId="0" fontId="87" fillId="0" borderId="3" xfId="5" applyFont="1" applyBorder="1" applyAlignment="1">
      <alignment vertical="center"/>
    </xf>
    <xf numFmtId="0" fontId="87" fillId="0" borderId="0" xfId="5" applyFont="1" applyAlignment="1">
      <alignment horizontal="distributed" vertical="center"/>
    </xf>
    <xf numFmtId="0" fontId="87" fillId="0" borderId="3" xfId="5" applyFont="1" applyBorder="1" applyAlignment="1">
      <alignment horizontal="distributed" vertical="center"/>
    </xf>
    <xf numFmtId="0" fontId="87" fillId="0" borderId="0" xfId="5" applyFont="1" applyAlignment="1">
      <alignment horizontal="left" vertical="center"/>
    </xf>
    <xf numFmtId="49" fontId="87" fillId="0" borderId="3" xfId="5" applyNumberFormat="1" applyFont="1" applyBorder="1" applyAlignment="1">
      <alignment horizontal="right" vertical="center"/>
    </xf>
    <xf numFmtId="49" fontId="94" fillId="0" borderId="0" xfId="5" applyNumberFormat="1" applyFont="1" applyAlignment="1">
      <alignment horizontal="left" vertical="center"/>
    </xf>
    <xf numFmtId="49" fontId="19" fillId="0" borderId="0" xfId="5" quotePrefix="1" applyNumberFormat="1" applyFont="1" applyAlignment="1">
      <alignment horizontal="left"/>
    </xf>
    <xf numFmtId="49" fontId="100" fillId="0" borderId="0" xfId="5" quotePrefix="1" applyNumberFormat="1" applyFont="1" applyAlignment="1">
      <alignment horizontal="left"/>
    </xf>
    <xf numFmtId="38" fontId="16" fillId="0" borderId="0" xfId="2" applyFont="1" applyFill="1" applyBorder="1" applyAlignment="1">
      <alignment horizontal="left" vertical="center"/>
    </xf>
    <xf numFmtId="0" fontId="19" fillId="0" borderId="2" xfId="5" applyFont="1" applyBorder="1" applyAlignment="1">
      <alignment horizontal="center" vertical="center" wrapText="1"/>
    </xf>
    <xf numFmtId="0" fontId="19" fillId="0" borderId="4" xfId="5" applyFont="1" applyBorder="1" applyAlignment="1">
      <alignment horizontal="center" vertical="center" wrapText="1"/>
    </xf>
    <xf numFmtId="0" fontId="39" fillId="0" borderId="0" xfId="5" applyFont="1" applyAlignment="1">
      <alignment horizontal="center" vertical="center"/>
    </xf>
    <xf numFmtId="0" fontId="39" fillId="0" borderId="3" xfId="5" applyFont="1" applyBorder="1" applyAlignment="1">
      <alignment horizontal="center" vertical="center"/>
    </xf>
    <xf numFmtId="0" fontId="39" fillId="0" borderId="4" xfId="5" applyFont="1" applyBorder="1" applyAlignment="1">
      <alignment horizontal="center" vertical="center" wrapText="1"/>
    </xf>
    <xf numFmtId="0" fontId="39" fillId="0" borderId="4" xfId="5" applyFont="1" applyBorder="1" applyAlignment="1">
      <alignment horizontal="center" vertical="center"/>
    </xf>
    <xf numFmtId="0" fontId="19" fillId="0" borderId="0" xfId="5" applyFont="1" applyAlignment="1">
      <alignment vertical="center"/>
    </xf>
    <xf numFmtId="0" fontId="19" fillId="0" borderId="1" xfId="5" applyFont="1" applyBorder="1" applyAlignment="1">
      <alignment horizontal="center" vertical="center" wrapText="1"/>
    </xf>
    <xf numFmtId="0" fontId="19" fillId="0" borderId="0" xfId="5" applyFont="1" applyAlignment="1">
      <alignment horizontal="left" vertical="center"/>
    </xf>
    <xf numFmtId="0" fontId="19" fillId="0" borderId="25" xfId="5" applyFont="1" applyBorder="1" applyAlignment="1">
      <alignment horizontal="center" vertical="center" wrapText="1"/>
    </xf>
    <xf numFmtId="0" fontId="19" fillId="0" borderId="26" xfId="5" applyFont="1" applyBorder="1" applyAlignment="1">
      <alignment horizontal="center" vertical="center" wrapText="1"/>
    </xf>
    <xf numFmtId="49" fontId="20" fillId="0" borderId="25" xfId="5" applyNumberFormat="1" applyFont="1" applyBorder="1" applyAlignment="1">
      <alignment horizontal="left"/>
    </xf>
    <xf numFmtId="37" fontId="19" fillId="0" borderId="26" xfId="5" applyNumberFormat="1" applyFont="1" applyBorder="1" applyAlignment="1">
      <alignment horizontal="right"/>
    </xf>
    <xf numFmtId="37" fontId="19" fillId="0" borderId="26" xfId="5" applyNumberFormat="1" applyFont="1" applyBorder="1" applyAlignment="1">
      <alignment horizontal="left"/>
    </xf>
    <xf numFmtId="38" fontId="19" fillId="0" borderId="26" xfId="2" applyFont="1" applyFill="1" applyBorder="1" applyAlignment="1">
      <alignment horizontal="center" vertical="center" wrapText="1"/>
    </xf>
    <xf numFmtId="37" fontId="19" fillId="0" borderId="26" xfId="2" applyNumberFormat="1" applyFont="1" applyFill="1" applyBorder="1" applyAlignment="1">
      <alignment horizontal="right"/>
    </xf>
    <xf numFmtId="37" fontId="19" fillId="0" borderId="24" xfId="2" applyNumberFormat="1" applyFont="1" applyFill="1" applyBorder="1" applyAlignment="1">
      <alignment horizontal="right"/>
    </xf>
    <xf numFmtId="37" fontId="19" fillId="0" borderId="26" xfId="2" applyNumberFormat="1" applyFont="1" applyFill="1" applyBorder="1" applyAlignment="1">
      <alignment horizontal="left"/>
    </xf>
    <xf numFmtId="38" fontId="19" fillId="0" borderId="25" xfId="2" applyFont="1" applyFill="1" applyBorder="1" applyAlignment="1">
      <alignment horizontal="center" vertical="center" wrapText="1"/>
    </xf>
    <xf numFmtId="37" fontId="19" fillId="0" borderId="25" xfId="2" applyNumberFormat="1" applyFont="1" applyFill="1" applyBorder="1" applyAlignment="1">
      <alignment horizontal="right"/>
    </xf>
    <xf numFmtId="0" fontId="19" fillId="0" borderId="0" xfId="5" applyFont="1" applyAlignment="1">
      <alignment horizontal="center" vertical="center"/>
    </xf>
    <xf numFmtId="0" fontId="19" fillId="0" borderId="3" xfId="5" applyFont="1" applyBorder="1" applyAlignment="1">
      <alignment horizontal="center" vertical="center"/>
    </xf>
    <xf numFmtId="0" fontId="19" fillId="0" borderId="4" xfId="16" applyFont="1" applyBorder="1" applyAlignment="1">
      <alignment horizontal="center" vertical="center" wrapText="1"/>
    </xf>
    <xf numFmtId="188" fontId="19" fillId="0" borderId="3" xfId="5" applyNumberFormat="1" applyFont="1" applyBorder="1" applyAlignment="1">
      <alignment horizontal="center"/>
    </xf>
    <xf numFmtId="0" fontId="19" fillId="0" borderId="3" xfId="5" applyFont="1" applyBorder="1" applyAlignment="1">
      <alignment horizontal="center"/>
    </xf>
    <xf numFmtId="188" fontId="19" fillId="0" borderId="3" xfId="5" applyNumberFormat="1" applyFont="1" applyBorder="1" applyAlignment="1">
      <alignment horizontal="center" vertical="top"/>
    </xf>
    <xf numFmtId="0" fontId="61" fillId="0" borderId="4" xfId="5" applyFont="1" applyBorder="1" applyAlignment="1">
      <alignment vertical="center"/>
    </xf>
    <xf numFmtId="0" fontId="19" fillId="0" borderId="0" xfId="5" applyFont="1" applyAlignment="1">
      <alignment horizontal="center"/>
    </xf>
    <xf numFmtId="0" fontId="19" fillId="0" borderId="4" xfId="5" applyFont="1" applyBorder="1" applyAlignment="1">
      <alignment vertical="center"/>
    </xf>
    <xf numFmtId="0" fontId="19" fillId="0" borderId="13" xfId="5" quotePrefix="1" applyFont="1" applyBorder="1" applyAlignment="1">
      <alignment horizontal="center" vertical="center" wrapText="1"/>
    </xf>
    <xf numFmtId="0" fontId="19" fillId="0" borderId="5" xfId="5" applyFont="1" applyBorder="1" applyAlignment="1">
      <alignment horizontal="center" vertical="center" wrapText="1"/>
    </xf>
    <xf numFmtId="0" fontId="19" fillId="0" borderId="3" xfId="5" applyFont="1" applyBorder="1" applyAlignment="1">
      <alignment horizontal="left" vertical="center"/>
    </xf>
    <xf numFmtId="0" fontId="19" fillId="0" borderId="0" xfId="5" applyFont="1" applyAlignment="1">
      <alignment horizontal="left"/>
    </xf>
    <xf numFmtId="0" fontId="19" fillId="0" borderId="3" xfId="5" applyFont="1" applyBorder="1" applyAlignment="1">
      <alignment horizontal="left"/>
    </xf>
    <xf numFmtId="0" fontId="19" fillId="0" borderId="0" xfId="5" quotePrefix="1" applyFont="1" applyAlignment="1">
      <alignment horizontal="left" wrapText="1"/>
    </xf>
    <xf numFmtId="0" fontId="19" fillId="0" borderId="0" xfId="5" quotePrefix="1" applyFont="1" applyAlignment="1">
      <alignment horizontal="left"/>
    </xf>
    <xf numFmtId="37" fontId="19" fillId="0" borderId="26" xfId="5" applyNumberFormat="1" applyFont="1" applyBorder="1" applyAlignment="1">
      <alignment horizontal="right" vertical="center"/>
    </xf>
    <xf numFmtId="37" fontId="19" fillId="0" borderId="24" xfId="5" applyNumberFormat="1" applyFont="1" applyBorder="1" applyAlignment="1">
      <alignment horizontal="right" vertical="center"/>
    </xf>
    <xf numFmtId="37" fontId="19" fillId="0" borderId="26" xfId="5" applyNumberFormat="1" applyFont="1" applyBorder="1" applyAlignment="1">
      <alignment horizontal="left" vertical="center"/>
    </xf>
    <xf numFmtId="37" fontId="19" fillId="0" borderId="25" xfId="5" applyNumberFormat="1" applyFont="1" applyBorder="1" applyAlignment="1">
      <alignment horizontal="right" vertical="center"/>
    </xf>
    <xf numFmtId="0" fontId="43" fillId="0" borderId="24" xfId="5" applyFont="1" applyBorder="1" applyAlignment="1">
      <alignment horizontal="left" vertical="center" indent="1"/>
    </xf>
    <xf numFmtId="0" fontId="43" fillId="0" borderId="24" xfId="5" applyFont="1" applyBorder="1" applyAlignment="1">
      <alignment horizontal="left" vertical="center"/>
    </xf>
    <xf numFmtId="0" fontId="43" fillId="0" borderId="24" xfId="5" applyFont="1" applyBorder="1" applyAlignment="1">
      <alignment vertical="center"/>
    </xf>
    <xf numFmtId="0" fontId="39" fillId="0" borderId="24" xfId="5" applyFont="1" applyBorder="1" applyAlignment="1">
      <alignment horizontal="right" vertical="center"/>
    </xf>
    <xf numFmtId="0" fontId="39" fillId="0" borderId="24" xfId="5" applyFont="1" applyBorder="1" applyAlignment="1">
      <alignment horizontal="center" vertical="center"/>
    </xf>
    <xf numFmtId="0" fontId="39" fillId="0" borderId="25" xfId="5" applyFont="1" applyBorder="1" applyAlignment="1">
      <alignment horizontal="left" vertical="center"/>
    </xf>
    <xf numFmtId="0" fontId="39" fillId="0" borderId="24" xfId="5" applyFont="1" applyBorder="1" applyAlignment="1">
      <alignment horizontal="left" vertical="center"/>
    </xf>
    <xf numFmtId="0" fontId="39" fillId="0" borderId="25" xfId="5" applyFont="1" applyBorder="1" applyAlignment="1">
      <alignment horizontal="center" vertical="center"/>
    </xf>
    <xf numFmtId="49" fontId="39" fillId="0" borderId="24" xfId="14" applyNumberFormat="1" applyFont="1" applyBorder="1" applyAlignment="1">
      <alignment horizontal="center" vertical="center"/>
    </xf>
    <xf numFmtId="0" fontId="39" fillId="0" borderId="26" xfId="5" applyFont="1" applyBorder="1" applyAlignment="1">
      <alignment horizontal="center" vertical="center" wrapText="1"/>
    </xf>
    <xf numFmtId="0" fontId="39" fillId="0" borderId="26" xfId="5" applyFont="1" applyBorder="1" applyAlignment="1">
      <alignment vertical="center"/>
    </xf>
    <xf numFmtId="49" fontId="19" fillId="0" borderId="24" xfId="5" applyNumberFormat="1" applyFont="1" applyBorder="1" applyAlignment="1">
      <alignment horizontal="right" vertical="center"/>
    </xf>
    <xf numFmtId="49" fontId="19" fillId="0" borderId="24" xfId="5" applyNumberFormat="1" applyFont="1" applyBorder="1" applyAlignment="1">
      <alignment horizontal="left" vertical="center"/>
    </xf>
    <xf numFmtId="49" fontId="19" fillId="0" borderId="25" xfId="5" applyNumberFormat="1" applyFont="1" applyBorder="1" applyAlignment="1">
      <alignment horizontal="right" vertical="center"/>
    </xf>
    <xf numFmtId="177" fontId="19" fillId="0" borderId="26" xfId="14" applyNumberFormat="1" applyFont="1" applyBorder="1" applyAlignment="1">
      <alignment horizontal="right" vertical="center"/>
    </xf>
    <xf numFmtId="177" fontId="19" fillId="0" borderId="24" xfId="14" applyNumberFormat="1" applyFont="1" applyBorder="1" applyAlignment="1">
      <alignment horizontal="right" vertical="center"/>
    </xf>
    <xf numFmtId="176" fontId="19" fillId="0" borderId="26" xfId="5" applyNumberFormat="1" applyFont="1" applyBorder="1" applyAlignment="1">
      <alignment horizontal="left" vertical="center"/>
    </xf>
    <xf numFmtId="0" fontId="42" fillId="0" borderId="24" xfId="5" applyFont="1" applyBorder="1" applyAlignment="1">
      <alignment horizontal="left" vertical="center"/>
    </xf>
    <xf numFmtId="0" fontId="42" fillId="0" borderId="24" xfId="5" applyFont="1" applyBorder="1" applyAlignment="1">
      <alignment vertical="center"/>
    </xf>
    <xf numFmtId="0" fontId="39" fillId="0" borderId="24" xfId="5" applyFont="1" applyBorder="1" applyAlignment="1">
      <alignment vertical="center"/>
    </xf>
    <xf numFmtId="0" fontId="39" fillId="0" borderId="25" xfId="5" applyFont="1" applyBorder="1" applyAlignment="1">
      <alignment vertical="center"/>
    </xf>
    <xf numFmtId="177" fontId="19" fillId="0" borderId="26" xfId="5" applyNumberFormat="1" applyFont="1" applyBorder="1" applyAlignment="1">
      <alignment horizontal="right" vertical="center"/>
    </xf>
    <xf numFmtId="177" fontId="19" fillId="0" borderId="24" xfId="5" applyNumberFormat="1" applyFont="1" applyBorder="1" applyAlignment="1">
      <alignment horizontal="right" vertical="center"/>
    </xf>
    <xf numFmtId="177" fontId="19" fillId="0" borderId="25" xfId="5" applyNumberFormat="1" applyFont="1" applyBorder="1" applyAlignment="1">
      <alignment horizontal="right" vertical="center"/>
    </xf>
    <xf numFmtId="38" fontId="39" fillId="0" borderId="27" xfId="15" applyNumberFormat="1" applyFont="1" applyBorder="1" applyAlignment="1">
      <alignment horizontal="center" vertical="center" wrapText="1"/>
    </xf>
    <xf numFmtId="203" fontId="19" fillId="0" borderId="0" xfId="2" applyNumberFormat="1" applyFont="1" applyFill="1" applyBorder="1" applyAlignment="1">
      <alignment horizontal="right" vertical="center"/>
    </xf>
    <xf numFmtId="203" fontId="19" fillId="0" borderId="0" xfId="16" applyNumberFormat="1" applyFont="1" applyAlignment="1">
      <alignment horizontal="right" vertical="center"/>
    </xf>
    <xf numFmtId="0" fontId="52" fillId="0" borderId="0" xfId="5" applyFont="1" applyAlignment="1">
      <alignment horizontal="left"/>
    </xf>
    <xf numFmtId="0" fontId="74" fillId="0" borderId="0" xfId="5" applyFont="1" applyAlignment="1">
      <alignment horizontal="center"/>
    </xf>
    <xf numFmtId="0" fontId="74" fillId="0" borderId="0" xfId="5" applyFont="1"/>
    <xf numFmtId="0" fontId="75" fillId="0" borderId="0" xfId="5" applyFont="1" applyAlignment="1">
      <alignment vertical="center"/>
    </xf>
    <xf numFmtId="0" fontId="71" fillId="0" borderId="0" xfId="5" applyFont="1" applyAlignment="1">
      <alignment horizontal="center"/>
    </xf>
    <xf numFmtId="0" fontId="72" fillId="0" borderId="0" xfId="5" applyFont="1" applyAlignment="1">
      <alignment horizontal="center" vertical="center"/>
    </xf>
    <xf numFmtId="0" fontId="73" fillId="0" borderId="0" xfId="5" applyFont="1" applyAlignment="1">
      <alignment horizontal="right" vertical="center"/>
    </xf>
    <xf numFmtId="0" fontId="72" fillId="0" borderId="0" xfId="5" applyFont="1" applyAlignment="1">
      <alignment horizontal="centerContinuous" vertical="center"/>
    </xf>
    <xf numFmtId="0" fontId="73" fillId="0" borderId="0" xfId="5" applyFont="1" applyAlignment="1">
      <alignment vertical="center"/>
    </xf>
    <xf numFmtId="0" fontId="72" fillId="0" borderId="0" xfId="5" applyFont="1" applyAlignment="1">
      <alignment horizontal="left" vertical="center"/>
    </xf>
    <xf numFmtId="0" fontId="73" fillId="0" borderId="0" xfId="5" applyFont="1" applyAlignment="1">
      <alignment horizontal="left" vertical="center"/>
    </xf>
    <xf numFmtId="0" fontId="72" fillId="0" borderId="0" xfId="5" applyFont="1" applyAlignment="1">
      <alignment vertical="center"/>
    </xf>
    <xf numFmtId="0" fontId="72" fillId="0" borderId="0" xfId="5" quotePrefix="1" applyFont="1" applyAlignment="1">
      <alignment horizontal="left" vertical="center"/>
    </xf>
    <xf numFmtId="0" fontId="10" fillId="0" borderId="0" xfId="5" applyFont="1" applyAlignment="1">
      <alignment horizontal="right" vertical="center"/>
    </xf>
    <xf numFmtId="0" fontId="52" fillId="0" borderId="0" xfId="5" applyFont="1" applyAlignment="1">
      <alignment horizontal="centerContinuous"/>
    </xf>
    <xf numFmtId="3" fontId="39" fillId="0" borderId="0" xfId="5" applyNumberFormat="1" applyFont="1" applyAlignment="1">
      <alignment horizontal="right" vertical="center"/>
    </xf>
    <xf numFmtId="0" fontId="52" fillId="0" borderId="0" xfId="5" applyFont="1"/>
    <xf numFmtId="0" fontId="52" fillId="0" borderId="0" xfId="5" quotePrefix="1" applyFont="1" applyAlignment="1">
      <alignment horizontal="left"/>
    </xf>
    <xf numFmtId="0" fontId="71" fillId="0" borderId="0" xfId="5" applyFont="1" applyAlignment="1">
      <alignment horizontal="center" vertical="center"/>
    </xf>
    <xf numFmtId="0" fontId="39" fillId="0" borderId="3" xfId="5" applyFont="1" applyBorder="1" applyAlignment="1">
      <alignment horizontal="centerContinuous"/>
    </xf>
    <xf numFmtId="0" fontId="19" fillId="0" borderId="0" xfId="5" applyFont="1" applyAlignment="1">
      <alignment vertical="center" wrapText="1"/>
    </xf>
    <xf numFmtId="0" fontId="39" fillId="0" borderId="3" xfId="5" applyFont="1" applyBorder="1" applyAlignment="1">
      <alignment horizontal="centerContinuous" vertical="center"/>
    </xf>
    <xf numFmtId="0" fontId="39" fillId="0" borderId="0" xfId="5" applyFont="1" applyAlignment="1">
      <alignment horizontal="right" vertical="center" wrapText="1"/>
    </xf>
    <xf numFmtId="0" fontId="39" fillId="0" borderId="0" xfId="5" applyFont="1" applyAlignment="1">
      <alignment wrapText="1"/>
    </xf>
    <xf numFmtId="0" fontId="19" fillId="0" borderId="22" xfId="5" applyFont="1" applyBorder="1" applyAlignment="1">
      <alignment horizontal="centerContinuous"/>
    </xf>
    <xf numFmtId="0" fontId="50" fillId="0" borderId="21" xfId="5" applyFont="1" applyBorder="1"/>
    <xf numFmtId="0" fontId="50" fillId="0" borderId="0" xfId="5" applyFont="1" applyAlignment="1">
      <alignment horizontal="distributed" vertical="center" wrapText="1"/>
    </xf>
    <xf numFmtId="0" fontId="50" fillId="0" borderId="3" xfId="5" applyFont="1" applyBorder="1" applyAlignment="1">
      <alignment horizontal="distributed" vertical="center"/>
    </xf>
    <xf numFmtId="3" fontId="50" fillId="0" borderId="0" xfId="5" applyNumberFormat="1" applyFont="1" applyAlignment="1">
      <alignment vertical="center"/>
    </xf>
    <xf numFmtId="3" fontId="50" fillId="0" borderId="0" xfId="5" applyNumberFormat="1" applyFont="1" applyAlignment="1">
      <alignment horizontal="right" vertical="center"/>
    </xf>
    <xf numFmtId="0" fontId="50" fillId="0" borderId="1" xfId="5" applyFont="1" applyBorder="1" applyAlignment="1">
      <alignment horizontal="left" vertical="center"/>
    </xf>
    <xf numFmtId="0" fontId="19" fillId="0" borderId="14" xfId="5" applyFont="1" applyBorder="1" applyAlignment="1">
      <alignment horizontal="right" vertical="center"/>
    </xf>
    <xf numFmtId="0" fontId="19" fillId="0" borderId="0" xfId="5" applyFont="1" applyAlignment="1">
      <alignment horizontal="distributed" vertical="center" wrapText="1"/>
    </xf>
    <xf numFmtId="0" fontId="19" fillId="0" borderId="18" xfId="5" applyFont="1" applyBorder="1" applyAlignment="1">
      <alignment horizontal="right" vertical="center"/>
    </xf>
    <xf numFmtId="0" fontId="19" fillId="0" borderId="16" xfId="5" applyFont="1" applyBorder="1" applyAlignment="1">
      <alignment horizontal="distributed" vertical="center" wrapText="1"/>
    </xf>
    <xf numFmtId="0" fontId="19" fillId="0" borderId="17" xfId="5" applyFont="1" applyBorder="1" applyAlignment="1">
      <alignment horizontal="distributed" vertical="center"/>
    </xf>
    <xf numFmtId="3" fontId="19" fillId="0" borderId="16" xfId="5" applyNumberFormat="1" applyFont="1" applyBorder="1" applyAlignment="1">
      <alignment horizontal="right" vertical="center"/>
    </xf>
    <xf numFmtId="0" fontId="19" fillId="0" borderId="15" xfId="5" applyFont="1" applyBorder="1" applyAlignment="1">
      <alignment horizontal="left" vertical="center"/>
    </xf>
    <xf numFmtId="0" fontId="50" fillId="0" borderId="14" xfId="5" applyFont="1" applyBorder="1" applyAlignment="1">
      <alignment horizontal="right"/>
    </xf>
    <xf numFmtId="0" fontId="50" fillId="0" borderId="1" xfId="5" applyFont="1" applyBorder="1" applyAlignment="1">
      <alignment vertical="center"/>
    </xf>
    <xf numFmtId="0" fontId="19" fillId="0" borderId="19" xfId="5" applyFont="1" applyBorder="1" applyAlignment="1">
      <alignment horizontal="centerContinuous" vertical="center"/>
    </xf>
    <xf numFmtId="3" fontId="19" fillId="0" borderId="1" xfId="5" applyNumberFormat="1" applyFont="1" applyBorder="1" applyAlignment="1">
      <alignment horizontal="right" vertical="center"/>
    </xf>
    <xf numFmtId="185" fontId="39" fillId="0" borderId="0" xfId="5" applyNumberFormat="1" applyFont="1" applyAlignment="1">
      <alignment vertical="center"/>
    </xf>
    <xf numFmtId="0" fontId="39" fillId="0" borderId="0" xfId="5" quotePrefix="1" applyFont="1" applyAlignment="1">
      <alignment vertical="center"/>
    </xf>
    <xf numFmtId="185" fontId="39" fillId="0" borderId="0" xfId="5" applyNumberFormat="1" applyFont="1"/>
    <xf numFmtId="188" fontId="19" fillId="0" borderId="1" xfId="5" applyNumberFormat="1" applyFont="1" applyBorder="1" applyAlignment="1">
      <alignment horizontal="left" vertical="top"/>
    </xf>
    <xf numFmtId="194" fontId="19" fillId="0" borderId="4" xfId="2" quotePrefix="1" applyNumberFormat="1" applyFont="1" applyFill="1" applyBorder="1" applyAlignment="1">
      <alignment horizontal="center" vertical="center" wrapText="1"/>
    </xf>
    <xf numFmtId="193" fontId="19" fillId="0" borderId="4" xfId="5" applyNumberFormat="1" applyFont="1" applyBorder="1" applyAlignment="1">
      <alignment horizontal="center" vertical="center" wrapText="1"/>
    </xf>
    <xf numFmtId="38" fontId="19" fillId="0" borderId="4" xfId="2" applyFont="1" applyFill="1" applyBorder="1" applyAlignment="1"/>
    <xf numFmtId="196" fontId="19" fillId="0" borderId="4" xfId="5" applyNumberFormat="1" applyFont="1" applyBorder="1"/>
    <xf numFmtId="194" fontId="19" fillId="0" borderId="4" xfId="2" applyNumberFormat="1" applyFont="1" applyFill="1" applyBorder="1" applyAlignment="1">
      <alignment horizontal="center" vertical="center" wrapText="1"/>
    </xf>
    <xf numFmtId="38" fontId="19" fillId="0" borderId="4" xfId="5" applyNumberFormat="1" applyFont="1" applyBorder="1" applyAlignment="1">
      <alignment horizontal="center" vertical="center" wrapText="1"/>
    </xf>
    <xf numFmtId="38" fontId="19" fillId="0" borderId="4" xfId="2" applyFont="1" applyFill="1" applyBorder="1" applyAlignment="1">
      <alignment horizontal="right"/>
    </xf>
    <xf numFmtId="199" fontId="19" fillId="0" borderId="4" xfId="2" applyNumberFormat="1" applyFont="1" applyFill="1" applyBorder="1" applyAlignment="1">
      <alignment horizontal="right"/>
    </xf>
    <xf numFmtId="197" fontId="19" fillId="0" borderId="4" xfId="2" applyNumberFormat="1" applyFont="1" applyFill="1" applyBorder="1" applyAlignment="1">
      <alignment horizontal="right"/>
    </xf>
    <xf numFmtId="40" fontId="19" fillId="0" borderId="4" xfId="2" applyNumberFormat="1" applyFont="1" applyFill="1" applyBorder="1" applyAlignment="1">
      <alignment horizontal="right"/>
    </xf>
    <xf numFmtId="49" fontId="19" fillId="0" borderId="3" xfId="5" quotePrefix="1" applyNumberFormat="1" applyFont="1" applyBorder="1" applyAlignment="1">
      <alignment horizontal="left" vertical="center"/>
    </xf>
    <xf numFmtId="49" fontId="19" fillId="0" borderId="1" xfId="5" quotePrefix="1" applyNumberFormat="1" applyFont="1" applyBorder="1" applyAlignment="1">
      <alignment horizontal="left" vertical="center"/>
    </xf>
    <xf numFmtId="49" fontId="19" fillId="0" borderId="30" xfId="5" quotePrefix="1" applyNumberFormat="1" applyFont="1" applyBorder="1" applyAlignment="1">
      <alignment horizontal="left"/>
    </xf>
    <xf numFmtId="188" fontId="19" fillId="0" borderId="1" xfId="5" applyNumberFormat="1" applyFont="1" applyBorder="1" applyAlignment="1">
      <alignment horizontal="left"/>
    </xf>
    <xf numFmtId="0" fontId="18" fillId="0" borderId="29" xfId="5" applyFont="1" applyBorder="1"/>
    <xf numFmtId="0" fontId="15" fillId="0" borderId="29" xfId="5" applyFont="1" applyBorder="1"/>
    <xf numFmtId="0" fontId="15" fillId="0" borderId="29" xfId="5" applyFont="1" applyBorder="1" applyAlignment="1">
      <alignment horizontal="center" vertical="center"/>
    </xf>
    <xf numFmtId="0" fontId="19" fillId="0" borderId="29" xfId="5" applyFont="1" applyBorder="1" applyAlignment="1">
      <alignment horizontal="right"/>
    </xf>
    <xf numFmtId="0" fontId="19" fillId="0" borderId="32" xfId="5" applyFont="1" applyBorder="1"/>
    <xf numFmtId="0" fontId="19" fillId="0" borderId="33" xfId="5" applyFont="1" applyBorder="1"/>
    <xf numFmtId="0" fontId="19" fillId="0" borderId="34" xfId="5" applyFont="1" applyBorder="1"/>
    <xf numFmtId="0" fontId="19" fillId="0" borderId="35" xfId="5" applyFont="1" applyBorder="1"/>
    <xf numFmtId="0" fontId="19" fillId="0" borderId="34" xfId="5" applyFont="1" applyBorder="1" applyAlignment="1">
      <alignment horizontal="center" vertical="center" wrapText="1"/>
    </xf>
    <xf numFmtId="0" fontId="19" fillId="0" borderId="33" xfId="5" applyFont="1" applyBorder="1" applyAlignment="1">
      <alignment horizontal="center" vertical="center" wrapText="1"/>
    </xf>
    <xf numFmtId="49" fontId="20" fillId="0" borderId="32" xfId="5" applyNumberFormat="1" applyFont="1" applyBorder="1" applyAlignment="1">
      <alignment horizontal="left"/>
    </xf>
    <xf numFmtId="37" fontId="19" fillId="0" borderId="34" xfId="5" applyNumberFormat="1" applyFont="1" applyBorder="1" applyAlignment="1">
      <alignment horizontal="right"/>
    </xf>
    <xf numFmtId="37" fontId="19" fillId="0" borderId="35" xfId="5" applyNumberFormat="1" applyFont="1" applyBorder="1" applyAlignment="1">
      <alignment horizontal="right"/>
    </xf>
    <xf numFmtId="37" fontId="19" fillId="0" borderId="34" xfId="5" applyNumberFormat="1" applyFont="1" applyBorder="1" applyAlignment="1">
      <alignment horizontal="left"/>
    </xf>
    <xf numFmtId="49" fontId="20" fillId="0" borderId="28" xfId="5" applyNumberFormat="1" applyFont="1" applyBorder="1" applyAlignment="1">
      <alignment horizontal="left"/>
    </xf>
    <xf numFmtId="37" fontId="19" fillId="0" borderId="29" xfId="5" applyNumberFormat="1" applyFont="1" applyBorder="1" applyAlignment="1">
      <alignment horizontal="right"/>
    </xf>
    <xf numFmtId="0" fontId="19" fillId="0" borderId="34" xfId="5" applyFont="1" applyBorder="1" applyAlignment="1">
      <alignment horizontal="left" vertical="center"/>
    </xf>
    <xf numFmtId="0" fontId="19" fillId="0" borderId="28" xfId="5" applyFont="1" applyBorder="1" applyAlignment="1">
      <alignment horizontal="center" vertical="center" wrapText="1"/>
    </xf>
    <xf numFmtId="37" fontId="19" fillId="0" borderId="32" xfId="5" applyNumberFormat="1" applyFont="1" applyBorder="1" applyAlignment="1">
      <alignment horizontal="right"/>
    </xf>
    <xf numFmtId="37" fontId="19" fillId="0" borderId="28" xfId="5" applyNumberFormat="1" applyFont="1" applyBorder="1" applyAlignment="1">
      <alignment horizontal="right"/>
    </xf>
    <xf numFmtId="38" fontId="19" fillId="0" borderId="32" xfId="2" applyFont="1" applyFill="1" applyBorder="1" applyAlignment="1"/>
    <xf numFmtId="38" fontId="19" fillId="0" borderId="33" xfId="2" applyFont="1" applyFill="1" applyBorder="1" applyAlignment="1"/>
    <xf numFmtId="38" fontId="19" fillId="0" borderId="34" xfId="2" applyFont="1" applyFill="1" applyBorder="1" applyAlignment="1"/>
    <xf numFmtId="38" fontId="19" fillId="0" borderId="35" xfId="2" applyFont="1" applyFill="1" applyBorder="1" applyAlignment="1"/>
    <xf numFmtId="38" fontId="19" fillId="0" borderId="34" xfId="2" applyFont="1" applyFill="1" applyBorder="1" applyAlignment="1">
      <alignment horizontal="center" vertical="center" wrapText="1"/>
    </xf>
    <xf numFmtId="38" fontId="19" fillId="0" borderId="33" xfId="2" applyFont="1" applyFill="1" applyBorder="1" applyAlignment="1">
      <alignment horizontal="center" vertical="center" wrapText="1"/>
    </xf>
    <xf numFmtId="38" fontId="19" fillId="0" borderId="35" xfId="2" applyFont="1" applyFill="1" applyBorder="1" applyAlignment="1">
      <alignment horizontal="center" vertical="center" wrapText="1"/>
    </xf>
    <xf numFmtId="38" fontId="19" fillId="0" borderId="32" xfId="2" applyFont="1" applyFill="1" applyBorder="1" applyAlignment="1">
      <alignment horizontal="center" vertical="center" wrapText="1"/>
    </xf>
    <xf numFmtId="37" fontId="19" fillId="0" borderId="34" xfId="2" applyNumberFormat="1" applyFont="1" applyFill="1" applyBorder="1" applyAlignment="1">
      <alignment horizontal="right"/>
    </xf>
    <xf numFmtId="37" fontId="19" fillId="0" borderId="35" xfId="2" applyNumberFormat="1" applyFont="1" applyFill="1" applyBorder="1" applyAlignment="1">
      <alignment horizontal="right"/>
    </xf>
    <xf numFmtId="37" fontId="19" fillId="0" borderId="34" xfId="2" applyNumberFormat="1" applyFont="1" applyFill="1" applyBorder="1" applyAlignment="1">
      <alignment horizontal="left"/>
    </xf>
    <xf numFmtId="38" fontId="19" fillId="0" borderId="34" xfId="2" applyFont="1" applyFill="1" applyBorder="1" applyAlignment="1">
      <alignment horizontal="left" vertical="center"/>
    </xf>
    <xf numFmtId="38" fontId="19" fillId="0" borderId="33" xfId="2" applyFont="1" applyFill="1" applyBorder="1" applyAlignment="1">
      <alignment horizontal="left" vertical="center" shrinkToFit="1"/>
    </xf>
    <xf numFmtId="38" fontId="19" fillId="0" borderId="33" xfId="2" applyFont="1" applyFill="1" applyBorder="1" applyAlignment="1">
      <alignment horizontal="left" vertical="center" wrapText="1" shrinkToFit="1"/>
    </xf>
    <xf numFmtId="38" fontId="19" fillId="0" borderId="34" xfId="2" applyFont="1" applyFill="1" applyBorder="1" applyAlignment="1">
      <alignment horizontal="center" vertical="center"/>
    </xf>
    <xf numFmtId="38" fontId="19" fillId="0" borderId="0" xfId="2" applyFont="1" applyFill="1" applyAlignment="1">
      <alignment horizontal="left"/>
    </xf>
    <xf numFmtId="38" fontId="21" fillId="0" borderId="33" xfId="2" applyFont="1" applyFill="1" applyBorder="1" applyAlignment="1">
      <alignment horizontal="center" vertical="center" wrapText="1"/>
    </xf>
    <xf numFmtId="38" fontId="90" fillId="0" borderId="33" xfId="2" applyFont="1" applyFill="1" applyBorder="1" applyAlignment="1">
      <alignment horizontal="center" vertical="center" wrapText="1"/>
    </xf>
    <xf numFmtId="37" fontId="19" fillId="0" borderId="32" xfId="2" applyNumberFormat="1" applyFont="1" applyFill="1" applyBorder="1" applyAlignment="1">
      <alignment horizontal="right"/>
    </xf>
    <xf numFmtId="0" fontId="19" fillId="0" borderId="32" xfId="5" applyFont="1" applyBorder="1" applyAlignment="1">
      <alignment vertical="center"/>
    </xf>
    <xf numFmtId="0" fontId="19" fillId="0" borderId="33" xfId="5" applyFont="1" applyBorder="1" applyAlignment="1">
      <alignment vertical="center"/>
    </xf>
    <xf numFmtId="0" fontId="19" fillId="0" borderId="34" xfId="5" applyFont="1" applyBorder="1" applyAlignment="1">
      <alignment vertical="center"/>
    </xf>
    <xf numFmtId="0" fontId="19" fillId="0" borderId="35" xfId="5" applyFont="1" applyBorder="1" applyAlignment="1">
      <alignment vertical="center"/>
    </xf>
    <xf numFmtId="0" fontId="19" fillId="0" borderId="32" xfId="5" applyFont="1" applyBorder="1" applyAlignment="1">
      <alignment horizontal="center" vertical="center" wrapText="1"/>
    </xf>
    <xf numFmtId="0" fontId="19" fillId="0" borderId="35" xfId="5" applyFont="1" applyBorder="1" applyAlignment="1">
      <alignment horizontal="center" vertical="center" wrapText="1"/>
    </xf>
    <xf numFmtId="37" fontId="19" fillId="0" borderId="34" xfId="5" applyNumberFormat="1" applyFont="1" applyBorder="1" applyAlignment="1">
      <alignment horizontal="right" vertical="center"/>
    </xf>
    <xf numFmtId="37" fontId="19" fillId="0" borderId="35" xfId="5" applyNumberFormat="1" applyFont="1" applyBorder="1" applyAlignment="1">
      <alignment horizontal="right" vertical="center"/>
    </xf>
    <xf numFmtId="37" fontId="19" fillId="0" borderId="34" xfId="5" applyNumberFormat="1" applyFont="1" applyBorder="1" applyAlignment="1">
      <alignment horizontal="left" vertical="center"/>
    </xf>
    <xf numFmtId="0" fontId="19" fillId="0" borderId="33" xfId="5" applyFont="1" applyBorder="1" applyAlignment="1">
      <alignment horizontal="left" vertical="center" shrinkToFit="1"/>
    </xf>
    <xf numFmtId="0" fontId="21" fillId="0" borderId="33" xfId="5" applyFont="1" applyBorder="1" applyAlignment="1">
      <alignment horizontal="center" vertical="center" wrapText="1"/>
    </xf>
    <xf numFmtId="0" fontId="88" fillId="0" borderId="33" xfId="5" applyFont="1" applyBorder="1" applyAlignment="1">
      <alignment horizontal="center" vertical="center" wrapText="1"/>
    </xf>
    <xf numFmtId="37" fontId="19" fillId="0" borderId="32" xfId="5" applyNumberFormat="1" applyFont="1" applyBorder="1" applyAlignment="1">
      <alignment horizontal="right" vertical="center"/>
    </xf>
    <xf numFmtId="0" fontId="39" fillId="0" borderId="35" xfId="5" applyFont="1" applyBorder="1" applyAlignment="1">
      <alignment horizontal="center" vertical="center"/>
    </xf>
    <xf numFmtId="0" fontId="39" fillId="0" borderId="32" xfId="5" applyFont="1" applyBorder="1" applyAlignment="1">
      <alignment horizontal="center" vertical="center"/>
    </xf>
    <xf numFmtId="0" fontId="39" fillId="0" borderId="33" xfId="5" applyFont="1" applyBorder="1" applyAlignment="1">
      <alignment horizontal="centerContinuous" vertical="center"/>
    </xf>
    <xf numFmtId="0" fontId="39" fillId="0" borderId="34" xfId="5" applyFont="1" applyBorder="1" applyAlignment="1">
      <alignment horizontal="center" vertical="center"/>
    </xf>
    <xf numFmtId="0" fontId="39" fillId="0" borderId="32" xfId="5" applyFont="1" applyBorder="1" applyAlignment="1">
      <alignment horizontal="left" vertical="center"/>
    </xf>
    <xf numFmtId="0" fontId="39" fillId="0" borderId="35" xfId="5" applyFont="1" applyBorder="1" applyAlignment="1">
      <alignment horizontal="centerContinuous" vertical="center"/>
    </xf>
    <xf numFmtId="0" fontId="39" fillId="0" borderId="32" xfId="5" applyFont="1" applyBorder="1" applyAlignment="1">
      <alignment horizontal="centerContinuous" vertical="center"/>
    </xf>
    <xf numFmtId="0" fontId="39" fillId="0" borderId="33" xfId="5" applyFont="1" applyBorder="1" applyAlignment="1">
      <alignment horizontal="center" vertical="center"/>
    </xf>
    <xf numFmtId="0" fontId="19" fillId="0" borderId="35" xfId="5" applyFont="1" applyBorder="1" applyAlignment="1">
      <alignment horizontal="left" vertical="center"/>
    </xf>
    <xf numFmtId="0" fontId="19" fillId="0" borderId="35" xfId="5" applyFont="1" applyBorder="1" applyAlignment="1">
      <alignment vertical="center" wrapText="1"/>
    </xf>
    <xf numFmtId="0" fontId="11" fillId="0" borderId="35" xfId="5" applyBorder="1" applyAlignment="1">
      <alignment vertical="center" wrapText="1"/>
    </xf>
    <xf numFmtId="0" fontId="38" fillId="0" borderId="35" xfId="5" applyFont="1" applyBorder="1" applyAlignment="1">
      <alignment vertical="center"/>
    </xf>
    <xf numFmtId="38" fontId="39" fillId="0" borderId="36" xfId="15" applyNumberFormat="1" applyFont="1" applyBorder="1" applyAlignment="1">
      <alignment vertical="center" wrapText="1"/>
    </xf>
    <xf numFmtId="38" fontId="39" fillId="0" borderId="37" xfId="15" applyNumberFormat="1" applyFont="1" applyBorder="1" applyAlignment="1">
      <alignment horizontal="center" vertical="center" wrapText="1"/>
    </xf>
    <xf numFmtId="38" fontId="39" fillId="0" borderId="38" xfId="15" applyNumberFormat="1" applyFont="1" applyBorder="1" applyAlignment="1">
      <alignment horizontal="center" vertical="center" wrapText="1"/>
    </xf>
    <xf numFmtId="0" fontId="19" fillId="0" borderId="37" xfId="5" applyFont="1" applyBorder="1" applyAlignment="1">
      <alignment vertical="center"/>
    </xf>
    <xf numFmtId="0" fontId="19" fillId="0" borderId="38" xfId="5" applyFont="1" applyBorder="1" applyAlignment="1">
      <alignment vertical="center"/>
    </xf>
    <xf numFmtId="38" fontId="39" fillId="0" borderId="39" xfId="15" applyNumberFormat="1" applyFont="1" applyBorder="1" applyAlignment="1">
      <alignment horizontal="center" vertical="center" wrapText="1"/>
    </xf>
    <xf numFmtId="38" fontId="39" fillId="0" borderId="40" xfId="15" applyNumberFormat="1" applyFont="1" applyBorder="1" applyAlignment="1">
      <alignment horizontal="center" vertical="center" wrapText="1"/>
    </xf>
    <xf numFmtId="38" fontId="39" fillId="0" borderId="41" xfId="15" applyNumberFormat="1" applyFont="1" applyBorder="1" applyAlignment="1">
      <alignment horizontal="center" vertical="center" wrapText="1"/>
    </xf>
    <xf numFmtId="38" fontId="19" fillId="0" borderId="42" xfId="15" applyNumberFormat="1" applyFont="1" applyBorder="1" applyAlignment="1">
      <alignment horizontal="center" vertical="center" wrapText="1"/>
    </xf>
    <xf numFmtId="38" fontId="19" fillId="0" borderId="43" xfId="15" applyNumberFormat="1" applyFont="1" applyBorder="1" applyAlignment="1">
      <alignment horizontal="center" vertical="center" wrapText="1"/>
    </xf>
    <xf numFmtId="38" fontId="39" fillId="0" borderId="36" xfId="2" applyFont="1" applyFill="1" applyBorder="1" applyAlignment="1" applyProtection="1">
      <alignment horizontal="right" vertical="center" wrapText="1"/>
    </xf>
    <xf numFmtId="38" fontId="39" fillId="0" borderId="35" xfId="2" applyFont="1" applyFill="1" applyBorder="1" applyAlignment="1" applyProtection="1">
      <alignment horizontal="right" vertical="center" wrapText="1"/>
    </xf>
    <xf numFmtId="38" fontId="39" fillId="0" borderId="32" xfId="2" applyFont="1" applyFill="1" applyBorder="1" applyAlignment="1" applyProtection="1">
      <alignment horizontal="right" vertical="center" wrapText="1"/>
    </xf>
    <xf numFmtId="38" fontId="39" fillId="0" borderId="45" xfId="15" applyNumberFormat="1" applyFont="1" applyBorder="1" applyAlignment="1">
      <alignment vertical="center" wrapText="1"/>
    </xf>
    <xf numFmtId="38" fontId="19" fillId="0" borderId="46" xfId="2" applyFont="1" applyFill="1" applyBorder="1" applyAlignment="1" applyProtection="1">
      <alignment vertical="center" wrapText="1"/>
    </xf>
    <xf numFmtId="38" fontId="19" fillId="0" borderId="45" xfId="2" applyFont="1" applyFill="1" applyBorder="1" applyAlignment="1" applyProtection="1">
      <alignment vertical="center" wrapText="1"/>
    </xf>
    <xf numFmtId="38" fontId="19" fillId="0" borderId="47" xfId="2" applyFont="1" applyFill="1" applyBorder="1" applyAlignment="1" applyProtection="1">
      <alignment vertical="center" wrapText="1"/>
    </xf>
    <xf numFmtId="0" fontId="16" fillId="0" borderId="45" xfId="5" applyFont="1" applyBorder="1" applyAlignment="1">
      <alignment vertical="center"/>
    </xf>
    <xf numFmtId="22" fontId="50" fillId="0" borderId="45" xfId="5" applyNumberFormat="1" applyFont="1" applyBorder="1" applyAlignment="1">
      <alignment vertical="center"/>
    </xf>
    <xf numFmtId="0" fontId="39" fillId="0" borderId="45" xfId="5" applyFont="1" applyBorder="1" applyAlignment="1">
      <alignment vertical="center"/>
    </xf>
    <xf numFmtId="0" fontId="39" fillId="0" borderId="45" xfId="5" applyFont="1" applyBorder="1" applyAlignment="1">
      <alignment horizontal="right" vertical="center"/>
    </xf>
    <xf numFmtId="38" fontId="19" fillId="0" borderId="36" xfId="2" applyFont="1" applyFill="1" applyBorder="1" applyAlignment="1" applyProtection="1">
      <alignment horizontal="right" vertical="center" wrapText="1"/>
    </xf>
    <xf numFmtId="38" fontId="19" fillId="0" borderId="35" xfId="2" applyFont="1" applyFill="1" applyBorder="1" applyAlignment="1" applyProtection="1">
      <alignment horizontal="right" vertical="center" wrapText="1"/>
    </xf>
    <xf numFmtId="38" fontId="19" fillId="0" borderId="32" xfId="2" applyFont="1" applyFill="1" applyBorder="1" applyAlignment="1" applyProtection="1">
      <alignment horizontal="right" vertical="center" wrapText="1"/>
    </xf>
    <xf numFmtId="38" fontId="16" fillId="0" borderId="45" xfId="15" applyNumberFormat="1" applyFont="1" applyBorder="1" applyAlignment="1">
      <alignment wrapText="1"/>
    </xf>
    <xf numFmtId="38" fontId="16" fillId="0" borderId="45" xfId="15" applyNumberFormat="1" applyFont="1" applyBorder="1" applyAlignment="1">
      <alignment horizontal="center" wrapText="1"/>
    </xf>
    <xf numFmtId="0" fontId="16" fillId="0" borderId="45" xfId="5" applyFont="1" applyBorder="1"/>
    <xf numFmtId="0" fontId="11" fillId="0" borderId="45" xfId="5" applyBorder="1"/>
    <xf numFmtId="0" fontId="10" fillId="0" borderId="45" xfId="5" applyFont="1" applyBorder="1" applyAlignment="1">
      <alignment vertical="center"/>
    </xf>
    <xf numFmtId="0" fontId="53" fillId="0" borderId="45" xfId="5" applyFont="1" applyBorder="1"/>
    <xf numFmtId="38" fontId="19" fillId="0" borderId="38" xfId="15" applyNumberFormat="1" applyFont="1" applyBorder="1" applyAlignment="1">
      <alignment horizontal="center" vertical="center" wrapText="1"/>
    </xf>
    <xf numFmtId="38" fontId="19" fillId="0" borderId="48" xfId="15" applyNumberFormat="1" applyFont="1" applyBorder="1" applyAlignment="1">
      <alignment horizontal="right" vertical="center" wrapText="1"/>
    </xf>
    <xf numFmtId="38" fontId="19" fillId="0" borderId="49" xfId="15" applyNumberFormat="1" applyFont="1" applyBorder="1" applyAlignment="1">
      <alignment horizontal="right" vertical="center" wrapText="1"/>
    </xf>
    <xf numFmtId="38" fontId="19" fillId="0" borderId="32" xfId="15" applyNumberFormat="1" applyFont="1" applyBorder="1" applyAlignment="1">
      <alignment horizontal="right" vertical="center" wrapText="1"/>
    </xf>
    <xf numFmtId="38" fontId="19" fillId="0" borderId="47" xfId="15" applyNumberFormat="1" applyFont="1" applyBorder="1" applyAlignment="1">
      <alignment horizontal="left" wrapText="1"/>
    </xf>
    <xf numFmtId="38" fontId="19" fillId="0" borderId="45" xfId="15" applyNumberFormat="1" applyFont="1" applyBorder="1" applyAlignment="1">
      <alignment wrapText="1"/>
    </xf>
    <xf numFmtId="38" fontId="19" fillId="0" borderId="47" xfId="15" applyNumberFormat="1" applyFont="1" applyBorder="1" applyAlignment="1">
      <alignment wrapText="1"/>
    </xf>
    <xf numFmtId="38" fontId="58" fillId="0" borderId="45" xfId="15" applyNumberFormat="1" applyFont="1" applyBorder="1" applyAlignment="1">
      <alignment horizontal="center" wrapText="1"/>
    </xf>
    <xf numFmtId="176" fontId="19" fillId="0" borderId="46" xfId="5" applyNumberFormat="1" applyFont="1" applyBorder="1" applyAlignment="1">
      <alignment horizontal="left" vertical="center"/>
    </xf>
    <xf numFmtId="38" fontId="19" fillId="0" borderId="47" xfId="2" applyFont="1" applyFill="1" applyBorder="1" applyAlignment="1">
      <alignment vertical="center"/>
    </xf>
    <xf numFmtId="38" fontId="19" fillId="0" borderId="45" xfId="2" applyFont="1" applyFill="1" applyBorder="1" applyAlignment="1">
      <alignment vertical="center"/>
    </xf>
    <xf numFmtId="38" fontId="19" fillId="0" borderId="45" xfId="2" applyFont="1" applyFill="1" applyBorder="1" applyAlignment="1">
      <alignment horizontal="right" vertical="center"/>
    </xf>
    <xf numFmtId="38" fontId="19" fillId="0" borderId="46" xfId="2" applyFont="1" applyFill="1" applyBorder="1" applyAlignment="1">
      <alignment horizontal="right" vertical="center"/>
    </xf>
    <xf numFmtId="49" fontId="19" fillId="0" borderId="47" xfId="5" applyNumberFormat="1" applyFont="1" applyBorder="1" applyAlignment="1">
      <alignment horizontal="right" vertical="center"/>
    </xf>
    <xf numFmtId="49" fontId="19" fillId="0" borderId="45" xfId="5" applyNumberFormat="1" applyFont="1" applyBorder="1" applyAlignment="1">
      <alignment horizontal="left" vertical="center"/>
    </xf>
    <xf numFmtId="49" fontId="19" fillId="0" borderId="45" xfId="5" applyNumberFormat="1" applyFont="1" applyBorder="1" applyAlignment="1">
      <alignment horizontal="right" vertical="center"/>
    </xf>
    <xf numFmtId="203" fontId="19" fillId="0" borderId="3" xfId="2" applyNumberFormat="1" applyFont="1" applyFill="1" applyBorder="1" applyAlignment="1">
      <alignment vertical="center"/>
    </xf>
    <xf numFmtId="203" fontId="19" fillId="0" borderId="0" xfId="2" applyNumberFormat="1" applyFont="1" applyFill="1" applyBorder="1" applyAlignment="1">
      <alignment vertical="center"/>
    </xf>
    <xf numFmtId="184" fontId="19" fillId="0" borderId="34" xfId="5" applyNumberFormat="1" applyFont="1" applyBorder="1" applyAlignment="1">
      <alignment horizontal="left" vertical="center"/>
    </xf>
    <xf numFmtId="38" fontId="19" fillId="0" borderId="32" xfId="2" applyFont="1" applyFill="1" applyBorder="1" applyAlignment="1">
      <alignment vertical="center"/>
    </xf>
    <xf numFmtId="0" fontId="19" fillId="0" borderId="32" xfId="5" applyFont="1" applyBorder="1" applyAlignment="1">
      <alignment horizontal="right" vertical="center"/>
    </xf>
    <xf numFmtId="0" fontId="19" fillId="0" borderId="35" xfId="5" applyFont="1" applyBorder="1" applyAlignment="1">
      <alignment horizontal="right" vertical="center"/>
    </xf>
    <xf numFmtId="0" fontId="39" fillId="0" borderId="47" xfId="5" applyFont="1" applyBorder="1" applyAlignment="1">
      <alignment horizontal="center" vertical="center"/>
    </xf>
    <xf numFmtId="0" fontId="39" fillId="0" borderId="45" xfId="5" applyFont="1" applyBorder="1" applyAlignment="1">
      <alignment horizontal="center" vertical="center"/>
    </xf>
    <xf numFmtId="0" fontId="10" fillId="0" borderId="45" xfId="5" applyFont="1" applyBorder="1"/>
    <xf numFmtId="37" fontId="62" fillId="0" borderId="45" xfId="15" applyFont="1" applyBorder="1" applyAlignment="1">
      <alignment vertical="center"/>
    </xf>
    <xf numFmtId="38" fontId="39" fillId="0" borderId="45" xfId="15" applyNumberFormat="1" applyFont="1" applyBorder="1" applyAlignment="1">
      <alignment vertical="center"/>
    </xf>
    <xf numFmtId="38" fontId="62" fillId="0" borderId="45" xfId="15" applyNumberFormat="1" applyFont="1" applyBorder="1"/>
    <xf numFmtId="0" fontId="86" fillId="0" borderId="45" xfId="5" applyFont="1" applyBorder="1"/>
    <xf numFmtId="0" fontId="52" fillId="0" borderId="45" xfId="5" applyFont="1" applyBorder="1" applyAlignment="1">
      <alignment vertical="center"/>
    </xf>
    <xf numFmtId="0" fontId="10" fillId="0" borderId="45" xfId="5" applyFont="1" applyBorder="1" applyAlignment="1">
      <alignment horizontal="center" vertical="center"/>
    </xf>
    <xf numFmtId="0" fontId="43" fillId="0" borderId="45" xfId="5" applyFont="1" applyBorder="1" applyAlignment="1">
      <alignment horizontal="left" vertical="center"/>
    </xf>
    <xf numFmtId="0" fontId="16" fillId="0" borderId="45" xfId="12" applyFont="1" applyBorder="1" applyAlignment="1">
      <alignment vertical="center"/>
    </xf>
    <xf numFmtId="0" fontId="16" fillId="0" borderId="45" xfId="5" applyFont="1" applyBorder="1" applyAlignment="1">
      <alignment horizontal="center" vertical="center"/>
    </xf>
    <xf numFmtId="0" fontId="11" fillId="0" borderId="45" xfId="5" applyBorder="1" applyAlignment="1">
      <alignment vertical="center"/>
    </xf>
    <xf numFmtId="0" fontId="66" fillId="0" borderId="45" xfId="5" applyFont="1" applyBorder="1" applyAlignment="1">
      <alignment vertical="center"/>
    </xf>
    <xf numFmtId="0" fontId="19" fillId="0" borderId="45" xfId="5" applyFont="1" applyBorder="1" applyAlignment="1">
      <alignment horizontal="left" vertical="center"/>
    </xf>
    <xf numFmtId="38" fontId="19" fillId="0" borderId="34" xfId="15" applyNumberFormat="1" applyFont="1" applyBorder="1" applyAlignment="1">
      <alignment vertical="center" wrapText="1"/>
    </xf>
    <xf numFmtId="38" fontId="19" fillId="0" borderId="37" xfId="15" applyNumberFormat="1" applyFont="1" applyBorder="1" applyAlignment="1">
      <alignment horizontal="center" vertical="center" wrapText="1"/>
    </xf>
    <xf numFmtId="38" fontId="19" fillId="0" borderId="39" xfId="15" applyNumberFormat="1" applyFont="1" applyBorder="1" applyAlignment="1">
      <alignment horizontal="center" vertical="center" wrapText="1"/>
    </xf>
    <xf numFmtId="0" fontId="19" fillId="0" borderId="45" xfId="5" applyFont="1" applyBorder="1" applyAlignment="1">
      <alignment horizontal="center" vertical="center"/>
    </xf>
    <xf numFmtId="0" fontId="19" fillId="0" borderId="47" xfId="5" applyFont="1" applyBorder="1" applyAlignment="1">
      <alignment horizontal="center" vertical="center"/>
    </xf>
    <xf numFmtId="38" fontId="19" fillId="0" borderId="41" xfId="15" applyNumberFormat="1" applyFont="1" applyBorder="1" applyAlignment="1">
      <alignment horizontal="center" vertical="center" wrapText="1"/>
    </xf>
    <xf numFmtId="38" fontId="19" fillId="0" borderId="27" xfId="15" applyNumberFormat="1" applyFont="1" applyBorder="1" applyAlignment="1">
      <alignment horizontal="center" vertical="center" wrapText="1"/>
    </xf>
    <xf numFmtId="49" fontId="19" fillId="0" borderId="35" xfId="5" applyNumberFormat="1" applyFont="1" applyBorder="1" applyAlignment="1">
      <alignment horizontal="center"/>
    </xf>
    <xf numFmtId="0" fontId="19" fillId="0" borderId="35" xfId="5" applyFont="1" applyBorder="1" applyAlignment="1">
      <alignment horizontal="center"/>
    </xf>
    <xf numFmtId="0" fontId="19" fillId="0" borderId="32" xfId="5" applyFont="1" applyBorder="1" applyAlignment="1">
      <alignment horizontal="center"/>
    </xf>
    <xf numFmtId="3" fontId="19" fillId="0" borderId="32" xfId="2" applyNumberFormat="1" applyFont="1" applyFill="1" applyBorder="1" applyAlignment="1"/>
    <xf numFmtId="0" fontId="61" fillId="0" borderId="34" xfId="5" applyFont="1" applyBorder="1" applyAlignment="1">
      <alignment horizontal="center" wrapText="1"/>
    </xf>
    <xf numFmtId="49" fontId="19" fillId="0" borderId="45" xfId="5" applyNumberFormat="1" applyFont="1" applyBorder="1" applyAlignment="1">
      <alignment horizontal="right" vertical="top"/>
    </xf>
    <xf numFmtId="49" fontId="19" fillId="0" borderId="45" xfId="5" applyNumberFormat="1" applyFont="1" applyBorder="1" applyAlignment="1">
      <alignment horizontal="left" vertical="top"/>
    </xf>
    <xf numFmtId="49" fontId="19" fillId="0" borderId="47" xfId="5" applyNumberFormat="1" applyFont="1" applyBorder="1" applyAlignment="1">
      <alignment horizontal="right" vertical="top"/>
    </xf>
    <xf numFmtId="3" fontId="19" fillId="0" borderId="46" xfId="2" applyNumberFormat="1" applyFont="1" applyFill="1" applyBorder="1" applyAlignment="1">
      <alignment horizontal="right" vertical="top"/>
    </xf>
    <xf numFmtId="3" fontId="19" fillId="0" borderId="45" xfId="2" applyNumberFormat="1" applyFont="1" applyFill="1" applyBorder="1" applyAlignment="1">
      <alignment horizontal="right" vertical="top"/>
    </xf>
    <xf numFmtId="3" fontId="19" fillId="0" borderId="45" xfId="5" applyNumberFormat="1" applyFont="1" applyBorder="1" applyAlignment="1">
      <alignment horizontal="right" vertical="top" wrapText="1"/>
    </xf>
    <xf numFmtId="3" fontId="19" fillId="0" borderId="45" xfId="5" applyNumberFormat="1" applyFont="1" applyBorder="1" applyAlignment="1">
      <alignment horizontal="right" vertical="top"/>
    </xf>
    <xf numFmtId="3" fontId="19" fillId="0" borderId="45" xfId="2" applyNumberFormat="1" applyFont="1" applyFill="1" applyBorder="1" applyAlignment="1">
      <alignment vertical="top"/>
    </xf>
    <xf numFmtId="3" fontId="19" fillId="0" borderId="47" xfId="2" applyNumberFormat="1" applyFont="1" applyFill="1" applyBorder="1" applyAlignment="1">
      <alignment vertical="top"/>
    </xf>
    <xf numFmtId="176" fontId="19" fillId="0" borderId="46" xfId="5" applyNumberFormat="1" applyFont="1" applyBorder="1" applyAlignment="1">
      <alignment horizontal="left" vertical="top"/>
    </xf>
    <xf numFmtId="0" fontId="19" fillId="0" borderId="32" xfId="16" applyFont="1" applyBorder="1" applyAlignment="1">
      <alignment horizontal="center" vertical="center" wrapText="1"/>
    </xf>
    <xf numFmtId="0" fontId="19" fillId="0" borderId="34" xfId="16" applyFont="1" applyBorder="1" applyAlignment="1">
      <alignment horizontal="center" vertical="center" wrapText="1"/>
    </xf>
    <xf numFmtId="0" fontId="19" fillId="0" borderId="35" xfId="16" applyFont="1" applyBorder="1" applyAlignment="1">
      <alignment horizontal="center" vertical="center" wrapText="1"/>
    </xf>
    <xf numFmtId="0" fontId="19" fillId="0" borderId="46" xfId="16" applyFont="1" applyBorder="1" applyAlignment="1">
      <alignment horizontal="center" vertical="center" wrapText="1"/>
    </xf>
    <xf numFmtId="37" fontId="19" fillId="0" borderId="34" xfId="16" applyNumberFormat="1" applyFont="1" applyBorder="1" applyAlignment="1">
      <alignment horizontal="right" vertical="center"/>
    </xf>
    <xf numFmtId="37" fontId="19" fillId="0" borderId="35" xfId="16" applyNumberFormat="1" applyFont="1" applyBorder="1" applyAlignment="1">
      <alignment horizontal="right" vertical="center"/>
    </xf>
    <xf numFmtId="37" fontId="19" fillId="0" borderId="34" xfId="16" applyNumberFormat="1" applyFont="1" applyBorder="1" applyAlignment="1">
      <alignment horizontal="left" vertical="center"/>
    </xf>
    <xf numFmtId="49" fontId="20" fillId="0" borderId="47" xfId="5" applyNumberFormat="1" applyFont="1" applyBorder="1" applyAlignment="1">
      <alignment horizontal="left"/>
    </xf>
    <xf numFmtId="37" fontId="19" fillId="0" borderId="46" xfId="16" applyNumberFormat="1" applyFont="1" applyBorder="1" applyAlignment="1">
      <alignment horizontal="right" vertical="center"/>
    </xf>
    <xf numFmtId="37" fontId="19" fillId="0" borderId="45" xfId="16" applyNumberFormat="1" applyFont="1" applyBorder="1" applyAlignment="1">
      <alignment horizontal="right" vertical="center"/>
    </xf>
    <xf numFmtId="37" fontId="19" fillId="0" borderId="46" xfId="16" applyNumberFormat="1" applyFont="1" applyBorder="1" applyAlignment="1">
      <alignment horizontal="left" vertical="center"/>
    </xf>
    <xf numFmtId="0" fontId="19" fillId="0" borderId="34" xfId="16" applyFont="1" applyBorder="1" applyAlignment="1">
      <alignment horizontal="left" vertical="center"/>
    </xf>
    <xf numFmtId="0" fontId="88" fillId="0" borderId="34" xfId="16" applyFont="1" applyBorder="1" applyAlignment="1">
      <alignment horizontal="center" vertical="center" wrapText="1"/>
    </xf>
    <xf numFmtId="0" fontId="21" fillId="0" borderId="34" xfId="16" applyFont="1" applyBorder="1" applyAlignment="1">
      <alignment horizontal="center" vertical="center" wrapText="1"/>
    </xf>
    <xf numFmtId="0" fontId="19" fillId="0" borderId="33" xfId="16" applyFont="1" applyBorder="1" applyAlignment="1">
      <alignment horizontal="left" vertical="center" wrapText="1" shrinkToFit="1"/>
    </xf>
    <xf numFmtId="37" fontId="19" fillId="0" borderId="32" xfId="16" applyNumberFormat="1" applyFont="1" applyBorder="1" applyAlignment="1">
      <alignment horizontal="right" vertical="center"/>
    </xf>
    <xf numFmtId="37" fontId="19" fillId="0" borderId="47" xfId="16" applyNumberFormat="1" applyFont="1" applyBorder="1" applyAlignment="1">
      <alignment horizontal="right" vertical="center"/>
    </xf>
    <xf numFmtId="0" fontId="39" fillId="0" borderId="45" xfId="5" applyFont="1" applyBorder="1" applyAlignment="1">
      <alignment horizontal="left" vertical="center"/>
    </xf>
    <xf numFmtId="38" fontId="39" fillId="0" borderId="34" xfId="15" applyNumberFormat="1" applyFont="1" applyBorder="1" applyAlignment="1">
      <alignment vertical="center" wrapText="1"/>
    </xf>
    <xf numFmtId="49" fontId="19" fillId="0" borderId="35" xfId="5" applyNumberFormat="1" applyFont="1" applyBorder="1" applyAlignment="1">
      <alignment horizontal="left" vertical="center"/>
    </xf>
    <xf numFmtId="3" fontId="19" fillId="0" borderId="32" xfId="2" applyNumberFormat="1" applyFont="1" applyFill="1" applyBorder="1" applyAlignment="1">
      <alignment horizontal="right" vertical="center"/>
    </xf>
    <xf numFmtId="3" fontId="19" fillId="0" borderId="46" xfId="2" applyNumberFormat="1" applyFont="1" applyFill="1" applyBorder="1" applyAlignment="1">
      <alignment horizontal="right" vertical="center"/>
    </xf>
    <xf numFmtId="3" fontId="19" fillId="0" borderId="45" xfId="2" applyNumberFormat="1" applyFont="1" applyFill="1" applyBorder="1" applyAlignment="1">
      <alignment horizontal="right" vertical="center"/>
    </xf>
    <xf numFmtId="3" fontId="19" fillId="0" borderId="47" xfId="2" applyNumberFormat="1" applyFont="1" applyFill="1" applyBorder="1" applyAlignment="1">
      <alignment horizontal="right" vertical="center"/>
    </xf>
    <xf numFmtId="0" fontId="19" fillId="0" borderId="34" xfId="16" applyFont="1" applyBorder="1" applyAlignment="1">
      <alignment horizontal="left" vertical="center" wrapText="1"/>
    </xf>
    <xf numFmtId="0" fontId="71" fillId="0" borderId="45" xfId="5" applyFont="1" applyBorder="1" applyAlignment="1">
      <alignment horizontal="center"/>
    </xf>
    <xf numFmtId="0" fontId="72" fillId="0" borderId="45" xfId="5" quotePrefix="1" applyFont="1" applyBorder="1" applyAlignment="1">
      <alignment horizontal="left"/>
    </xf>
    <xf numFmtId="0" fontId="71" fillId="0" borderId="45" xfId="5" applyFont="1" applyBorder="1" applyAlignment="1">
      <alignment horizontal="right"/>
    </xf>
    <xf numFmtId="0" fontId="71" fillId="0" borderId="45" xfId="5" applyFont="1" applyBorder="1" applyAlignment="1">
      <alignment horizontal="center" vertical="top"/>
    </xf>
    <xf numFmtId="0" fontId="52" fillId="0" borderId="45" xfId="5" quotePrefix="1" applyFont="1" applyBorder="1" applyAlignment="1">
      <alignment horizontal="left" vertical="center"/>
    </xf>
    <xf numFmtId="38" fontId="19" fillId="0" borderId="48" xfId="15" applyNumberFormat="1" applyFont="1" applyBorder="1" applyAlignment="1">
      <alignment vertical="center" wrapText="1"/>
    </xf>
    <xf numFmtId="0" fontId="39" fillId="0" borderId="47" xfId="5" applyFont="1" applyBorder="1" applyAlignment="1">
      <alignment horizontal="centerContinuous" vertical="center" wrapText="1"/>
    </xf>
    <xf numFmtId="0" fontId="19" fillId="0" borderId="50" xfId="5" applyFont="1" applyBorder="1" applyAlignment="1">
      <alignment horizontal="right" vertical="center"/>
    </xf>
    <xf numFmtId="0" fontId="19" fillId="0" borderId="45" xfId="5" applyFont="1" applyBorder="1" applyAlignment="1">
      <alignment horizontal="distributed" vertical="center" wrapText="1"/>
    </xf>
    <xf numFmtId="0" fontId="19" fillId="0" borderId="47" xfId="5" applyFont="1" applyBorder="1" applyAlignment="1">
      <alignment horizontal="distributed" vertical="center"/>
    </xf>
    <xf numFmtId="3" fontId="19" fillId="0" borderId="45" xfId="5" applyNumberFormat="1" applyFont="1" applyBorder="1" applyAlignment="1">
      <alignment horizontal="right" vertical="center"/>
    </xf>
    <xf numFmtId="3" fontId="19" fillId="0" borderId="45" xfId="5" applyNumberFormat="1" applyFont="1" applyBorder="1"/>
    <xf numFmtId="0" fontId="19" fillId="0" borderId="46" xfId="5" applyFont="1" applyBorder="1" applyAlignment="1">
      <alignment horizontal="left" vertical="center"/>
    </xf>
    <xf numFmtId="0" fontId="10" fillId="0" borderId="45" xfId="5" applyFont="1" applyBorder="1" applyAlignment="1">
      <alignment horizontal="center"/>
    </xf>
    <xf numFmtId="0" fontId="43" fillId="0" borderId="45" xfId="5" applyFont="1" applyBorder="1" applyAlignment="1">
      <alignment horizontal="left"/>
    </xf>
    <xf numFmtId="0" fontId="84" fillId="0" borderId="45" xfId="5" applyFont="1" applyBorder="1"/>
    <xf numFmtId="38" fontId="43" fillId="0" borderId="45" xfId="15" applyNumberFormat="1" applyFont="1" applyBorder="1"/>
    <xf numFmtId="49" fontId="87" fillId="0" borderId="35" xfId="5" applyNumberFormat="1" applyFont="1" applyBorder="1" applyAlignment="1">
      <alignment horizontal="left" vertical="center"/>
    </xf>
    <xf numFmtId="0" fontId="87" fillId="0" borderId="35" xfId="5" applyFont="1" applyBorder="1" applyAlignment="1">
      <alignment horizontal="right" vertical="center"/>
    </xf>
    <xf numFmtId="0" fontId="87" fillId="0" borderId="32" xfId="5" applyFont="1" applyBorder="1" applyAlignment="1">
      <alignment horizontal="right" vertical="center"/>
    </xf>
    <xf numFmtId="3" fontId="87" fillId="0" borderId="32" xfId="2" applyNumberFormat="1" applyFont="1" applyFill="1" applyBorder="1" applyAlignment="1">
      <alignment horizontal="right" vertical="center"/>
    </xf>
    <xf numFmtId="203" fontId="87" fillId="0" borderId="0" xfId="2" applyNumberFormat="1" applyFont="1" applyFill="1" applyBorder="1" applyAlignment="1">
      <alignment horizontal="right" vertical="center"/>
    </xf>
    <xf numFmtId="49" fontId="87" fillId="0" borderId="45" xfId="5" applyNumberFormat="1" applyFont="1" applyBorder="1" applyAlignment="1">
      <alignment horizontal="right" vertical="center"/>
    </xf>
    <xf numFmtId="49" fontId="87" fillId="0" borderId="45" xfId="5" applyNumberFormat="1" applyFont="1" applyBorder="1" applyAlignment="1">
      <alignment horizontal="left" vertical="center"/>
    </xf>
    <xf numFmtId="49" fontId="87" fillId="0" borderId="47" xfId="5" applyNumberFormat="1" applyFont="1" applyBorder="1" applyAlignment="1">
      <alignment horizontal="right" vertical="center"/>
    </xf>
    <xf numFmtId="3" fontId="87" fillId="0" borderId="46" xfId="2" applyNumberFormat="1" applyFont="1" applyFill="1" applyBorder="1" applyAlignment="1">
      <alignment horizontal="right" vertical="center"/>
    </xf>
    <xf numFmtId="3" fontId="87" fillId="0" borderId="45" xfId="2" applyNumberFormat="1" applyFont="1" applyFill="1" applyBorder="1" applyAlignment="1">
      <alignment horizontal="right" vertical="center"/>
    </xf>
    <xf numFmtId="3" fontId="87" fillId="0" borderId="45" xfId="2" applyNumberFormat="1" applyFont="1" applyFill="1" applyBorder="1" applyAlignment="1">
      <alignment vertical="center"/>
    </xf>
    <xf numFmtId="3" fontId="87" fillId="0" borderId="47" xfId="2" applyNumberFormat="1" applyFont="1" applyFill="1" applyBorder="1" applyAlignment="1">
      <alignment vertical="center"/>
    </xf>
    <xf numFmtId="176" fontId="87" fillId="0" borderId="46" xfId="5" applyNumberFormat="1" applyFont="1" applyBorder="1" applyAlignment="1">
      <alignment horizontal="left" vertical="center"/>
    </xf>
    <xf numFmtId="188" fontId="60" fillId="0" borderId="45" xfId="5" applyNumberFormat="1" applyFont="1" applyBorder="1" applyAlignment="1">
      <alignment horizontal="left"/>
    </xf>
    <xf numFmtId="0" fontId="19" fillId="0" borderId="35" xfId="5" applyFont="1" applyBorder="1" applyAlignment="1">
      <alignment horizontal="center" vertical="center"/>
    </xf>
    <xf numFmtId="191" fontId="19" fillId="0" borderId="33" xfId="5" quotePrefix="1" applyNumberFormat="1" applyFont="1" applyBorder="1" applyAlignment="1">
      <alignment horizontal="center"/>
    </xf>
    <xf numFmtId="190" fontId="19" fillId="0" borderId="33" xfId="5" quotePrefix="1" applyNumberFormat="1" applyFont="1" applyBorder="1" applyAlignment="1">
      <alignment horizontal="center"/>
    </xf>
    <xf numFmtId="204" fontId="19" fillId="0" borderId="33" xfId="5" quotePrefix="1" applyNumberFormat="1" applyFont="1" applyBorder="1" applyAlignment="1">
      <alignment horizontal="center"/>
    </xf>
    <xf numFmtId="0" fontId="19" fillId="0" borderId="46" xfId="5" applyFont="1" applyBorder="1"/>
    <xf numFmtId="0" fontId="19" fillId="0" borderId="45" xfId="5" applyFont="1" applyBorder="1"/>
    <xf numFmtId="188" fontId="50" fillId="0" borderId="32" xfId="5" applyNumberFormat="1" applyFont="1" applyBorder="1"/>
    <xf numFmtId="38" fontId="50" fillId="0" borderId="33" xfId="5" applyNumberFormat="1" applyFont="1" applyBorder="1" applyAlignment="1">
      <alignment horizontal="right"/>
    </xf>
    <xf numFmtId="38" fontId="50" fillId="0" borderId="34" xfId="5" applyNumberFormat="1" applyFont="1" applyBorder="1"/>
    <xf numFmtId="38" fontId="50" fillId="0" borderId="33" xfId="5" applyNumberFormat="1" applyFont="1" applyBorder="1"/>
    <xf numFmtId="0" fontId="50" fillId="0" borderId="34" xfId="5" applyFont="1" applyBorder="1" applyAlignment="1">
      <alignment horizontal="left" wrapText="1"/>
    </xf>
    <xf numFmtId="188" fontId="19" fillId="0" borderId="46" xfId="5" applyNumberFormat="1" applyFont="1" applyBorder="1" applyAlignment="1">
      <alignment horizontal="center"/>
    </xf>
    <xf numFmtId="188" fontId="19" fillId="0" borderId="47" xfId="5" applyNumberFormat="1" applyFont="1" applyBorder="1" applyAlignment="1">
      <alignment horizontal="center"/>
    </xf>
    <xf numFmtId="188" fontId="19" fillId="0" borderId="45" xfId="5" applyNumberFormat="1" applyFont="1" applyBorder="1"/>
    <xf numFmtId="188" fontId="50" fillId="0" borderId="1" xfId="5" applyNumberFormat="1" applyFont="1" applyBorder="1" applyAlignment="1">
      <alignment horizontal="left"/>
    </xf>
    <xf numFmtId="188" fontId="19" fillId="0" borderId="47" xfId="5" applyNumberFormat="1" applyFont="1" applyBorder="1"/>
    <xf numFmtId="188" fontId="19" fillId="0" borderId="46" xfId="5" applyNumberFormat="1" applyFont="1" applyBorder="1"/>
    <xf numFmtId="38" fontId="19" fillId="0" borderId="46" xfId="5" applyNumberFormat="1" applyFont="1" applyBorder="1"/>
    <xf numFmtId="188" fontId="19" fillId="0" borderId="46" xfId="5" applyNumberFormat="1" applyFont="1" applyBorder="1" applyAlignment="1">
      <alignment horizontal="left"/>
    </xf>
    <xf numFmtId="0" fontId="50" fillId="0" borderId="1" xfId="5" applyFont="1" applyBorder="1" applyAlignment="1">
      <alignment horizontal="left" wrapText="1"/>
    </xf>
    <xf numFmtId="0" fontId="19" fillId="0" borderId="47" xfId="5" applyFont="1" applyBorder="1"/>
    <xf numFmtId="0" fontId="20" fillId="0" borderId="45" xfId="5" applyFont="1" applyBorder="1"/>
    <xf numFmtId="0" fontId="20" fillId="0" borderId="4" xfId="5" applyFont="1" applyBorder="1"/>
    <xf numFmtId="0" fontId="20" fillId="0" borderId="46" xfId="5" applyFont="1" applyBorder="1"/>
    <xf numFmtId="0" fontId="20" fillId="0" borderId="47" xfId="5" applyFont="1" applyBorder="1"/>
    <xf numFmtId="38" fontId="20" fillId="0" borderId="4" xfId="5" applyNumberFormat="1" applyFont="1" applyBorder="1"/>
    <xf numFmtId="38" fontId="20" fillId="0" borderId="46" xfId="5" applyNumberFormat="1" applyFont="1" applyBorder="1"/>
    <xf numFmtId="38" fontId="20" fillId="0" borderId="47" xfId="5" applyNumberFormat="1" applyFont="1" applyBorder="1"/>
    <xf numFmtId="38" fontId="20" fillId="0" borderId="45" xfId="5" applyNumberFormat="1" applyFont="1" applyBorder="1" applyAlignment="1">
      <alignment horizontal="left"/>
    </xf>
    <xf numFmtId="0" fontId="1" fillId="0" borderId="0" xfId="28">
      <alignment vertical="center"/>
    </xf>
    <xf numFmtId="0" fontId="19" fillId="0" borderId="34" xfId="5" quotePrefix="1" applyFont="1" applyBorder="1" applyAlignment="1">
      <alignment horizontal="center" vertical="center" wrapText="1"/>
    </xf>
    <xf numFmtId="0" fontId="19" fillId="0" borderId="33" xfId="5" quotePrefix="1" applyFont="1" applyBorder="1" applyAlignment="1">
      <alignment horizontal="center" vertical="center" wrapText="1"/>
    </xf>
    <xf numFmtId="0" fontId="19" fillId="0" borderId="45" xfId="5" applyFont="1" applyBorder="1" applyAlignment="1">
      <alignment horizontal="center" vertical="top" wrapText="1"/>
    </xf>
    <xf numFmtId="49" fontId="20" fillId="0" borderId="47" xfId="2" applyNumberFormat="1" applyFont="1" applyFill="1" applyBorder="1" applyAlignment="1">
      <alignment horizontal="left"/>
    </xf>
    <xf numFmtId="200" fontId="19" fillId="0" borderId="46" xfId="2" quotePrefix="1" applyNumberFormat="1" applyFont="1" applyFill="1" applyBorder="1"/>
    <xf numFmtId="200" fontId="19" fillId="0" borderId="45" xfId="2" quotePrefix="1" applyNumberFormat="1" applyFont="1" applyFill="1" applyBorder="1"/>
    <xf numFmtId="200" fontId="19" fillId="0" borderId="45" xfId="2" applyNumberFormat="1" applyFont="1" applyFill="1" applyBorder="1"/>
    <xf numFmtId="200" fontId="19" fillId="0" borderId="47" xfId="2" quotePrefix="1" applyNumberFormat="1" applyFont="1" applyFill="1" applyBorder="1"/>
    <xf numFmtId="176" fontId="19" fillId="0" borderId="46" xfId="5" applyNumberFormat="1" applyFont="1" applyBorder="1" applyAlignment="1">
      <alignment horizontal="left"/>
    </xf>
    <xf numFmtId="0" fontId="19" fillId="0" borderId="32" xfId="5" applyFont="1" applyBorder="1" applyAlignment="1">
      <alignment horizontal="center" vertical="center"/>
    </xf>
    <xf numFmtId="40" fontId="19" fillId="0" borderId="0" xfId="29" applyNumberFormat="1" applyFont="1" applyAlignment="1">
      <alignment horizontal="left"/>
    </xf>
    <xf numFmtId="200" fontId="19" fillId="0" borderId="46" xfId="5" applyNumberFormat="1" applyFont="1" applyBorder="1" applyAlignment="1">
      <alignment horizontal="right"/>
    </xf>
    <xf numFmtId="201" fontId="19" fillId="0" borderId="45" xfId="5" applyNumberFormat="1" applyFont="1" applyBorder="1" applyAlignment="1">
      <alignment horizontal="right"/>
    </xf>
    <xf numFmtId="38" fontId="19" fillId="0" borderId="45" xfId="2" applyFont="1" applyFill="1" applyBorder="1" applyAlignment="1">
      <alignment horizontal="right"/>
    </xf>
    <xf numFmtId="200" fontId="19" fillId="0" borderId="45" xfId="5" applyNumberFormat="1" applyFont="1" applyBorder="1" applyAlignment="1">
      <alignment horizontal="right"/>
    </xf>
    <xf numFmtId="200" fontId="1" fillId="0" borderId="0" xfId="28" applyNumberFormat="1">
      <alignment vertical="center"/>
    </xf>
    <xf numFmtId="201" fontId="1" fillId="0" borderId="0" xfId="28" applyNumberFormat="1">
      <alignment vertical="center"/>
    </xf>
    <xf numFmtId="38" fontId="19" fillId="0" borderId="34" xfId="12" applyNumberFormat="1" applyFont="1" applyBorder="1" applyAlignment="1">
      <alignment horizontal="centerContinuous" vertical="center" wrapText="1"/>
    </xf>
    <xf numFmtId="38" fontId="19" fillId="0" borderId="35" xfId="12" applyNumberFormat="1" applyFont="1" applyBorder="1" applyAlignment="1">
      <alignment horizontal="centerContinuous" vertical="center" wrapText="1"/>
    </xf>
    <xf numFmtId="193" fontId="19" fillId="0" borderId="33" xfId="5" quotePrefix="1" applyNumberFormat="1" applyFont="1" applyBorder="1" applyAlignment="1">
      <alignment horizontal="center" vertical="center" wrapText="1"/>
    </xf>
    <xf numFmtId="38" fontId="19" fillId="0" borderId="33" xfId="12" quotePrefix="1" applyNumberFormat="1" applyFont="1" applyBorder="1" applyAlignment="1">
      <alignment horizontal="center" vertical="center" wrapText="1"/>
    </xf>
    <xf numFmtId="193" fontId="19" fillId="0" borderId="33" xfId="5" applyNumberFormat="1" applyFont="1" applyBorder="1" applyAlignment="1">
      <alignment horizontal="center" vertical="center" wrapText="1"/>
    </xf>
    <xf numFmtId="193" fontId="19" fillId="0" borderId="33" xfId="12" quotePrefix="1" applyNumberFormat="1" applyFont="1" applyBorder="1" applyAlignment="1">
      <alignment horizontal="center" vertical="center" wrapText="1"/>
    </xf>
    <xf numFmtId="38" fontId="101" fillId="0" borderId="4" xfId="12" applyNumberFormat="1" applyFont="1" applyBorder="1" applyAlignment="1">
      <alignment horizontal="center" vertical="center" wrapText="1"/>
    </xf>
    <xf numFmtId="49" fontId="20" fillId="0" borderId="47" xfId="5" quotePrefix="1" applyNumberFormat="1" applyFont="1" applyBorder="1" applyAlignment="1">
      <alignment horizontal="left"/>
    </xf>
    <xf numFmtId="38" fontId="19" fillId="0" borderId="41" xfId="2" applyFont="1" applyFill="1" applyBorder="1"/>
    <xf numFmtId="3" fontId="19" fillId="0" borderId="46" xfId="5" applyNumberFormat="1" applyFont="1" applyBorder="1"/>
    <xf numFmtId="0" fontId="19" fillId="0" borderId="35" xfId="5" quotePrefix="1" applyFont="1" applyBorder="1" applyAlignment="1">
      <alignment horizontal="left"/>
    </xf>
    <xf numFmtId="0" fontId="65" fillId="0" borderId="35" xfId="5" applyFont="1" applyBorder="1" applyAlignment="1">
      <alignment vertical="center"/>
    </xf>
    <xf numFmtId="0" fontId="19" fillId="0" borderId="45" xfId="5" applyFont="1" applyBorder="1" applyAlignment="1">
      <alignment horizontal="right"/>
    </xf>
    <xf numFmtId="0" fontId="11" fillId="0" borderId="45" xfId="5" applyBorder="1" applyAlignment="1">
      <alignment horizontal="right"/>
    </xf>
    <xf numFmtId="194" fontId="19" fillId="0" borderId="33" xfId="2" applyNumberFormat="1" applyFont="1" applyFill="1" applyBorder="1" applyAlignment="1">
      <alignment horizontal="center" vertical="center"/>
    </xf>
    <xf numFmtId="195" fontId="19" fillId="0" borderId="33" xfId="5" applyNumberFormat="1" applyFont="1" applyBorder="1" applyAlignment="1">
      <alignment horizontal="center" vertical="center"/>
    </xf>
    <xf numFmtId="38" fontId="19" fillId="0" borderId="33" xfId="5" applyNumberFormat="1" applyFont="1" applyBorder="1" applyAlignment="1">
      <alignment horizontal="center" vertical="center"/>
    </xf>
    <xf numFmtId="38" fontId="19" fillId="0" borderId="33" xfId="5" quotePrefix="1" applyNumberFormat="1" applyFont="1" applyBorder="1" applyAlignment="1">
      <alignment horizontal="center" vertical="center" wrapText="1"/>
    </xf>
    <xf numFmtId="193" fontId="19" fillId="0" borderId="33" xfId="5" applyNumberFormat="1" applyFont="1" applyBorder="1" applyAlignment="1">
      <alignment horizontal="center" vertical="center"/>
    </xf>
    <xf numFmtId="195" fontId="19" fillId="0" borderId="33" xfId="12" applyNumberFormat="1" applyFont="1" applyBorder="1" applyAlignment="1">
      <alignment horizontal="center" vertical="center" wrapText="1"/>
    </xf>
    <xf numFmtId="38" fontId="19" fillId="0" borderId="33" xfId="12" quotePrefix="1" applyNumberFormat="1" applyFont="1" applyBorder="1" applyAlignment="1">
      <alignment horizontal="center" vertical="center"/>
    </xf>
    <xf numFmtId="193" fontId="21" fillId="0" borderId="33" xfId="12" quotePrefix="1" applyNumberFormat="1" applyFont="1" applyBorder="1" applyAlignment="1">
      <alignment horizontal="center" vertical="center" wrapText="1"/>
    </xf>
    <xf numFmtId="0" fontId="101" fillId="0" borderId="2" xfId="12" applyFont="1" applyBorder="1" applyAlignment="1">
      <alignment horizontal="center" vertical="center" wrapText="1"/>
    </xf>
    <xf numFmtId="38" fontId="101" fillId="0" borderId="2" xfId="12" applyNumberFormat="1" applyFont="1" applyBorder="1" applyAlignment="1">
      <alignment horizontal="center" vertical="center" wrapText="1"/>
    </xf>
    <xf numFmtId="194" fontId="19" fillId="0" borderId="33" xfId="2" applyNumberFormat="1" applyFont="1" applyFill="1" applyBorder="1" applyAlignment="1">
      <alignment horizontal="right" vertical="center"/>
    </xf>
    <xf numFmtId="195" fontId="19" fillId="0" borderId="35" xfId="5" applyNumberFormat="1" applyFont="1" applyBorder="1" applyAlignment="1">
      <alignment horizontal="right" vertical="center"/>
    </xf>
    <xf numFmtId="192" fontId="19" fillId="0" borderId="33" xfId="5" applyNumberFormat="1" applyFont="1" applyBorder="1" applyAlignment="1">
      <alignment horizontal="right" vertical="center"/>
    </xf>
    <xf numFmtId="38" fontId="19" fillId="0" borderId="33" xfId="5" applyNumberFormat="1" applyFont="1" applyBorder="1" applyAlignment="1">
      <alignment horizontal="right" vertical="center"/>
    </xf>
    <xf numFmtId="193" fontId="19" fillId="0" borderId="33" xfId="5" applyNumberFormat="1" applyFont="1" applyBorder="1" applyAlignment="1">
      <alignment horizontal="right" vertical="center"/>
    </xf>
    <xf numFmtId="0" fontId="19" fillId="0" borderId="47" xfId="5" applyFont="1" applyBorder="1" applyAlignment="1">
      <alignment horizontal="left"/>
    </xf>
    <xf numFmtId="193" fontId="19" fillId="0" borderId="46" xfId="5" applyNumberFormat="1" applyFont="1" applyBorder="1" applyAlignment="1">
      <alignment horizontal="left" indent="1"/>
    </xf>
    <xf numFmtId="0" fontId="80" fillId="0" borderId="46" xfId="5" applyFont="1" applyBorder="1"/>
    <xf numFmtId="38" fontId="19" fillId="0" borderId="33" xfId="12" applyNumberFormat="1" applyFont="1" applyBorder="1" applyAlignment="1">
      <alignment horizontal="center" vertical="center" wrapText="1"/>
    </xf>
    <xf numFmtId="0" fontId="19" fillId="0" borderId="33" xfId="12" applyFont="1" applyBorder="1" applyAlignment="1">
      <alignment horizontal="center" vertical="center"/>
    </xf>
    <xf numFmtId="0" fontId="19" fillId="0" borderId="45" xfId="5" quotePrefix="1" applyFont="1" applyBorder="1" applyAlignment="1">
      <alignment horizontal="left" vertical="center"/>
    </xf>
    <xf numFmtId="0" fontId="95" fillId="0" borderId="0" xfId="28" applyFont="1">
      <alignment vertical="center"/>
    </xf>
    <xf numFmtId="0" fontId="96" fillId="0" borderId="0" xfId="28" applyFont="1">
      <alignment vertical="center"/>
    </xf>
    <xf numFmtId="0" fontId="97" fillId="0" borderId="45" xfId="28" applyFont="1" applyBorder="1">
      <alignment vertical="center"/>
    </xf>
    <xf numFmtId="0" fontId="1" fillId="0" borderId="45" xfId="28" applyBorder="1" applyAlignment="1">
      <alignment horizontal="right" vertical="center"/>
    </xf>
    <xf numFmtId="0" fontId="87" fillId="0" borderId="45" xfId="28" applyFont="1" applyBorder="1" applyAlignment="1">
      <alignment horizontal="right" vertical="center"/>
    </xf>
    <xf numFmtId="0" fontId="96" fillId="0" borderId="45" xfId="28" applyFont="1" applyBorder="1">
      <alignment vertical="center"/>
    </xf>
    <xf numFmtId="0" fontId="19" fillId="0" borderId="12" xfId="28" applyFont="1" applyBorder="1" applyAlignment="1">
      <alignment horizontal="center" vertical="center"/>
    </xf>
    <xf numFmtId="0" fontId="1" fillId="0" borderId="0" xfId="28" applyAlignment="1">
      <alignment horizontal="center" vertical="center"/>
    </xf>
    <xf numFmtId="0" fontId="19" fillId="0" borderId="2" xfId="28" applyFont="1" applyBorder="1" applyAlignment="1">
      <alignment horizontal="center" vertical="center"/>
    </xf>
    <xf numFmtId="0" fontId="19" fillId="0" borderId="3" xfId="28" applyFont="1" applyBorder="1" applyAlignment="1">
      <alignment horizontal="center" vertical="center"/>
    </xf>
    <xf numFmtId="0" fontId="19" fillId="0" borderId="2" xfId="28" applyFont="1" applyBorder="1" applyAlignment="1">
      <alignment horizontal="center" vertical="center" shrinkToFit="1"/>
    </xf>
    <xf numFmtId="0" fontId="19" fillId="0" borderId="33" xfId="28" applyFont="1" applyBorder="1" applyAlignment="1">
      <alignment horizontal="center" vertical="center"/>
    </xf>
    <xf numFmtId="0" fontId="19" fillId="0" borderId="0" xfId="28" applyFont="1" applyAlignment="1">
      <alignment horizontal="center" vertical="center"/>
    </xf>
    <xf numFmtId="0" fontId="19" fillId="0" borderId="1" xfId="28" applyFont="1" applyBorder="1" applyAlignment="1">
      <alignment horizontal="center" vertical="center"/>
    </xf>
    <xf numFmtId="0" fontId="19" fillId="0" borderId="4" xfId="28" applyFont="1" applyBorder="1" applyAlignment="1">
      <alignment horizontal="center" vertical="center"/>
    </xf>
    <xf numFmtId="0" fontId="19" fillId="0" borderId="47" xfId="28" applyFont="1" applyBorder="1" applyAlignment="1">
      <alignment horizontal="center" vertical="center" wrapText="1"/>
    </xf>
    <xf numFmtId="0" fontId="19" fillId="0" borderId="4" xfId="28" applyFont="1" applyBorder="1" applyAlignment="1">
      <alignment horizontal="center" vertical="center" wrapText="1"/>
    </xf>
    <xf numFmtId="0" fontId="19" fillId="0" borderId="45" xfId="28" applyFont="1" applyBorder="1" applyAlignment="1">
      <alignment horizontal="center" vertical="center" wrapText="1"/>
    </xf>
    <xf numFmtId="0" fontId="19" fillId="0" borderId="46" xfId="28" applyFont="1" applyBorder="1" applyAlignment="1">
      <alignment horizontal="center" vertical="center" wrapText="1"/>
    </xf>
    <xf numFmtId="0" fontId="87" fillId="0" borderId="35" xfId="28" applyFont="1" applyBorder="1" applyAlignment="1"/>
    <xf numFmtId="38" fontId="87" fillId="0" borderId="33" xfId="29" applyFont="1" applyFill="1" applyBorder="1" applyAlignment="1">
      <alignment horizontal="right"/>
    </xf>
    <xf numFmtId="38" fontId="87" fillId="0" borderId="32" xfId="29" applyFont="1" applyFill="1" applyBorder="1" applyAlignment="1">
      <alignment horizontal="right"/>
    </xf>
    <xf numFmtId="38" fontId="87" fillId="0" borderId="35" xfId="29" applyFont="1" applyFill="1" applyBorder="1" applyAlignment="1">
      <alignment horizontal="right"/>
    </xf>
    <xf numFmtId="38" fontId="87" fillId="0" borderId="34" xfId="29" applyFont="1" applyFill="1" applyBorder="1" applyAlignment="1">
      <alignment horizontal="right"/>
    </xf>
    <xf numFmtId="0" fontId="87" fillId="0" borderId="34" xfId="28" applyFont="1" applyBorder="1" applyAlignment="1"/>
    <xf numFmtId="0" fontId="87" fillId="0" borderId="0" xfId="28" applyFont="1" applyAlignment="1"/>
    <xf numFmtId="38" fontId="87" fillId="0" borderId="2" xfId="29" applyFont="1" applyFill="1" applyBorder="1" applyAlignment="1">
      <alignment horizontal="right"/>
    </xf>
    <xf numFmtId="38" fontId="87" fillId="0" borderId="3" xfId="29" applyFont="1" applyFill="1" applyBorder="1" applyAlignment="1">
      <alignment horizontal="right"/>
    </xf>
    <xf numFmtId="38" fontId="87" fillId="0" borderId="0" xfId="29" applyFont="1" applyFill="1" applyBorder="1" applyAlignment="1">
      <alignment horizontal="right"/>
    </xf>
    <xf numFmtId="38" fontId="87" fillId="0" borderId="1" xfId="29" applyFont="1" applyFill="1" applyBorder="1" applyAlignment="1">
      <alignment horizontal="right"/>
    </xf>
    <xf numFmtId="0" fontId="87" fillId="0" borderId="1" xfId="28" applyFont="1" applyBorder="1" applyAlignment="1"/>
    <xf numFmtId="38" fontId="19" fillId="0" borderId="2" xfId="29" quotePrefix="1" applyFont="1" applyFill="1" applyBorder="1" applyAlignment="1">
      <alignment horizontal="right"/>
    </xf>
    <xf numFmtId="38" fontId="19" fillId="0" borderId="3" xfId="29" quotePrefix="1" applyFont="1" applyFill="1" applyBorder="1" applyAlignment="1">
      <alignment horizontal="right"/>
    </xf>
    <xf numFmtId="38" fontId="19" fillId="0" borderId="0" xfId="29" quotePrefix="1" applyFont="1" applyFill="1" applyBorder="1" applyAlignment="1">
      <alignment horizontal="right"/>
    </xf>
    <xf numFmtId="38" fontId="19" fillId="0" borderId="1" xfId="29" quotePrefix="1" applyFont="1" applyFill="1" applyBorder="1" applyAlignment="1">
      <alignment horizontal="right"/>
    </xf>
    <xf numFmtId="38" fontId="1" fillId="0" borderId="0" xfId="28" applyNumberFormat="1">
      <alignment vertical="center"/>
    </xf>
    <xf numFmtId="49" fontId="19" fillId="0" borderId="45" xfId="5" quotePrefix="1" applyNumberFormat="1" applyFont="1" applyBorder="1" applyAlignment="1">
      <alignment horizontal="left"/>
    </xf>
    <xf numFmtId="38" fontId="19" fillId="0" borderId="4" xfId="29" quotePrefix="1" applyFont="1" applyFill="1" applyBorder="1" applyAlignment="1">
      <alignment horizontal="right"/>
    </xf>
    <xf numFmtId="38" fontId="19" fillId="0" borderId="47" xfId="29" quotePrefix="1" applyFont="1" applyFill="1" applyBorder="1" applyAlignment="1">
      <alignment horizontal="right"/>
    </xf>
    <xf numFmtId="38" fontId="19" fillId="0" borderId="45" xfId="29" quotePrefix="1" applyFont="1" applyFill="1" applyBorder="1" applyAlignment="1">
      <alignment horizontal="right"/>
    </xf>
    <xf numFmtId="38" fontId="19" fillId="0" borderId="46" xfId="29" quotePrefix="1" applyFont="1" applyFill="1" applyBorder="1" applyAlignment="1">
      <alignment horizontal="right"/>
    </xf>
    <xf numFmtId="49" fontId="19" fillId="0" borderId="35" xfId="5" applyNumberFormat="1" applyFont="1" applyBorder="1" applyAlignment="1">
      <alignment horizontal="left"/>
    </xf>
    <xf numFmtId="0" fontId="1" fillId="0" borderId="0" xfId="28" applyAlignment="1"/>
    <xf numFmtId="0" fontId="97" fillId="0" borderId="0" xfId="28" applyFont="1">
      <alignment vertical="center"/>
    </xf>
    <xf numFmtId="0" fontId="16" fillId="0" borderId="0" xfId="28" applyFont="1">
      <alignment vertical="center"/>
    </xf>
    <xf numFmtId="0" fontId="98" fillId="0" borderId="0" xfId="28" applyFont="1">
      <alignment vertical="center"/>
    </xf>
    <xf numFmtId="0" fontId="99" fillId="0" borderId="0" xfId="28" applyFont="1">
      <alignment vertical="center"/>
    </xf>
    <xf numFmtId="0" fontId="87" fillId="0" borderId="45" xfId="28" applyFont="1" applyBorder="1">
      <alignment vertical="center"/>
    </xf>
    <xf numFmtId="0" fontId="87" fillId="0" borderId="0" xfId="28" applyFont="1">
      <alignment vertical="center"/>
    </xf>
    <xf numFmtId="0" fontId="87" fillId="0" borderId="0" xfId="28" applyFont="1" applyAlignment="1">
      <alignment horizontal="right" vertical="center"/>
    </xf>
    <xf numFmtId="0" fontId="87" fillId="0" borderId="33" xfId="28" applyFont="1" applyBorder="1" applyAlignment="1">
      <alignment horizontal="center" vertical="center"/>
    </xf>
    <xf numFmtId="0" fontId="87" fillId="0" borderId="0" xfId="28" applyFont="1" applyAlignment="1">
      <alignment horizontal="center" vertical="center" shrinkToFit="1"/>
    </xf>
    <xf numFmtId="0" fontId="87" fillId="0" borderId="0" xfId="28" applyFont="1" applyAlignment="1">
      <alignment horizontal="center" vertical="center"/>
    </xf>
    <xf numFmtId="0" fontId="87" fillId="0" borderId="32" xfId="28" applyFont="1" applyBorder="1">
      <alignment vertical="center"/>
    </xf>
    <xf numFmtId="38" fontId="87" fillId="0" borderId="33" xfId="29" applyFont="1" applyFill="1" applyBorder="1" applyAlignment="1">
      <alignment horizontal="right" vertical="center"/>
    </xf>
    <xf numFmtId="0" fontId="87" fillId="0" borderId="34" xfId="28" applyFont="1" applyBorder="1">
      <alignment vertical="center"/>
    </xf>
    <xf numFmtId="38" fontId="87" fillId="0" borderId="0" xfId="29" applyFont="1" applyFill="1" applyBorder="1">
      <alignment vertical="center"/>
    </xf>
    <xf numFmtId="0" fontId="87" fillId="0" borderId="3" xfId="28" applyFont="1" applyBorder="1">
      <alignment vertical="center"/>
    </xf>
    <xf numFmtId="38" fontId="87" fillId="0" borderId="2" xfId="29" applyFont="1" applyFill="1" applyBorder="1" applyAlignment="1">
      <alignment horizontal="right" vertical="center"/>
    </xf>
    <xf numFmtId="0" fontId="87" fillId="0" borderId="1" xfId="28" applyFont="1" applyBorder="1">
      <alignment vertical="center"/>
    </xf>
    <xf numFmtId="38" fontId="19" fillId="0" borderId="2" xfId="29" quotePrefix="1" applyFont="1" applyFill="1" applyBorder="1" applyAlignment="1">
      <alignment horizontal="right" vertical="center"/>
    </xf>
    <xf numFmtId="49" fontId="19" fillId="0" borderId="47" xfId="5" quotePrefix="1" applyNumberFormat="1" applyFont="1" applyBorder="1" applyAlignment="1">
      <alignment horizontal="left" vertical="center"/>
    </xf>
    <xf numFmtId="38" fontId="87" fillId="0" borderId="4" xfId="29" applyFont="1" applyFill="1" applyBorder="1" applyAlignment="1">
      <alignment horizontal="right" vertical="center"/>
    </xf>
    <xf numFmtId="38" fontId="19" fillId="0" borderId="4" xfId="29" quotePrefix="1" applyFont="1" applyFill="1" applyBorder="1" applyAlignment="1">
      <alignment horizontal="right" vertical="center"/>
    </xf>
    <xf numFmtId="49" fontId="19" fillId="0" borderId="46" xfId="5" quotePrefix="1" applyNumberFormat="1" applyFont="1" applyBorder="1" applyAlignment="1">
      <alignment horizontal="left" vertical="center"/>
    </xf>
    <xf numFmtId="38" fontId="87" fillId="0" borderId="30" xfId="29" applyFont="1" applyFill="1" applyBorder="1">
      <alignment vertical="center"/>
    </xf>
    <xf numFmtId="38" fontId="19" fillId="0" borderId="30" xfId="29" quotePrefix="1" applyFont="1" applyFill="1" applyBorder="1" applyAlignment="1">
      <alignment horizontal="right"/>
    </xf>
    <xf numFmtId="38" fontId="87" fillId="0" borderId="0" xfId="29" applyFont="1" applyBorder="1">
      <alignment vertical="center"/>
    </xf>
    <xf numFmtId="38" fontId="0" fillId="0" borderId="0" xfId="29" applyFont="1" applyBorder="1">
      <alignment vertical="center"/>
    </xf>
    <xf numFmtId="0" fontId="87" fillId="0" borderId="33" xfId="28" applyFont="1" applyBorder="1" applyAlignment="1">
      <alignment horizontal="center" vertical="center" shrinkToFit="1"/>
    </xf>
    <xf numFmtId="0" fontId="87" fillId="0" borderId="0" xfId="28" applyFont="1" applyAlignment="1">
      <alignment horizontal="left" vertical="center"/>
    </xf>
    <xf numFmtId="0" fontId="87" fillId="0" borderId="32" xfId="28" applyFont="1" applyBorder="1" applyAlignment="1"/>
    <xf numFmtId="38" fontId="87" fillId="0" borderId="35" xfId="29" applyFont="1" applyFill="1" applyBorder="1">
      <alignment vertical="center"/>
    </xf>
    <xf numFmtId="0" fontId="87" fillId="0" borderId="35" xfId="28" applyFont="1" applyBorder="1">
      <alignment vertical="center"/>
    </xf>
    <xf numFmtId="0" fontId="19" fillId="0" borderId="34" xfId="5" applyFont="1" applyBorder="1" applyAlignment="1">
      <alignment horizontal="center" vertical="center" wrapText="1"/>
    </xf>
    <xf numFmtId="0" fontId="19" fillId="0" borderId="1" xfId="5" applyFont="1" applyBorder="1" applyAlignment="1">
      <alignment horizontal="center" vertical="center"/>
    </xf>
    <xf numFmtId="0" fontId="19" fillId="0" borderId="26" xfId="5" applyFont="1" applyBorder="1" applyAlignment="1">
      <alignment horizontal="center" vertical="center"/>
    </xf>
    <xf numFmtId="38" fontId="19" fillId="0" borderId="34" xfId="2" applyFont="1" applyFill="1" applyBorder="1" applyAlignment="1">
      <alignment horizontal="center" vertical="center" wrapText="1"/>
    </xf>
    <xf numFmtId="38" fontId="19" fillId="0" borderId="1" xfId="2" applyFont="1" applyFill="1" applyBorder="1" applyAlignment="1">
      <alignment horizontal="center" vertical="center"/>
    </xf>
    <xf numFmtId="38" fontId="19" fillId="0" borderId="26" xfId="2" applyFont="1" applyFill="1" applyBorder="1" applyAlignment="1">
      <alignment horizontal="center" vertical="center"/>
    </xf>
    <xf numFmtId="38" fontId="16" fillId="0" borderId="0" xfId="2" applyFont="1" applyFill="1" applyBorder="1" applyAlignment="1">
      <alignment horizontal="left" vertical="center"/>
    </xf>
    <xf numFmtId="0" fontId="39" fillId="0" borderId="2" xfId="5" applyFont="1" applyBorder="1" applyAlignment="1">
      <alignment horizontal="center" vertical="center" wrapText="1"/>
    </xf>
    <xf numFmtId="0" fontId="11" fillId="0" borderId="4" xfId="5" applyBorder="1" applyAlignment="1">
      <alignment horizontal="center" vertical="center" wrapText="1"/>
    </xf>
    <xf numFmtId="0" fontId="39" fillId="0" borderId="35" xfId="5" applyFont="1" applyBorder="1" applyAlignment="1">
      <alignment horizontal="center" vertical="center"/>
    </xf>
    <xf numFmtId="0" fontId="39" fillId="0" borderId="32" xfId="5" applyFont="1" applyBorder="1" applyAlignment="1">
      <alignment horizontal="center" vertical="center"/>
    </xf>
    <xf numFmtId="0" fontId="39" fillId="0" borderId="0" xfId="5" applyFont="1" applyAlignment="1">
      <alignment horizontal="center" vertical="center"/>
    </xf>
    <xf numFmtId="0" fontId="39" fillId="0" borderId="3" xfId="5" applyFont="1" applyBorder="1" applyAlignment="1">
      <alignment horizontal="center" vertical="center"/>
    </xf>
    <xf numFmtId="0" fontId="39" fillId="0" borderId="24" xfId="5" applyFont="1" applyBorder="1" applyAlignment="1">
      <alignment horizontal="center" vertical="center"/>
    </xf>
    <xf numFmtId="0" fontId="39" fillId="0" borderId="25" xfId="5" applyFont="1" applyBorder="1" applyAlignment="1">
      <alignment horizontal="center" vertical="center"/>
    </xf>
    <xf numFmtId="0" fontId="39" fillId="0" borderId="30" xfId="5" applyFont="1" applyBorder="1" applyAlignment="1">
      <alignment horizontal="center" vertical="center"/>
    </xf>
    <xf numFmtId="0" fontId="39" fillId="0" borderId="31" xfId="5" applyFont="1" applyBorder="1" applyAlignment="1">
      <alignment horizontal="center" vertical="center"/>
    </xf>
    <xf numFmtId="0" fontId="11" fillId="0" borderId="1" xfId="5" applyBorder="1" applyAlignment="1">
      <alignment horizontal="center" vertical="center" wrapText="1"/>
    </xf>
    <xf numFmtId="0" fontId="39" fillId="0" borderId="4" xfId="5" applyFont="1" applyBorder="1" applyAlignment="1">
      <alignment horizontal="center" vertical="center" wrapText="1"/>
    </xf>
    <xf numFmtId="0" fontId="39" fillId="0" borderId="4" xfId="5" applyFont="1" applyBorder="1" applyAlignment="1">
      <alignment horizontal="center" vertical="center"/>
    </xf>
    <xf numFmtId="0" fontId="39" fillId="0" borderId="36" xfId="5" applyFont="1" applyBorder="1" applyAlignment="1">
      <alignment horizontal="center" vertical="center" wrapText="1"/>
    </xf>
    <xf numFmtId="0" fontId="61" fillId="0" borderId="7" xfId="5" applyFont="1" applyBorder="1" applyAlignment="1">
      <alignment horizontal="center" vertical="center" wrapText="1"/>
    </xf>
    <xf numFmtId="0" fontId="61" fillId="0" borderId="44" xfId="5" applyFont="1" applyBorder="1" applyAlignment="1">
      <alignment horizontal="center" vertical="center" wrapText="1"/>
    </xf>
    <xf numFmtId="0" fontId="19" fillId="0" borderId="36" xfId="5" applyFont="1" applyBorder="1" applyAlignment="1">
      <alignment horizontal="center" vertical="center" wrapText="1"/>
    </xf>
    <xf numFmtId="0" fontId="19" fillId="0" borderId="0" xfId="5" applyFont="1" applyAlignment="1">
      <alignment horizontal="center" vertical="center"/>
    </xf>
    <xf numFmtId="0" fontId="19" fillId="0" borderId="3" xfId="5" applyFont="1" applyBorder="1" applyAlignment="1">
      <alignment horizontal="center" vertical="center"/>
    </xf>
    <xf numFmtId="0" fontId="19" fillId="0" borderId="32" xfId="16" applyFont="1" applyBorder="1" applyAlignment="1">
      <alignment horizontal="center" vertical="center" wrapText="1"/>
    </xf>
    <xf numFmtId="0" fontId="19" fillId="0" borderId="3" xfId="16" applyFont="1" applyBorder="1" applyAlignment="1">
      <alignment horizontal="center" vertical="center" wrapText="1"/>
    </xf>
    <xf numFmtId="0" fontId="19" fillId="0" borderId="47" xfId="16" applyFont="1" applyBorder="1" applyAlignment="1">
      <alignment horizontal="center" vertical="center" wrapText="1"/>
    </xf>
    <xf numFmtId="0" fontId="19" fillId="0" borderId="34" xfId="16" applyFont="1" applyBorder="1" applyAlignment="1">
      <alignment horizontal="center" vertical="center" wrapText="1"/>
    </xf>
    <xf numFmtId="0" fontId="19" fillId="0" borderId="1" xfId="16" applyFont="1" applyBorder="1" applyAlignment="1">
      <alignment horizontal="center" vertical="center" wrapText="1"/>
    </xf>
    <xf numFmtId="0" fontId="19" fillId="0" borderId="46" xfId="16" applyFont="1" applyBorder="1" applyAlignment="1">
      <alignment horizontal="center" vertical="center" wrapText="1"/>
    </xf>
    <xf numFmtId="0" fontId="19" fillId="0" borderId="2" xfId="16" applyFont="1" applyBorder="1" applyAlignment="1">
      <alignment horizontal="center" vertical="center" wrapText="1"/>
    </xf>
    <xf numFmtId="0" fontId="19" fillId="0" borderId="4" xfId="16" applyFont="1" applyBorder="1" applyAlignment="1">
      <alignment horizontal="center" vertical="center" wrapText="1"/>
    </xf>
    <xf numFmtId="0" fontId="21" fillId="0" borderId="2" xfId="16" applyFont="1" applyBorder="1" applyAlignment="1">
      <alignment horizontal="center" vertical="center" wrapText="1"/>
    </xf>
    <xf numFmtId="0" fontId="21" fillId="0" borderId="4" xfId="16" applyFont="1" applyBorder="1" applyAlignment="1">
      <alignment horizontal="center" vertical="center" wrapText="1"/>
    </xf>
    <xf numFmtId="0" fontId="39" fillId="0" borderId="0" xfId="5" applyFont="1" applyAlignment="1">
      <alignment horizontal="center" vertical="center" wrapText="1"/>
    </xf>
    <xf numFmtId="0" fontId="61" fillId="0" borderId="0" xfId="5" applyFont="1" applyAlignment="1">
      <alignment vertical="center" wrapText="1"/>
    </xf>
    <xf numFmtId="0" fontId="61" fillId="0" borderId="37" xfId="5" applyFont="1" applyBorder="1" applyAlignment="1">
      <alignment vertical="center" wrapText="1"/>
    </xf>
    <xf numFmtId="0" fontId="19" fillId="0" borderId="23" xfId="5" applyFont="1" applyBorder="1" applyAlignment="1">
      <alignment horizontal="left" vertical="center"/>
    </xf>
    <xf numFmtId="0" fontId="19" fillId="0" borderId="20" xfId="5" applyFont="1" applyBorder="1" applyAlignment="1">
      <alignment horizontal="left" vertical="center"/>
    </xf>
    <xf numFmtId="0" fontId="19" fillId="0" borderId="35" xfId="5" applyFont="1" applyBorder="1" applyAlignment="1">
      <alignment horizontal="center" vertical="center"/>
    </xf>
    <xf numFmtId="0" fontId="19" fillId="0" borderId="45" xfId="5" applyFont="1" applyBorder="1" applyAlignment="1">
      <alignment horizontal="center" vertical="center"/>
    </xf>
    <xf numFmtId="188" fontId="19" fillId="0" borderId="34" xfId="5" applyNumberFormat="1" applyFont="1" applyBorder="1" applyAlignment="1">
      <alignment horizontal="center" vertical="center"/>
    </xf>
    <xf numFmtId="0" fontId="19" fillId="0" borderId="35" xfId="5" applyFont="1" applyBorder="1"/>
    <xf numFmtId="0" fontId="19" fillId="0" borderId="46" xfId="5" applyFont="1" applyBorder="1"/>
    <xf numFmtId="0" fontId="19" fillId="0" borderId="45" xfId="5" applyFont="1" applyBorder="1"/>
    <xf numFmtId="0" fontId="19" fillId="0" borderId="0" xfId="5" applyFont="1" applyAlignment="1">
      <alignment horizontal="center"/>
    </xf>
    <xf numFmtId="188" fontId="19" fillId="0" borderId="33" xfId="5" applyNumberFormat="1" applyFont="1" applyBorder="1" applyAlignment="1">
      <alignment horizontal="center" vertical="center" wrapText="1"/>
    </xf>
    <xf numFmtId="0" fontId="61" fillId="0" borderId="2" xfId="5" applyFont="1" applyBorder="1" applyAlignment="1">
      <alignment horizontal="center" wrapText="1"/>
    </xf>
    <xf numFmtId="0" fontId="61" fillId="0" borderId="4" xfId="5" applyFont="1" applyBorder="1" applyAlignment="1">
      <alignment horizontal="center"/>
    </xf>
    <xf numFmtId="188" fontId="50" fillId="0" borderId="34" xfId="5" applyNumberFormat="1" applyFont="1" applyBorder="1" applyAlignment="1">
      <alignment horizontal="center"/>
    </xf>
    <xf numFmtId="188" fontId="50" fillId="0" borderId="32" xfId="5" applyNumberFormat="1" applyFont="1" applyBorder="1" applyAlignment="1">
      <alignment horizontal="center"/>
    </xf>
    <xf numFmtId="38" fontId="50" fillId="0" borderId="34" xfId="5" applyNumberFormat="1" applyFont="1" applyBorder="1"/>
    <xf numFmtId="38" fontId="50" fillId="0" borderId="35" xfId="5" applyNumberFormat="1" applyFont="1" applyBorder="1"/>
    <xf numFmtId="188" fontId="19" fillId="0" borderId="1" xfId="5" applyNumberFormat="1" applyFont="1" applyBorder="1" applyAlignment="1">
      <alignment horizontal="center"/>
    </xf>
    <xf numFmtId="188" fontId="19" fillId="0" borderId="3" xfId="5" applyNumberFormat="1" applyFont="1" applyBorder="1" applyAlignment="1">
      <alignment horizontal="center"/>
    </xf>
    <xf numFmtId="188" fontId="19" fillId="0" borderId="2" xfId="5" applyNumberFormat="1" applyFont="1" applyBorder="1" applyAlignment="1">
      <alignment horizontal="left" vertical="center"/>
    </xf>
    <xf numFmtId="188" fontId="19" fillId="0" borderId="1" xfId="5" applyNumberFormat="1" applyFont="1" applyBorder="1" applyAlignment="1">
      <alignment horizontal="left"/>
    </xf>
    <xf numFmtId="188" fontId="19" fillId="0" borderId="0" xfId="5" applyNumberFormat="1" applyFont="1" applyAlignment="1">
      <alignment horizontal="center" vertical="center"/>
    </xf>
    <xf numFmtId="0" fontId="19" fillId="0" borderId="0" xfId="5" applyFont="1" applyAlignment="1">
      <alignment vertical="center"/>
    </xf>
    <xf numFmtId="188" fontId="19" fillId="0" borderId="2" xfId="5" applyNumberFormat="1" applyFont="1" applyBorder="1" applyAlignment="1">
      <alignment horizontal="center" vertical="center" wrapText="1"/>
    </xf>
    <xf numFmtId="0" fontId="61" fillId="0" borderId="4" xfId="5" applyFont="1" applyBorder="1" applyAlignment="1">
      <alignment horizontal="center" wrapText="1"/>
    </xf>
    <xf numFmtId="188" fontId="50" fillId="0" borderId="1" xfId="5" applyNumberFormat="1" applyFont="1" applyBorder="1" applyAlignment="1">
      <alignment horizontal="center"/>
    </xf>
    <xf numFmtId="188" fontId="50" fillId="0" borderId="3" xfId="5" applyNumberFormat="1" applyFont="1" applyBorder="1" applyAlignment="1">
      <alignment horizontal="center"/>
    </xf>
    <xf numFmtId="38" fontId="50" fillId="0" borderId="1" xfId="5" applyNumberFormat="1" applyFont="1" applyBorder="1"/>
    <xf numFmtId="38" fontId="50" fillId="0" borderId="0" xfId="5" applyNumberFormat="1" applyFont="1"/>
    <xf numFmtId="188" fontId="19" fillId="0" borderId="3" xfId="5" applyNumberFormat="1" applyFont="1" applyBorder="1" applyAlignment="1">
      <alignment horizontal="center" vertical="top"/>
    </xf>
    <xf numFmtId="0" fontId="19" fillId="0" borderId="3" xfId="5" applyFont="1" applyBorder="1" applyAlignment="1">
      <alignment horizontal="center" vertical="top"/>
    </xf>
    <xf numFmtId="188" fontId="19" fillId="0" borderId="33" xfId="5" applyNumberFormat="1" applyFont="1" applyBorder="1" applyAlignment="1">
      <alignment horizontal="center" vertical="center"/>
    </xf>
    <xf numFmtId="0" fontId="61" fillId="0" borderId="2" xfId="5" applyFont="1" applyBorder="1" applyAlignment="1">
      <alignment vertical="center"/>
    </xf>
    <xf numFmtId="0" fontId="61" fillId="0" borderId="3" xfId="5" applyFont="1" applyBorder="1" applyAlignment="1">
      <alignment horizontal="center" vertical="center"/>
    </xf>
    <xf numFmtId="0" fontId="19" fillId="0" borderId="1" xfId="5" applyFont="1" applyBorder="1" applyAlignment="1">
      <alignment horizontal="center"/>
    </xf>
    <xf numFmtId="0" fontId="19" fillId="0" borderId="3" xfId="5" applyFont="1" applyBorder="1" applyAlignment="1">
      <alignment horizontal="center"/>
    </xf>
    <xf numFmtId="0" fontId="19" fillId="0" borderId="1" xfId="5" applyFont="1" applyBorder="1" applyAlignment="1">
      <alignment horizontal="left" wrapText="1"/>
    </xf>
    <xf numFmtId="0" fontId="19" fillId="0" borderId="1" xfId="5" applyFont="1" applyBorder="1" applyAlignment="1">
      <alignment horizontal="left"/>
    </xf>
    <xf numFmtId="0" fontId="61" fillId="0" borderId="2" xfId="5" applyFont="1" applyBorder="1"/>
    <xf numFmtId="0" fontId="61" fillId="0" borderId="4" xfId="5" applyFont="1" applyBorder="1"/>
    <xf numFmtId="0" fontId="19" fillId="0" borderId="34" xfId="5" quotePrefix="1" applyFont="1" applyBorder="1" applyAlignment="1">
      <alignment horizontal="center" vertical="center" wrapText="1"/>
    </xf>
    <xf numFmtId="0" fontId="19" fillId="0" borderId="1" xfId="5" applyFont="1" applyBorder="1" applyAlignment="1">
      <alignment vertical="center" wrapText="1"/>
    </xf>
    <xf numFmtId="0" fontId="19" fillId="0" borderId="46" xfId="5" applyFont="1" applyBorder="1" applyAlignment="1">
      <alignment vertical="center" wrapText="1"/>
    </xf>
    <xf numFmtId="0" fontId="19" fillId="0" borderId="33" xfId="5" applyFont="1" applyBorder="1" applyAlignment="1">
      <alignment horizontal="center" vertical="center" wrapText="1"/>
    </xf>
    <xf numFmtId="0" fontId="19" fillId="0" borderId="4" xfId="5" applyFont="1" applyBorder="1" applyAlignment="1">
      <alignment vertical="center"/>
    </xf>
    <xf numFmtId="0" fontId="19" fillId="0" borderId="1" xfId="5" applyFont="1" applyBorder="1" applyAlignment="1">
      <alignment horizontal="center" vertical="center" wrapText="1"/>
    </xf>
    <xf numFmtId="0" fontId="19" fillId="0" borderId="46" xfId="5" applyFont="1" applyBorder="1" applyAlignment="1">
      <alignment vertical="center"/>
    </xf>
    <xf numFmtId="0" fontId="19" fillId="0" borderId="4" xfId="5" applyFont="1" applyBorder="1" applyAlignment="1">
      <alignment horizontal="center" vertical="center" wrapText="1"/>
    </xf>
    <xf numFmtId="0" fontId="19" fillId="0" borderId="33" xfId="5" quotePrefix="1" applyFont="1" applyBorder="1" applyAlignment="1">
      <alignment horizontal="center" vertical="center" wrapText="1"/>
    </xf>
    <xf numFmtId="0" fontId="19" fillId="0" borderId="4" xfId="5" quotePrefix="1" applyFont="1" applyBorder="1" applyAlignment="1">
      <alignment horizontal="center" vertical="center" wrapText="1"/>
    </xf>
    <xf numFmtId="0" fontId="19" fillId="0" borderId="4" xfId="5" applyFont="1" applyBorder="1" applyAlignment="1">
      <alignment vertical="center" wrapText="1"/>
    </xf>
    <xf numFmtId="0" fontId="19" fillId="0" borderId="34" xfId="5" applyFont="1" applyBorder="1" applyAlignment="1">
      <alignment horizontal="center" vertical="center"/>
    </xf>
    <xf numFmtId="0" fontId="19" fillId="0" borderId="6" xfId="5" applyFont="1" applyBorder="1" applyAlignment="1">
      <alignment horizontal="center" vertical="center"/>
    </xf>
    <xf numFmtId="0" fontId="19" fillId="0" borderId="32" xfId="5" applyFont="1" applyBorder="1" applyAlignment="1">
      <alignment horizontal="center" vertical="center"/>
    </xf>
    <xf numFmtId="0" fontId="19" fillId="0" borderId="47" xfId="5" applyFont="1" applyBorder="1" applyAlignment="1">
      <alignment horizontal="center" vertical="center"/>
    </xf>
    <xf numFmtId="0" fontId="19" fillId="0" borderId="13" xfId="5" quotePrefix="1" applyFont="1" applyBorder="1" applyAlignment="1">
      <alignment horizontal="center" vertical="center" wrapText="1"/>
    </xf>
    <xf numFmtId="0" fontId="19" fillId="0" borderId="5" xfId="5" applyFont="1" applyBorder="1" applyAlignment="1">
      <alignment horizontal="center" vertical="center" wrapText="1"/>
    </xf>
    <xf numFmtId="0" fontId="11" fillId="0" borderId="46" xfId="5" applyBorder="1" applyAlignment="1">
      <alignment horizontal="center" vertical="center" wrapText="1"/>
    </xf>
    <xf numFmtId="0" fontId="19" fillId="0" borderId="32" xfId="5" quotePrefix="1" applyFont="1" applyBorder="1" applyAlignment="1">
      <alignment horizontal="center" vertical="center" justifyLastLine="1"/>
    </xf>
    <xf numFmtId="0" fontId="19" fillId="0" borderId="3" xfId="5" applyFont="1" applyBorder="1" applyAlignment="1">
      <alignment horizontal="center" vertical="center" justifyLastLine="1"/>
    </xf>
    <xf numFmtId="0" fontId="19" fillId="0" borderId="47" xfId="5" applyFont="1" applyBorder="1" applyAlignment="1">
      <alignment horizontal="center" vertical="center" justifyLastLine="1"/>
    </xf>
    <xf numFmtId="0" fontId="19" fillId="0" borderId="13" xfId="5" applyFont="1" applyBorder="1" applyAlignment="1">
      <alignment horizontal="center" vertical="center"/>
    </xf>
    <xf numFmtId="0" fontId="19" fillId="0" borderId="5" xfId="5" applyFont="1" applyBorder="1" applyAlignment="1">
      <alignment horizontal="center" vertical="center"/>
    </xf>
    <xf numFmtId="0" fontId="19" fillId="0" borderId="46" xfId="5" applyFont="1" applyBorder="1" applyAlignment="1">
      <alignment horizontal="center"/>
    </xf>
    <xf numFmtId="194" fontId="19" fillId="0" borderId="34" xfId="2" quotePrefix="1" applyNumberFormat="1" applyFont="1" applyFill="1" applyBorder="1" applyAlignment="1">
      <alignment horizontal="center" vertical="center" wrapText="1"/>
    </xf>
    <xf numFmtId="194" fontId="19" fillId="0" borderId="35" xfId="2" applyNumberFormat="1" applyFont="1" applyFill="1" applyBorder="1" applyAlignment="1">
      <alignment horizontal="center" vertical="center" wrapText="1"/>
    </xf>
    <xf numFmtId="194" fontId="19" fillId="0" borderId="32" xfId="2" applyNumberFormat="1" applyFont="1" applyFill="1" applyBorder="1" applyAlignment="1">
      <alignment horizontal="center" vertical="center" wrapText="1"/>
    </xf>
    <xf numFmtId="193" fontId="19" fillId="0" borderId="33" xfId="5" quotePrefix="1" applyNumberFormat="1" applyFont="1" applyBorder="1" applyAlignment="1">
      <alignment horizontal="center" vertical="center" wrapText="1"/>
    </xf>
    <xf numFmtId="0" fontId="19" fillId="0" borderId="2" xfId="5" applyFont="1" applyBorder="1" applyAlignment="1">
      <alignment horizontal="center" vertical="center" wrapText="1"/>
    </xf>
    <xf numFmtId="0" fontId="19" fillId="0" borderId="34" xfId="12" quotePrefix="1" applyFont="1" applyBorder="1" applyAlignment="1">
      <alignment horizontal="center" vertical="center" wrapText="1"/>
    </xf>
    <xf numFmtId="0" fontId="11" fillId="0" borderId="1" xfId="12" applyBorder="1"/>
    <xf numFmtId="0" fontId="11" fillId="0" borderId="46" xfId="12" applyBorder="1"/>
    <xf numFmtId="0" fontId="19" fillId="0" borderId="45" xfId="5" applyFont="1" applyBorder="1" applyAlignment="1">
      <alignment horizontal="left"/>
    </xf>
    <xf numFmtId="0" fontId="19" fillId="0" borderId="47" xfId="5" applyFont="1" applyBorder="1" applyAlignment="1">
      <alignment horizontal="left"/>
    </xf>
    <xf numFmtId="194" fontId="19" fillId="0" borderId="34" xfId="2" applyNumberFormat="1" applyFont="1" applyFill="1" applyBorder="1" applyAlignment="1">
      <alignment horizontal="center" vertical="center"/>
    </xf>
    <xf numFmtId="194" fontId="19" fillId="0" borderId="35" xfId="2" applyNumberFormat="1" applyFont="1" applyFill="1" applyBorder="1" applyAlignment="1">
      <alignment horizontal="center" vertical="center"/>
    </xf>
    <xf numFmtId="194" fontId="19" fillId="0" borderId="32" xfId="2" applyNumberFormat="1" applyFont="1" applyFill="1" applyBorder="1" applyAlignment="1">
      <alignment horizontal="center" vertical="center"/>
    </xf>
    <xf numFmtId="0" fontId="19" fillId="0" borderId="34" xfId="12" applyFont="1" applyBorder="1" applyAlignment="1">
      <alignment horizontal="center" vertical="center"/>
    </xf>
    <xf numFmtId="0" fontId="19" fillId="0" borderId="35" xfId="12" applyFont="1" applyBorder="1" applyAlignment="1">
      <alignment horizontal="center" vertical="center"/>
    </xf>
    <xf numFmtId="0" fontId="19" fillId="0" borderId="1" xfId="12" applyFont="1" applyBorder="1" applyAlignment="1">
      <alignment horizontal="center" vertical="center"/>
    </xf>
    <xf numFmtId="0" fontId="19" fillId="0" borderId="0" xfId="12" applyFont="1" applyAlignment="1">
      <alignment horizontal="center" vertical="center"/>
    </xf>
    <xf numFmtId="0" fontId="19" fillId="0" borderId="46" xfId="12" applyFont="1" applyBorder="1" applyAlignment="1">
      <alignment horizontal="center" vertical="center"/>
    </xf>
    <xf numFmtId="0" fontId="19" fillId="0" borderId="45" xfId="12" applyFont="1" applyBorder="1" applyAlignment="1">
      <alignment horizontal="center" vertical="center"/>
    </xf>
    <xf numFmtId="0" fontId="19" fillId="0" borderId="0" xfId="5" applyFont="1" applyAlignment="1">
      <alignment horizontal="left" vertical="center"/>
    </xf>
    <xf numFmtId="0" fontId="19" fillId="0" borderId="3" xfId="5" applyFont="1" applyBorder="1" applyAlignment="1">
      <alignment horizontal="left" vertical="center"/>
    </xf>
    <xf numFmtId="0" fontId="19" fillId="0" borderId="0" xfId="5" applyFont="1" applyAlignment="1">
      <alignment horizontal="left"/>
    </xf>
    <xf numFmtId="0" fontId="19" fillId="0" borderId="3" xfId="5" applyFont="1" applyBorder="1" applyAlignment="1">
      <alignment horizontal="left"/>
    </xf>
    <xf numFmtId="38" fontId="19" fillId="0" borderId="34" xfId="5" quotePrefix="1" applyNumberFormat="1" applyFont="1" applyBorder="1" applyAlignment="1">
      <alignment horizontal="center" vertical="center" wrapText="1"/>
    </xf>
    <xf numFmtId="38" fontId="19" fillId="0" borderId="35" xfId="5" applyNumberFormat="1" applyFont="1" applyBorder="1" applyAlignment="1">
      <alignment horizontal="center" vertical="center" wrapText="1"/>
    </xf>
    <xf numFmtId="38" fontId="19" fillId="0" borderId="32" xfId="5" applyNumberFormat="1" applyFont="1" applyBorder="1" applyAlignment="1">
      <alignment horizontal="center" vertical="center" wrapText="1"/>
    </xf>
    <xf numFmtId="0" fontId="19" fillId="0" borderId="34" xfId="5" quotePrefix="1" applyFont="1" applyBorder="1" applyAlignment="1">
      <alignment horizontal="center" vertical="center"/>
    </xf>
    <xf numFmtId="0" fontId="19" fillId="0" borderId="46" xfId="5" applyFont="1" applyBorder="1" applyAlignment="1">
      <alignment horizontal="center" vertical="center"/>
    </xf>
    <xf numFmtId="0" fontId="19" fillId="0" borderId="0" xfId="5" quotePrefix="1" applyFont="1" applyAlignment="1">
      <alignment horizontal="left" wrapText="1"/>
    </xf>
    <xf numFmtId="0" fontId="11" fillId="0" borderId="35" xfId="5" applyBorder="1" applyAlignment="1">
      <alignment horizontal="center" vertical="center"/>
    </xf>
    <xf numFmtId="0" fontId="11" fillId="0" borderId="1" xfId="5" applyBorder="1" applyAlignment="1">
      <alignment horizontal="center" vertical="center"/>
    </xf>
    <xf numFmtId="0" fontId="11" fillId="0" borderId="0" xfId="5" applyAlignment="1">
      <alignment horizontal="center" vertical="center"/>
    </xf>
    <xf numFmtId="0" fontId="11" fillId="0" borderId="46" xfId="5" applyBorder="1" applyAlignment="1">
      <alignment horizontal="center" vertical="center"/>
    </xf>
    <xf numFmtId="0" fontId="11" fillId="0" borderId="45" xfId="5" applyBorder="1" applyAlignment="1">
      <alignment horizontal="center" vertical="center"/>
    </xf>
    <xf numFmtId="0" fontId="19" fillId="0" borderId="0" xfId="5" quotePrefix="1" applyFont="1" applyAlignment="1">
      <alignment horizontal="left"/>
    </xf>
    <xf numFmtId="0" fontId="87" fillId="0" borderId="32" xfId="28" applyFont="1" applyBorder="1" applyAlignment="1">
      <alignment horizontal="center" vertical="center"/>
    </xf>
    <xf numFmtId="0" fontId="87" fillId="0" borderId="3" xfId="28" applyFont="1" applyBorder="1" applyAlignment="1">
      <alignment horizontal="center" vertical="center"/>
    </xf>
    <xf numFmtId="0" fontId="87" fillId="0" borderId="47" xfId="28" applyFont="1" applyBorder="1" applyAlignment="1">
      <alignment horizontal="center" vertical="center"/>
    </xf>
    <xf numFmtId="0" fontId="19" fillId="0" borderId="13" xfId="28" applyFont="1" applyBorder="1" applyAlignment="1">
      <alignment horizontal="center" vertical="center"/>
    </xf>
    <xf numFmtId="0" fontId="19" fillId="0" borderId="30" xfId="28" applyFont="1" applyBorder="1" applyAlignment="1">
      <alignment horizontal="center" vertical="center"/>
    </xf>
    <xf numFmtId="0" fontId="19" fillId="0" borderId="5" xfId="28" applyFont="1" applyBorder="1" applyAlignment="1">
      <alignment horizontal="center" vertical="center"/>
    </xf>
    <xf numFmtId="0" fontId="87" fillId="0" borderId="34" xfId="28" applyFont="1" applyBorder="1" applyAlignment="1">
      <alignment horizontal="center" vertical="center" wrapText="1"/>
    </xf>
    <xf numFmtId="0" fontId="87" fillId="0" borderId="1" xfId="28" applyFont="1" applyBorder="1" applyAlignment="1">
      <alignment horizontal="center" vertical="center"/>
    </xf>
    <xf numFmtId="0" fontId="87" fillId="0" borderId="46" xfId="28" applyFont="1" applyBorder="1" applyAlignment="1">
      <alignment horizontal="center" vertical="center"/>
    </xf>
    <xf numFmtId="0" fontId="87" fillId="0" borderId="2" xfId="28" applyFont="1" applyBorder="1" applyAlignment="1">
      <alignment horizontal="center" vertical="center" wrapText="1"/>
    </xf>
    <xf numFmtId="0" fontId="87" fillId="0" borderId="4" xfId="28" applyFont="1" applyBorder="1" applyAlignment="1">
      <alignment horizontal="center" vertical="center" wrapText="1"/>
    </xf>
    <xf numFmtId="0" fontId="87" fillId="0" borderId="2" xfId="28" applyFont="1" applyBorder="1" applyAlignment="1">
      <alignment horizontal="center" vertical="center" wrapText="1" shrinkToFit="1"/>
    </xf>
    <xf numFmtId="0" fontId="87" fillId="0" borderId="4" xfId="28" applyFont="1" applyBorder="1" applyAlignment="1">
      <alignment horizontal="center" vertical="center" wrapText="1" shrinkToFit="1"/>
    </xf>
    <xf numFmtId="0" fontId="87" fillId="0" borderId="0" xfId="28" applyFont="1" applyAlignment="1">
      <alignment horizontal="center" vertical="center"/>
    </xf>
    <xf numFmtId="0" fontId="87" fillId="0" borderId="0" xfId="28" applyFont="1" applyAlignment="1">
      <alignment horizontal="center" vertical="center" shrinkToFit="1"/>
    </xf>
    <xf numFmtId="22" fontId="16" fillId="0" borderId="45" xfId="5" applyNumberFormat="1" applyFont="1" applyBorder="1" applyAlignment="1">
      <alignment vertical="center"/>
    </xf>
    <xf numFmtId="0" fontId="43" fillId="0" borderId="45" xfId="5" applyFont="1" applyBorder="1" applyAlignment="1">
      <alignment vertical="center"/>
    </xf>
    <xf numFmtId="38" fontId="39" fillId="0" borderId="0" xfId="15" applyNumberFormat="1" applyFont="1" applyAlignment="1">
      <alignment vertical="center" wrapText="1"/>
    </xf>
    <xf numFmtId="38" fontId="39" fillId="0" borderId="45" xfId="15" applyNumberFormat="1" applyFont="1" applyBorder="1" applyAlignment="1">
      <alignment horizontal="center" vertical="center" wrapText="1"/>
    </xf>
    <xf numFmtId="38" fontId="39" fillId="0" borderId="0" xfId="2" applyFont="1" applyFill="1" applyBorder="1" applyAlignment="1" applyProtection="1">
      <alignment horizontal="right" vertical="center" wrapText="1"/>
    </xf>
    <xf numFmtId="38" fontId="39" fillId="0" borderId="0" xfId="15" applyNumberFormat="1" applyFont="1" applyAlignment="1">
      <alignment horizontal="left" vertical="center" wrapText="1"/>
    </xf>
    <xf numFmtId="38" fontId="85" fillId="0" borderId="0" xfId="15" applyNumberFormat="1" applyFont="1" applyAlignment="1">
      <alignment horizontal="left" vertical="center" wrapText="1"/>
    </xf>
    <xf numFmtId="38" fontId="39" fillId="0" borderId="45" xfId="15" applyNumberFormat="1" applyFont="1" applyBorder="1" applyAlignment="1">
      <alignment horizontal="left" vertical="center" wrapText="1"/>
    </xf>
    <xf numFmtId="38" fontId="39" fillId="0" borderId="0" xfId="15" applyNumberFormat="1" applyFont="1" applyAlignment="1">
      <alignment horizontal="right" vertical="center" wrapText="1"/>
    </xf>
    <xf numFmtId="38" fontId="85" fillId="0" borderId="0" xfId="15" applyNumberFormat="1" applyFont="1" applyAlignment="1">
      <alignment vertical="center" wrapText="1"/>
    </xf>
    <xf numFmtId="38" fontId="50" fillId="0" borderId="34" xfId="5" applyNumberFormat="1" applyFont="1" applyBorder="1" applyAlignment="1">
      <alignment horizontal="left"/>
    </xf>
    <xf numFmtId="38" fontId="50" fillId="0" borderId="32" xfId="5" applyNumberFormat="1" applyFont="1" applyBorder="1" applyAlignment="1">
      <alignment horizontal="left"/>
    </xf>
    <xf numFmtId="0" fontId="24" fillId="0" borderId="0" xfId="1" applyFill="1" applyAlignment="1" applyProtection="1">
      <alignment vertical="center"/>
    </xf>
  </cellXfs>
  <cellStyles count="30">
    <cellStyle name="パーセント 2" xfId="9" xr:uid="{00000000-0005-0000-0000-000000000000}"/>
    <cellStyle name="ハイパーリンク" xfId="1" builtinId="8"/>
    <cellStyle name="桁区切り 2" xfId="2" xr:uid="{00000000-0005-0000-0000-000002000000}"/>
    <cellStyle name="桁区切り 2 2" xfId="3" xr:uid="{00000000-0005-0000-0000-000003000000}"/>
    <cellStyle name="桁区切り 3" xfId="4" xr:uid="{00000000-0005-0000-0000-000004000000}"/>
    <cellStyle name="桁区切り 4" xfId="23" xr:uid="{00000000-0005-0000-0000-000005000000}"/>
    <cellStyle name="桁区切り 5" xfId="25" xr:uid="{00000000-0005-0000-0000-000006000000}"/>
    <cellStyle name="桁区切り 6" xfId="27" xr:uid="{00000000-0005-0000-0000-000007000000}"/>
    <cellStyle name="桁区切り 7" xfId="29" xr:uid="{E75AE967-0416-48C1-B006-4F916ED58653}"/>
    <cellStyle name="通貨 2" xfId="8" xr:uid="{00000000-0005-0000-0000-000008000000}"/>
    <cellStyle name="通貨 3" xfId="10" xr:uid="{00000000-0005-0000-0000-000009000000}"/>
    <cellStyle name="標準" xfId="0" builtinId="0"/>
    <cellStyle name="標準 10" xfId="24" xr:uid="{00000000-0005-0000-0000-00000B000000}"/>
    <cellStyle name="標準 11" xfId="26" xr:uid="{00000000-0005-0000-0000-00000C000000}"/>
    <cellStyle name="標準 12" xfId="28" xr:uid="{1646D31F-2E8D-4F55-AFC1-4362B52D4DFE}"/>
    <cellStyle name="標準 2" xfId="5" xr:uid="{00000000-0005-0000-0000-00000D000000}"/>
    <cellStyle name="標準 2 2" xfId="6" xr:uid="{00000000-0005-0000-0000-00000E000000}"/>
    <cellStyle name="標準 2 2 2" xfId="12" xr:uid="{00000000-0005-0000-0000-00000F000000}"/>
    <cellStyle name="標準 2 3" xfId="11" xr:uid="{00000000-0005-0000-0000-000010000000}"/>
    <cellStyle name="標準 3" xfId="7" xr:uid="{00000000-0005-0000-0000-000011000000}"/>
    <cellStyle name="標準 3 2" xfId="16" xr:uid="{00000000-0005-0000-0000-000012000000}"/>
    <cellStyle name="標準 4" xfId="17" xr:uid="{00000000-0005-0000-0000-000013000000}"/>
    <cellStyle name="標準 5" xfId="18" xr:uid="{00000000-0005-0000-0000-000014000000}"/>
    <cellStyle name="標準 6" xfId="19" xr:uid="{00000000-0005-0000-0000-000015000000}"/>
    <cellStyle name="標準 7" xfId="20" xr:uid="{00000000-0005-0000-0000-000016000000}"/>
    <cellStyle name="標準 8" xfId="21" xr:uid="{00000000-0005-0000-0000-000017000000}"/>
    <cellStyle name="標準 9" xfId="22" xr:uid="{00000000-0005-0000-0000-000018000000}"/>
    <cellStyle name="標準_改正調票集計" xfId="14" xr:uid="{00000000-0005-0000-0000-000019000000}"/>
    <cellStyle name="標準_原稿ｼｰﾄ" xfId="15" xr:uid="{00000000-0005-0000-0000-00001A000000}"/>
    <cellStyle name="未定義" xfId="13" xr:uid="{00000000-0005-0000-0000-00001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0</xdr:rowOff>
    </xdr:from>
    <xdr:to>
      <xdr:col>2</xdr:col>
      <xdr:colOff>9525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F388422-41C9-4BA4-A4DE-6E2C579AAF7A}"/>
            </a:ext>
          </a:extLst>
        </xdr:cNvPr>
        <xdr:cNvSpPr>
          <a:spLocks noChangeShapeType="1"/>
        </xdr:cNvSpPr>
      </xdr:nvSpPr>
      <xdr:spPr bwMode="auto">
        <a:xfrm>
          <a:off x="9525" y="495300"/>
          <a:ext cx="151447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</xdr:row>
      <xdr:rowOff>0</xdr:rowOff>
    </xdr:from>
    <xdr:to>
      <xdr:col>2</xdr:col>
      <xdr:colOff>9525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2F1839A-8D29-4BE7-A4E3-0FAE608D7571}"/>
            </a:ext>
          </a:extLst>
        </xdr:cNvPr>
        <xdr:cNvSpPr>
          <a:spLocks noChangeShapeType="1"/>
        </xdr:cNvSpPr>
      </xdr:nvSpPr>
      <xdr:spPr bwMode="auto">
        <a:xfrm>
          <a:off x="9525" y="495300"/>
          <a:ext cx="151447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27</xdr:row>
      <xdr:rowOff>0</xdr:rowOff>
    </xdr:from>
    <xdr:to>
      <xdr:col>2</xdr:col>
      <xdr:colOff>9525</xdr:colOff>
      <xdr:row>30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3277DD8C-8A3A-4E51-83DB-DFE67A4333AB}"/>
            </a:ext>
          </a:extLst>
        </xdr:cNvPr>
        <xdr:cNvSpPr>
          <a:spLocks noChangeShapeType="1"/>
        </xdr:cNvSpPr>
      </xdr:nvSpPr>
      <xdr:spPr bwMode="auto">
        <a:xfrm>
          <a:off x="9525" y="6572250"/>
          <a:ext cx="151447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27</xdr:row>
      <xdr:rowOff>0</xdr:rowOff>
    </xdr:from>
    <xdr:to>
      <xdr:col>2</xdr:col>
      <xdr:colOff>9525</xdr:colOff>
      <xdr:row>30</xdr:row>
      <xdr:rowOff>0</xdr:rowOff>
    </xdr:to>
    <xdr:sp macro="" textlink="">
      <xdr:nvSpPr>
        <xdr:cNvPr id="5" name="Line 12">
          <a:extLst>
            <a:ext uri="{FF2B5EF4-FFF2-40B4-BE49-F238E27FC236}">
              <a16:creationId xmlns:a16="http://schemas.microsoft.com/office/drawing/2014/main" id="{7AB566A1-E61B-4EF9-9B63-C951637F8BE7}"/>
            </a:ext>
          </a:extLst>
        </xdr:cNvPr>
        <xdr:cNvSpPr>
          <a:spLocks noChangeShapeType="1"/>
        </xdr:cNvSpPr>
      </xdr:nvSpPr>
      <xdr:spPr bwMode="auto">
        <a:xfrm>
          <a:off x="9525" y="6572250"/>
          <a:ext cx="151447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27</xdr:row>
      <xdr:rowOff>0</xdr:rowOff>
    </xdr:from>
    <xdr:to>
      <xdr:col>2</xdr:col>
      <xdr:colOff>9525</xdr:colOff>
      <xdr:row>30</xdr:row>
      <xdr:rowOff>0</xdr:rowOff>
    </xdr:to>
    <xdr:sp macro="" textlink="">
      <xdr:nvSpPr>
        <xdr:cNvPr id="6" name="Line 13">
          <a:extLst>
            <a:ext uri="{FF2B5EF4-FFF2-40B4-BE49-F238E27FC236}">
              <a16:creationId xmlns:a16="http://schemas.microsoft.com/office/drawing/2014/main" id="{1E6E4414-AB99-4269-988A-6CD3DE04DDE6}"/>
            </a:ext>
          </a:extLst>
        </xdr:cNvPr>
        <xdr:cNvSpPr>
          <a:spLocks noChangeShapeType="1"/>
        </xdr:cNvSpPr>
      </xdr:nvSpPr>
      <xdr:spPr bwMode="auto">
        <a:xfrm>
          <a:off x="9525" y="6572250"/>
          <a:ext cx="151447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8E15E16-550A-4176-B918-DB8F50F12853}"/>
            </a:ext>
          </a:extLst>
        </xdr:cNvPr>
        <xdr:cNvSpPr>
          <a:spLocks noChangeShapeType="1"/>
        </xdr:cNvSpPr>
      </xdr:nvSpPr>
      <xdr:spPr bwMode="auto">
        <a:xfrm>
          <a:off x="9525" y="200025"/>
          <a:ext cx="1381125" cy="476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25</xdr:row>
      <xdr:rowOff>9525</xdr:rowOff>
    </xdr:from>
    <xdr:to>
      <xdr:col>1</xdr:col>
      <xdr:colOff>0</xdr:colOff>
      <xdr:row>28</xdr:row>
      <xdr:rowOff>0</xdr:rowOff>
    </xdr:to>
    <xdr:sp macro="" textlink="">
      <xdr:nvSpPr>
        <xdr:cNvPr id="3" name="Freeform 2">
          <a:extLst>
            <a:ext uri="{FF2B5EF4-FFF2-40B4-BE49-F238E27FC236}">
              <a16:creationId xmlns:a16="http://schemas.microsoft.com/office/drawing/2014/main" id="{FEA2EBFC-259D-478A-9221-F6D0192E2B92}"/>
            </a:ext>
          </a:extLst>
        </xdr:cNvPr>
        <xdr:cNvSpPr>
          <a:spLocks/>
        </xdr:cNvSpPr>
      </xdr:nvSpPr>
      <xdr:spPr bwMode="auto">
        <a:xfrm>
          <a:off x="9525" y="4086225"/>
          <a:ext cx="1381125" cy="476250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34671A9C-40BF-4EC5-A4A0-F492CF234E61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27</xdr:row>
      <xdr:rowOff>9525</xdr:rowOff>
    </xdr:from>
    <xdr:to>
      <xdr:col>1</xdr:col>
      <xdr:colOff>0</xdr:colOff>
      <xdr:row>31</xdr:row>
      <xdr:rowOff>0</xdr:rowOff>
    </xdr:to>
    <xdr:sp macro="" textlink="">
      <xdr:nvSpPr>
        <xdr:cNvPr id="3" name="Freeform 4">
          <a:extLst>
            <a:ext uri="{FF2B5EF4-FFF2-40B4-BE49-F238E27FC236}">
              <a16:creationId xmlns:a16="http://schemas.microsoft.com/office/drawing/2014/main" id="{6B8A9B79-6007-4D1B-8879-6E233806C838}"/>
            </a:ext>
          </a:extLst>
        </xdr:cNvPr>
        <xdr:cNvSpPr>
          <a:spLocks/>
        </xdr:cNvSpPr>
      </xdr:nvSpPr>
      <xdr:spPr bwMode="auto">
        <a:xfrm>
          <a:off x="9525" y="4438650"/>
          <a:ext cx="13811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27</xdr:row>
      <xdr:rowOff>9525</xdr:rowOff>
    </xdr:from>
    <xdr:to>
      <xdr:col>1</xdr:col>
      <xdr:colOff>9525</xdr:colOff>
      <xdr:row>31</xdr:row>
      <xdr:rowOff>0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2E004056-8A53-4C37-B490-061C74D3E272}"/>
            </a:ext>
          </a:extLst>
        </xdr:cNvPr>
        <xdr:cNvSpPr>
          <a:spLocks noChangeShapeType="1"/>
        </xdr:cNvSpPr>
      </xdr:nvSpPr>
      <xdr:spPr bwMode="auto">
        <a:xfrm>
          <a:off x="19050" y="4438650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21561DDD-14C9-4FFF-B5D6-8050C1E20B95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27</xdr:row>
      <xdr:rowOff>9525</xdr:rowOff>
    </xdr:from>
    <xdr:to>
      <xdr:col>1</xdr:col>
      <xdr:colOff>0</xdr:colOff>
      <xdr:row>31</xdr:row>
      <xdr:rowOff>0</xdr:rowOff>
    </xdr:to>
    <xdr:sp macro="" textlink="">
      <xdr:nvSpPr>
        <xdr:cNvPr id="6" name="Freeform 7">
          <a:extLst>
            <a:ext uri="{FF2B5EF4-FFF2-40B4-BE49-F238E27FC236}">
              <a16:creationId xmlns:a16="http://schemas.microsoft.com/office/drawing/2014/main" id="{4248B16E-FE3C-4ED9-B9FB-E892A8798E88}"/>
            </a:ext>
          </a:extLst>
        </xdr:cNvPr>
        <xdr:cNvSpPr>
          <a:spLocks/>
        </xdr:cNvSpPr>
      </xdr:nvSpPr>
      <xdr:spPr bwMode="auto">
        <a:xfrm>
          <a:off x="9525" y="4438650"/>
          <a:ext cx="13811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27</xdr:row>
      <xdr:rowOff>9525</xdr:rowOff>
    </xdr:from>
    <xdr:to>
      <xdr:col>1</xdr:col>
      <xdr:colOff>9525</xdr:colOff>
      <xdr:row>31</xdr:row>
      <xdr:rowOff>0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CBB6EEB1-D9DC-4101-8821-8F2AED63C689}"/>
            </a:ext>
          </a:extLst>
        </xdr:cNvPr>
        <xdr:cNvSpPr>
          <a:spLocks noChangeShapeType="1"/>
        </xdr:cNvSpPr>
      </xdr:nvSpPr>
      <xdr:spPr bwMode="auto">
        <a:xfrm>
          <a:off x="19050" y="4438650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78925B92-CFE9-488F-94A7-A4716C13369F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27</xdr:row>
      <xdr:rowOff>9525</xdr:rowOff>
    </xdr:from>
    <xdr:to>
      <xdr:col>1</xdr:col>
      <xdr:colOff>0</xdr:colOff>
      <xdr:row>31</xdr:row>
      <xdr:rowOff>0</xdr:rowOff>
    </xdr:to>
    <xdr:sp macro="" textlink="">
      <xdr:nvSpPr>
        <xdr:cNvPr id="9" name="Freeform 10">
          <a:extLst>
            <a:ext uri="{FF2B5EF4-FFF2-40B4-BE49-F238E27FC236}">
              <a16:creationId xmlns:a16="http://schemas.microsoft.com/office/drawing/2014/main" id="{D4591D64-677E-4EE9-8C2C-E7ECF31E23BF}"/>
            </a:ext>
          </a:extLst>
        </xdr:cNvPr>
        <xdr:cNvSpPr>
          <a:spLocks/>
        </xdr:cNvSpPr>
      </xdr:nvSpPr>
      <xdr:spPr bwMode="auto">
        <a:xfrm>
          <a:off x="9525" y="4438650"/>
          <a:ext cx="13811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27</xdr:row>
      <xdr:rowOff>9525</xdr:rowOff>
    </xdr:from>
    <xdr:to>
      <xdr:col>1</xdr:col>
      <xdr:colOff>9525</xdr:colOff>
      <xdr:row>31</xdr:row>
      <xdr:rowOff>0</xdr:rowOff>
    </xdr:to>
    <xdr:sp macro="" textlink="">
      <xdr:nvSpPr>
        <xdr:cNvPr id="10" name="Line 11">
          <a:extLst>
            <a:ext uri="{FF2B5EF4-FFF2-40B4-BE49-F238E27FC236}">
              <a16:creationId xmlns:a16="http://schemas.microsoft.com/office/drawing/2014/main" id="{0F4EDB5F-208D-44EE-932D-06EE381BD61A}"/>
            </a:ext>
          </a:extLst>
        </xdr:cNvPr>
        <xdr:cNvSpPr>
          <a:spLocks noChangeShapeType="1"/>
        </xdr:cNvSpPr>
      </xdr:nvSpPr>
      <xdr:spPr bwMode="auto">
        <a:xfrm>
          <a:off x="19050" y="4438650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11" name="Line 12">
          <a:extLst>
            <a:ext uri="{FF2B5EF4-FFF2-40B4-BE49-F238E27FC236}">
              <a16:creationId xmlns:a16="http://schemas.microsoft.com/office/drawing/2014/main" id="{223A96F2-DE22-461F-A155-CA3508F8BD55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27</xdr:row>
      <xdr:rowOff>9525</xdr:rowOff>
    </xdr:from>
    <xdr:to>
      <xdr:col>1</xdr:col>
      <xdr:colOff>0</xdr:colOff>
      <xdr:row>31</xdr:row>
      <xdr:rowOff>0</xdr:rowOff>
    </xdr:to>
    <xdr:sp macro="" textlink="">
      <xdr:nvSpPr>
        <xdr:cNvPr id="12" name="Freeform 13">
          <a:extLst>
            <a:ext uri="{FF2B5EF4-FFF2-40B4-BE49-F238E27FC236}">
              <a16:creationId xmlns:a16="http://schemas.microsoft.com/office/drawing/2014/main" id="{39D9701F-E2E8-4E5E-AA9E-5724E19AB817}"/>
            </a:ext>
          </a:extLst>
        </xdr:cNvPr>
        <xdr:cNvSpPr>
          <a:spLocks/>
        </xdr:cNvSpPr>
      </xdr:nvSpPr>
      <xdr:spPr bwMode="auto">
        <a:xfrm>
          <a:off x="9525" y="4438650"/>
          <a:ext cx="13811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27</xdr:row>
      <xdr:rowOff>9525</xdr:rowOff>
    </xdr:from>
    <xdr:to>
      <xdr:col>1</xdr:col>
      <xdr:colOff>9525</xdr:colOff>
      <xdr:row>31</xdr:row>
      <xdr:rowOff>0</xdr:rowOff>
    </xdr:to>
    <xdr:sp macro="" textlink="">
      <xdr:nvSpPr>
        <xdr:cNvPr id="13" name="Line 14">
          <a:extLst>
            <a:ext uri="{FF2B5EF4-FFF2-40B4-BE49-F238E27FC236}">
              <a16:creationId xmlns:a16="http://schemas.microsoft.com/office/drawing/2014/main" id="{0803B8BF-63D3-4E96-A7C4-2C4C24329636}"/>
            </a:ext>
          </a:extLst>
        </xdr:cNvPr>
        <xdr:cNvSpPr>
          <a:spLocks noChangeShapeType="1"/>
        </xdr:cNvSpPr>
      </xdr:nvSpPr>
      <xdr:spPr bwMode="auto">
        <a:xfrm>
          <a:off x="19050" y="4438650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14" name="Line 15">
          <a:extLst>
            <a:ext uri="{FF2B5EF4-FFF2-40B4-BE49-F238E27FC236}">
              <a16:creationId xmlns:a16="http://schemas.microsoft.com/office/drawing/2014/main" id="{68F0E8BF-2483-469E-ACED-2823FA0719C5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27</xdr:row>
      <xdr:rowOff>9525</xdr:rowOff>
    </xdr:from>
    <xdr:to>
      <xdr:col>1</xdr:col>
      <xdr:colOff>0</xdr:colOff>
      <xdr:row>31</xdr:row>
      <xdr:rowOff>0</xdr:rowOff>
    </xdr:to>
    <xdr:sp macro="" textlink="">
      <xdr:nvSpPr>
        <xdr:cNvPr id="15" name="Freeform 16">
          <a:extLst>
            <a:ext uri="{FF2B5EF4-FFF2-40B4-BE49-F238E27FC236}">
              <a16:creationId xmlns:a16="http://schemas.microsoft.com/office/drawing/2014/main" id="{F31D353C-6003-45E0-AEF0-7B16778F11D2}"/>
            </a:ext>
          </a:extLst>
        </xdr:cNvPr>
        <xdr:cNvSpPr>
          <a:spLocks/>
        </xdr:cNvSpPr>
      </xdr:nvSpPr>
      <xdr:spPr bwMode="auto">
        <a:xfrm>
          <a:off x="9525" y="4438650"/>
          <a:ext cx="13811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27</xdr:row>
      <xdr:rowOff>9525</xdr:rowOff>
    </xdr:from>
    <xdr:to>
      <xdr:col>1</xdr:col>
      <xdr:colOff>9525</xdr:colOff>
      <xdr:row>31</xdr:row>
      <xdr:rowOff>0</xdr:rowOff>
    </xdr:to>
    <xdr:sp macro="" textlink="">
      <xdr:nvSpPr>
        <xdr:cNvPr id="16" name="Line 17">
          <a:extLst>
            <a:ext uri="{FF2B5EF4-FFF2-40B4-BE49-F238E27FC236}">
              <a16:creationId xmlns:a16="http://schemas.microsoft.com/office/drawing/2014/main" id="{7DA94567-F84A-4B5C-BAD8-E59B074A3A48}"/>
            </a:ext>
          </a:extLst>
        </xdr:cNvPr>
        <xdr:cNvSpPr>
          <a:spLocks noChangeShapeType="1"/>
        </xdr:cNvSpPr>
      </xdr:nvSpPr>
      <xdr:spPr bwMode="auto">
        <a:xfrm>
          <a:off x="19050" y="4438650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17" name="Line 18">
          <a:extLst>
            <a:ext uri="{FF2B5EF4-FFF2-40B4-BE49-F238E27FC236}">
              <a16:creationId xmlns:a16="http://schemas.microsoft.com/office/drawing/2014/main" id="{AF477CBA-A604-4BE7-AF3A-A55FF6DC07E5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27</xdr:row>
      <xdr:rowOff>9525</xdr:rowOff>
    </xdr:from>
    <xdr:to>
      <xdr:col>1</xdr:col>
      <xdr:colOff>0</xdr:colOff>
      <xdr:row>31</xdr:row>
      <xdr:rowOff>0</xdr:rowOff>
    </xdr:to>
    <xdr:sp macro="" textlink="">
      <xdr:nvSpPr>
        <xdr:cNvPr id="18" name="Freeform 19">
          <a:extLst>
            <a:ext uri="{FF2B5EF4-FFF2-40B4-BE49-F238E27FC236}">
              <a16:creationId xmlns:a16="http://schemas.microsoft.com/office/drawing/2014/main" id="{E1020478-9000-442E-ACDD-FB11A90F5C36}"/>
            </a:ext>
          </a:extLst>
        </xdr:cNvPr>
        <xdr:cNvSpPr>
          <a:spLocks/>
        </xdr:cNvSpPr>
      </xdr:nvSpPr>
      <xdr:spPr bwMode="auto">
        <a:xfrm>
          <a:off x="9525" y="4438650"/>
          <a:ext cx="13811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27</xdr:row>
      <xdr:rowOff>9525</xdr:rowOff>
    </xdr:from>
    <xdr:to>
      <xdr:col>1</xdr:col>
      <xdr:colOff>9525</xdr:colOff>
      <xdr:row>31</xdr:row>
      <xdr:rowOff>0</xdr:rowOff>
    </xdr:to>
    <xdr:sp macro="" textlink="">
      <xdr:nvSpPr>
        <xdr:cNvPr id="19" name="Line 20">
          <a:extLst>
            <a:ext uri="{FF2B5EF4-FFF2-40B4-BE49-F238E27FC236}">
              <a16:creationId xmlns:a16="http://schemas.microsoft.com/office/drawing/2014/main" id="{A6E0A784-84DC-4692-AFB5-61F5C0616E86}"/>
            </a:ext>
          </a:extLst>
        </xdr:cNvPr>
        <xdr:cNvSpPr>
          <a:spLocks noChangeShapeType="1"/>
        </xdr:cNvSpPr>
      </xdr:nvSpPr>
      <xdr:spPr bwMode="auto">
        <a:xfrm>
          <a:off x="19050" y="4438650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0" name="Line 21">
          <a:extLst>
            <a:ext uri="{FF2B5EF4-FFF2-40B4-BE49-F238E27FC236}">
              <a16:creationId xmlns:a16="http://schemas.microsoft.com/office/drawing/2014/main" id="{C4762D22-9FFE-4439-B3EC-E82367368D64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27</xdr:row>
      <xdr:rowOff>9525</xdr:rowOff>
    </xdr:from>
    <xdr:to>
      <xdr:col>1</xdr:col>
      <xdr:colOff>0</xdr:colOff>
      <xdr:row>31</xdr:row>
      <xdr:rowOff>0</xdr:rowOff>
    </xdr:to>
    <xdr:sp macro="" textlink="">
      <xdr:nvSpPr>
        <xdr:cNvPr id="21" name="Freeform 22">
          <a:extLst>
            <a:ext uri="{FF2B5EF4-FFF2-40B4-BE49-F238E27FC236}">
              <a16:creationId xmlns:a16="http://schemas.microsoft.com/office/drawing/2014/main" id="{0933527A-DD18-4C59-B170-0F3365240696}"/>
            </a:ext>
          </a:extLst>
        </xdr:cNvPr>
        <xdr:cNvSpPr>
          <a:spLocks/>
        </xdr:cNvSpPr>
      </xdr:nvSpPr>
      <xdr:spPr bwMode="auto">
        <a:xfrm>
          <a:off x="9525" y="4438650"/>
          <a:ext cx="13811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27</xdr:row>
      <xdr:rowOff>9525</xdr:rowOff>
    </xdr:from>
    <xdr:to>
      <xdr:col>1</xdr:col>
      <xdr:colOff>9525</xdr:colOff>
      <xdr:row>31</xdr:row>
      <xdr:rowOff>0</xdr:rowOff>
    </xdr:to>
    <xdr:sp macro="" textlink="">
      <xdr:nvSpPr>
        <xdr:cNvPr id="22" name="Line 23">
          <a:extLst>
            <a:ext uri="{FF2B5EF4-FFF2-40B4-BE49-F238E27FC236}">
              <a16:creationId xmlns:a16="http://schemas.microsoft.com/office/drawing/2014/main" id="{5E18BC51-7216-4F4D-9839-A50FB7F1E4BB}"/>
            </a:ext>
          </a:extLst>
        </xdr:cNvPr>
        <xdr:cNvSpPr>
          <a:spLocks noChangeShapeType="1"/>
        </xdr:cNvSpPr>
      </xdr:nvSpPr>
      <xdr:spPr bwMode="auto">
        <a:xfrm>
          <a:off x="19050" y="4438650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3" name="Line 24">
          <a:extLst>
            <a:ext uri="{FF2B5EF4-FFF2-40B4-BE49-F238E27FC236}">
              <a16:creationId xmlns:a16="http://schemas.microsoft.com/office/drawing/2014/main" id="{8DD9F7DE-0310-403E-853D-3128098A0C36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27</xdr:row>
      <xdr:rowOff>9525</xdr:rowOff>
    </xdr:from>
    <xdr:to>
      <xdr:col>1</xdr:col>
      <xdr:colOff>0</xdr:colOff>
      <xdr:row>31</xdr:row>
      <xdr:rowOff>0</xdr:rowOff>
    </xdr:to>
    <xdr:sp macro="" textlink="">
      <xdr:nvSpPr>
        <xdr:cNvPr id="24" name="Freeform 25">
          <a:extLst>
            <a:ext uri="{FF2B5EF4-FFF2-40B4-BE49-F238E27FC236}">
              <a16:creationId xmlns:a16="http://schemas.microsoft.com/office/drawing/2014/main" id="{C12AEA16-BDA1-434D-9191-69C10E20CFB7}"/>
            </a:ext>
          </a:extLst>
        </xdr:cNvPr>
        <xdr:cNvSpPr>
          <a:spLocks/>
        </xdr:cNvSpPr>
      </xdr:nvSpPr>
      <xdr:spPr bwMode="auto">
        <a:xfrm>
          <a:off x="9525" y="4438650"/>
          <a:ext cx="13811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27</xdr:row>
      <xdr:rowOff>9525</xdr:rowOff>
    </xdr:from>
    <xdr:to>
      <xdr:col>1</xdr:col>
      <xdr:colOff>9525</xdr:colOff>
      <xdr:row>31</xdr:row>
      <xdr:rowOff>0</xdr:rowOff>
    </xdr:to>
    <xdr:sp macro="" textlink="">
      <xdr:nvSpPr>
        <xdr:cNvPr id="25" name="Line 26">
          <a:extLst>
            <a:ext uri="{FF2B5EF4-FFF2-40B4-BE49-F238E27FC236}">
              <a16:creationId xmlns:a16="http://schemas.microsoft.com/office/drawing/2014/main" id="{B242025E-8CEF-4640-BD11-AE6B06BC265E}"/>
            </a:ext>
          </a:extLst>
        </xdr:cNvPr>
        <xdr:cNvSpPr>
          <a:spLocks noChangeShapeType="1"/>
        </xdr:cNvSpPr>
      </xdr:nvSpPr>
      <xdr:spPr bwMode="auto">
        <a:xfrm>
          <a:off x="19050" y="4438650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6" name="Line 27">
          <a:extLst>
            <a:ext uri="{FF2B5EF4-FFF2-40B4-BE49-F238E27FC236}">
              <a16:creationId xmlns:a16="http://schemas.microsoft.com/office/drawing/2014/main" id="{C86390B3-EE67-404A-9325-4D20A37C50A9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27</xdr:row>
      <xdr:rowOff>9525</xdr:rowOff>
    </xdr:from>
    <xdr:to>
      <xdr:col>1</xdr:col>
      <xdr:colOff>0</xdr:colOff>
      <xdr:row>31</xdr:row>
      <xdr:rowOff>0</xdr:rowOff>
    </xdr:to>
    <xdr:sp macro="" textlink="">
      <xdr:nvSpPr>
        <xdr:cNvPr id="27" name="Freeform 28">
          <a:extLst>
            <a:ext uri="{FF2B5EF4-FFF2-40B4-BE49-F238E27FC236}">
              <a16:creationId xmlns:a16="http://schemas.microsoft.com/office/drawing/2014/main" id="{EF46D374-8A14-4B0D-9ACB-EB090D48624E}"/>
            </a:ext>
          </a:extLst>
        </xdr:cNvPr>
        <xdr:cNvSpPr>
          <a:spLocks/>
        </xdr:cNvSpPr>
      </xdr:nvSpPr>
      <xdr:spPr bwMode="auto">
        <a:xfrm>
          <a:off x="9525" y="4438650"/>
          <a:ext cx="13811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27</xdr:row>
      <xdr:rowOff>9525</xdr:rowOff>
    </xdr:from>
    <xdr:to>
      <xdr:col>1</xdr:col>
      <xdr:colOff>9525</xdr:colOff>
      <xdr:row>31</xdr:row>
      <xdr:rowOff>0</xdr:rowOff>
    </xdr:to>
    <xdr:sp macro="" textlink="">
      <xdr:nvSpPr>
        <xdr:cNvPr id="28" name="Line 29">
          <a:extLst>
            <a:ext uri="{FF2B5EF4-FFF2-40B4-BE49-F238E27FC236}">
              <a16:creationId xmlns:a16="http://schemas.microsoft.com/office/drawing/2014/main" id="{80740218-E425-4AF7-B3E8-5874E7CFD2AA}"/>
            </a:ext>
          </a:extLst>
        </xdr:cNvPr>
        <xdr:cNvSpPr>
          <a:spLocks noChangeShapeType="1"/>
        </xdr:cNvSpPr>
      </xdr:nvSpPr>
      <xdr:spPr bwMode="auto">
        <a:xfrm>
          <a:off x="19050" y="4438650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9" name="Line 30">
          <a:extLst>
            <a:ext uri="{FF2B5EF4-FFF2-40B4-BE49-F238E27FC236}">
              <a16:creationId xmlns:a16="http://schemas.microsoft.com/office/drawing/2014/main" id="{E75C4D13-E9D6-4135-A9E1-14C99E00F186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27</xdr:row>
      <xdr:rowOff>9525</xdr:rowOff>
    </xdr:from>
    <xdr:to>
      <xdr:col>1</xdr:col>
      <xdr:colOff>0</xdr:colOff>
      <xdr:row>31</xdr:row>
      <xdr:rowOff>0</xdr:rowOff>
    </xdr:to>
    <xdr:sp macro="" textlink="">
      <xdr:nvSpPr>
        <xdr:cNvPr id="30" name="Freeform 31">
          <a:extLst>
            <a:ext uri="{FF2B5EF4-FFF2-40B4-BE49-F238E27FC236}">
              <a16:creationId xmlns:a16="http://schemas.microsoft.com/office/drawing/2014/main" id="{2169D864-EAF0-4EF8-896A-106918F2FF7B}"/>
            </a:ext>
          </a:extLst>
        </xdr:cNvPr>
        <xdr:cNvSpPr>
          <a:spLocks/>
        </xdr:cNvSpPr>
      </xdr:nvSpPr>
      <xdr:spPr bwMode="auto">
        <a:xfrm>
          <a:off x="9525" y="4438650"/>
          <a:ext cx="13811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27</xdr:row>
      <xdr:rowOff>9525</xdr:rowOff>
    </xdr:from>
    <xdr:to>
      <xdr:col>1</xdr:col>
      <xdr:colOff>9525</xdr:colOff>
      <xdr:row>31</xdr:row>
      <xdr:rowOff>0</xdr:rowOff>
    </xdr:to>
    <xdr:sp macro="" textlink="">
      <xdr:nvSpPr>
        <xdr:cNvPr id="31" name="Line 32">
          <a:extLst>
            <a:ext uri="{FF2B5EF4-FFF2-40B4-BE49-F238E27FC236}">
              <a16:creationId xmlns:a16="http://schemas.microsoft.com/office/drawing/2014/main" id="{7DC81D1B-9F83-471F-B024-6D6F886D4562}"/>
            </a:ext>
          </a:extLst>
        </xdr:cNvPr>
        <xdr:cNvSpPr>
          <a:spLocks noChangeShapeType="1"/>
        </xdr:cNvSpPr>
      </xdr:nvSpPr>
      <xdr:spPr bwMode="auto">
        <a:xfrm>
          <a:off x="19050" y="4438650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32" name="Line 33">
          <a:extLst>
            <a:ext uri="{FF2B5EF4-FFF2-40B4-BE49-F238E27FC236}">
              <a16:creationId xmlns:a16="http://schemas.microsoft.com/office/drawing/2014/main" id="{A01AE441-E2C8-45FA-9824-6FDB2931F42C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27</xdr:row>
      <xdr:rowOff>9525</xdr:rowOff>
    </xdr:from>
    <xdr:to>
      <xdr:col>1</xdr:col>
      <xdr:colOff>0</xdr:colOff>
      <xdr:row>31</xdr:row>
      <xdr:rowOff>0</xdr:rowOff>
    </xdr:to>
    <xdr:sp macro="" textlink="">
      <xdr:nvSpPr>
        <xdr:cNvPr id="33" name="Freeform 34">
          <a:extLst>
            <a:ext uri="{FF2B5EF4-FFF2-40B4-BE49-F238E27FC236}">
              <a16:creationId xmlns:a16="http://schemas.microsoft.com/office/drawing/2014/main" id="{CD38D024-2346-4651-8CAB-39D08B4D990B}"/>
            </a:ext>
          </a:extLst>
        </xdr:cNvPr>
        <xdr:cNvSpPr>
          <a:spLocks/>
        </xdr:cNvSpPr>
      </xdr:nvSpPr>
      <xdr:spPr bwMode="auto">
        <a:xfrm>
          <a:off x="9525" y="4438650"/>
          <a:ext cx="13811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27</xdr:row>
      <xdr:rowOff>9525</xdr:rowOff>
    </xdr:from>
    <xdr:to>
      <xdr:col>1</xdr:col>
      <xdr:colOff>9525</xdr:colOff>
      <xdr:row>31</xdr:row>
      <xdr:rowOff>0</xdr:rowOff>
    </xdr:to>
    <xdr:sp macro="" textlink="">
      <xdr:nvSpPr>
        <xdr:cNvPr id="34" name="Line 35">
          <a:extLst>
            <a:ext uri="{FF2B5EF4-FFF2-40B4-BE49-F238E27FC236}">
              <a16:creationId xmlns:a16="http://schemas.microsoft.com/office/drawing/2014/main" id="{E979ABA5-C4C8-408E-A864-EF45521B70BF}"/>
            </a:ext>
          </a:extLst>
        </xdr:cNvPr>
        <xdr:cNvSpPr>
          <a:spLocks noChangeShapeType="1"/>
        </xdr:cNvSpPr>
      </xdr:nvSpPr>
      <xdr:spPr bwMode="auto">
        <a:xfrm>
          <a:off x="19050" y="4438650"/>
          <a:ext cx="13811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Y43"/>
  <sheetViews>
    <sheetView tabSelected="1" zoomScaleNormal="100" zoomScaleSheetLayoutView="100" workbookViewId="0">
      <selection activeCell="B1" sqref="B1"/>
    </sheetView>
  </sheetViews>
  <sheetFormatPr defaultRowHeight="13.5" x14ac:dyDescent="0.15"/>
  <cols>
    <col min="1" max="1" width="2" customWidth="1"/>
    <col min="2" max="5" width="3" customWidth="1"/>
    <col min="6" max="10" width="3.875" customWidth="1"/>
  </cols>
  <sheetData>
    <row r="1" spans="2:24" ht="31.5" customHeight="1" x14ac:dyDescent="0.15">
      <c r="B1" s="7" t="s">
        <v>817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1"/>
      <c r="S1" s="1"/>
      <c r="T1" s="1"/>
      <c r="U1" s="1"/>
      <c r="V1" s="1"/>
      <c r="W1" s="1"/>
      <c r="X1" s="1"/>
    </row>
    <row r="2" spans="2:24" ht="14.25" x14ac:dyDescent="0.15">
      <c r="B2" s="9" t="s">
        <v>5</v>
      </c>
    </row>
    <row r="3" spans="2:24" ht="22.5" customHeight="1" x14ac:dyDescent="0.15">
      <c r="B3" s="2" t="s">
        <v>6</v>
      </c>
    </row>
    <row r="4" spans="2:24" s="3" customFormat="1" ht="14.25" x14ac:dyDescent="0.15">
      <c r="C4" s="3" t="s">
        <v>7</v>
      </c>
    </row>
    <row r="5" spans="2:24" s="3" customFormat="1" ht="14.25" x14ac:dyDescent="0.15">
      <c r="D5" s="4" t="s">
        <v>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24" s="3" customFormat="1" ht="14.25" x14ac:dyDescent="0.15">
      <c r="D6" s="4" t="s">
        <v>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2:24" s="3" customFormat="1" ht="14.25" x14ac:dyDescent="0.15">
      <c r="D7" s="4" t="s">
        <v>54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2:24" s="3" customFormat="1" ht="14.25" x14ac:dyDescent="0.15">
      <c r="D8" s="3" t="s">
        <v>512</v>
      </c>
    </row>
    <row r="9" spans="2:24" s="3" customFormat="1" ht="14.25" x14ac:dyDescent="0.15">
      <c r="D9" s="4"/>
      <c r="E9" s="4" t="s">
        <v>678</v>
      </c>
      <c r="F9" s="4"/>
      <c r="G9" s="4"/>
      <c r="H9" s="4"/>
      <c r="I9" s="4"/>
      <c r="J9" s="4"/>
      <c r="K9" s="4"/>
      <c r="L9" s="4"/>
      <c r="M9" s="4"/>
      <c r="N9" s="4"/>
    </row>
    <row r="10" spans="2:24" s="3" customFormat="1" ht="14.25" x14ac:dyDescent="0.15">
      <c r="D10" s="4"/>
      <c r="E10" s="4" t="s">
        <v>679</v>
      </c>
      <c r="F10" s="4"/>
      <c r="G10" s="4"/>
      <c r="H10" s="4"/>
      <c r="I10" s="4"/>
      <c r="J10" s="4"/>
      <c r="K10" s="4"/>
      <c r="L10" s="4"/>
      <c r="M10" s="4"/>
      <c r="N10" s="4"/>
    </row>
    <row r="11" spans="2:24" s="3" customFormat="1" ht="14.25" x14ac:dyDescent="0.15">
      <c r="C11" s="3" t="s">
        <v>9</v>
      </c>
    </row>
    <row r="12" spans="2:24" s="3" customFormat="1" ht="14.25" x14ac:dyDescent="0.15">
      <c r="D12" s="3" t="s">
        <v>0</v>
      </c>
    </row>
    <row r="13" spans="2:24" s="3" customFormat="1" ht="14.25" x14ac:dyDescent="0.15">
      <c r="E13" s="18" t="s">
        <v>818</v>
      </c>
      <c r="F13" s="4"/>
      <c r="G13" s="4"/>
      <c r="H13" s="4"/>
      <c r="I13" s="4"/>
      <c r="J13" s="4"/>
      <c r="K13" s="4"/>
    </row>
    <row r="14" spans="2:24" s="3" customFormat="1" ht="14.25" x14ac:dyDescent="0.15">
      <c r="E14" s="18" t="s">
        <v>819</v>
      </c>
      <c r="F14" s="4"/>
      <c r="G14" s="4"/>
      <c r="H14" s="4"/>
      <c r="I14" s="4"/>
      <c r="J14" s="4"/>
      <c r="K14" s="4"/>
    </row>
    <row r="15" spans="2:24" s="3" customFormat="1" ht="14.25" x14ac:dyDescent="0.15">
      <c r="D15" s="3" t="s">
        <v>3</v>
      </c>
    </row>
    <row r="16" spans="2:24" s="3" customFormat="1" ht="14.25" x14ac:dyDescent="0.15">
      <c r="E16" s="18" t="s">
        <v>820</v>
      </c>
      <c r="F16" s="18"/>
      <c r="G16" s="18"/>
      <c r="H16" s="18"/>
      <c r="I16" s="18"/>
      <c r="J16" s="18"/>
      <c r="K16" s="4"/>
    </row>
    <row r="17" spans="2:25" s="3" customFormat="1" ht="14.25" x14ac:dyDescent="0.15">
      <c r="E17" s="18" t="s">
        <v>821</v>
      </c>
      <c r="F17" s="18"/>
      <c r="G17" s="18"/>
      <c r="H17" s="18"/>
      <c r="I17" s="18"/>
      <c r="J17" s="18"/>
      <c r="K17" s="18"/>
    </row>
    <row r="18" spans="2:25" s="3" customFormat="1" ht="14.25" x14ac:dyDescent="0.15">
      <c r="D18" s="4" t="s">
        <v>680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19"/>
    </row>
    <row r="19" spans="2:25" s="3" customFormat="1" ht="14.25" x14ac:dyDescent="0.15">
      <c r="D19" s="3" t="s">
        <v>816</v>
      </c>
    </row>
    <row r="20" spans="2:25" s="3" customFormat="1" ht="14.25" x14ac:dyDescent="0.15">
      <c r="D20" s="5"/>
      <c r="E20" s="4" t="s">
        <v>1</v>
      </c>
      <c r="F20" s="4"/>
      <c r="G20" s="4"/>
      <c r="H20" s="4"/>
      <c r="I20" s="4"/>
      <c r="J20" s="4"/>
      <c r="K20" s="4"/>
    </row>
    <row r="21" spans="2:25" s="3" customFormat="1" ht="14.25" x14ac:dyDescent="0.15">
      <c r="D21" s="5"/>
      <c r="E21" s="19" t="s">
        <v>155</v>
      </c>
      <c r="F21" s="4"/>
      <c r="G21" s="4"/>
      <c r="H21" s="4"/>
      <c r="I21" s="4"/>
      <c r="J21" s="4"/>
      <c r="K21" s="4"/>
      <c r="L21" s="4"/>
      <c r="M21" s="4"/>
      <c r="N21" s="4"/>
    </row>
    <row r="22" spans="2:25" s="3" customFormat="1" ht="14.25" x14ac:dyDescent="0.15">
      <c r="D22" s="5"/>
      <c r="E22" s="4" t="s">
        <v>2</v>
      </c>
      <c r="F22" s="4"/>
      <c r="G22" s="4"/>
      <c r="H22" s="4"/>
      <c r="I22" s="4"/>
      <c r="J22" s="4"/>
      <c r="K22" s="4"/>
    </row>
    <row r="23" spans="2:25" s="3" customFormat="1" ht="14.25" x14ac:dyDescent="0.15">
      <c r="D23" s="5"/>
      <c r="E23" s="4" t="s">
        <v>154</v>
      </c>
      <c r="F23" s="4"/>
      <c r="G23" s="4"/>
      <c r="H23" s="4"/>
      <c r="I23" s="4"/>
      <c r="J23" s="4"/>
      <c r="K23" s="4"/>
      <c r="L23" s="4"/>
      <c r="M23" s="4"/>
      <c r="N23" s="4"/>
    </row>
    <row r="24" spans="2:25" s="3" customFormat="1" ht="14.25" x14ac:dyDescent="0.15">
      <c r="D24" s="388" t="s">
        <v>430</v>
      </c>
      <c r="E24" s="388"/>
      <c r="F24" s="388"/>
      <c r="G24" s="388"/>
      <c r="H24" s="388"/>
      <c r="I24" s="388"/>
      <c r="J24" s="388"/>
      <c r="K24" s="388"/>
      <c r="L24" s="388"/>
      <c r="M24" s="388"/>
      <c r="N24" s="388"/>
      <c r="O24" s="388"/>
      <c r="P24" s="388"/>
      <c r="Q24" s="388"/>
    </row>
    <row r="25" spans="2:25" s="3" customFormat="1" ht="14.25" x14ac:dyDescent="0.15">
      <c r="D25" s="388" t="s">
        <v>511</v>
      </c>
      <c r="E25" s="388"/>
      <c r="F25" s="388"/>
      <c r="G25" s="388"/>
      <c r="H25" s="388"/>
      <c r="I25" s="388"/>
      <c r="J25" s="388"/>
      <c r="K25" s="388"/>
      <c r="L25" s="388"/>
      <c r="M25" s="388"/>
      <c r="N25" s="388"/>
      <c r="O25" s="388"/>
      <c r="P25" s="388"/>
      <c r="Q25" s="388"/>
      <c r="R25" s="388"/>
      <c r="S25" s="388"/>
      <c r="T25" s="388"/>
      <c r="U25" s="388"/>
      <c r="V25" s="388"/>
      <c r="W25" s="388"/>
      <c r="X25" s="388"/>
      <c r="Y25" s="388"/>
    </row>
    <row r="26" spans="2:25" s="3" customFormat="1" ht="14.25" x14ac:dyDescent="0.15">
      <c r="D26" s="388" t="s">
        <v>1087</v>
      </c>
      <c r="E26" s="1164"/>
      <c r="F26" s="1164"/>
      <c r="G26" s="1164"/>
      <c r="H26" s="1164"/>
      <c r="I26" s="1164"/>
      <c r="J26" s="1164"/>
      <c r="K26" s="1164"/>
      <c r="L26" s="1164"/>
      <c r="M26" s="1164"/>
      <c r="N26" s="1164"/>
      <c r="O26" s="1164"/>
      <c r="P26" s="1164"/>
      <c r="Q26" s="1164"/>
      <c r="R26" s="1164"/>
      <c r="S26" s="1164"/>
      <c r="T26" s="1164"/>
      <c r="U26" s="1164"/>
      <c r="V26" s="1164"/>
      <c r="W26" s="1164"/>
      <c r="X26" s="1164"/>
      <c r="Y26" s="1164"/>
    </row>
    <row r="27" spans="2:25" s="3" customFormat="1" ht="14.25" x14ac:dyDescent="0.15"/>
    <row r="28" spans="2:25" s="3" customFormat="1" ht="14.25" x14ac:dyDescent="0.15">
      <c r="B28" s="6" t="s">
        <v>429</v>
      </c>
    </row>
    <row r="29" spans="2:25" s="3" customFormat="1" ht="14.25" x14ac:dyDescent="0.15">
      <c r="C29" s="19" t="s">
        <v>55</v>
      </c>
      <c r="D29" s="4"/>
      <c r="E29" s="4"/>
      <c r="F29" s="4"/>
      <c r="G29" s="4"/>
      <c r="H29" s="4"/>
      <c r="I29" s="4"/>
      <c r="J29" s="4"/>
      <c r="K29" s="4"/>
    </row>
    <row r="30" spans="2:25" s="3" customFormat="1" ht="14.25" x14ac:dyDescent="0.15">
      <c r="C30" s="4" t="s">
        <v>10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2:25" s="3" customFormat="1" ht="14.25" x14ac:dyDescent="0.15">
      <c r="C31" s="3" t="s">
        <v>822</v>
      </c>
    </row>
    <row r="32" spans="2:25" s="3" customFormat="1" ht="14.25" x14ac:dyDescent="0.15">
      <c r="D32" s="4" t="s">
        <v>823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3:24" s="3" customFormat="1" ht="14.25" x14ac:dyDescent="0.15">
      <c r="D33" s="4" t="s">
        <v>431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3:24" s="3" customFormat="1" ht="14.25" x14ac:dyDescent="0.15">
      <c r="D34" s="4" t="s">
        <v>1088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3:24" s="3" customFormat="1" ht="14.25" x14ac:dyDescent="0.15">
      <c r="D35" s="4" t="s">
        <v>824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3:24" s="3" customFormat="1" ht="14.25" x14ac:dyDescent="0.15">
      <c r="D36" s="4" t="s">
        <v>825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3:24" s="3" customFormat="1" ht="14.25" x14ac:dyDescent="0.15">
      <c r="D37" s="4" t="s">
        <v>1086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/>
      <c r="U37"/>
      <c r="V37"/>
      <c r="W37"/>
      <c r="X37"/>
    </row>
    <row r="38" spans="3:24" s="3" customFormat="1" ht="14.25" x14ac:dyDescent="0.15">
      <c r="D38" s="388" t="s">
        <v>826</v>
      </c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4"/>
      <c r="W38" s="4"/>
    </row>
    <row r="39" spans="3:24" s="3" customFormat="1" ht="14.25" x14ac:dyDescent="0.15">
      <c r="D39" s="388" t="s">
        <v>1089</v>
      </c>
      <c r="E39" s="388"/>
      <c r="F39" s="388"/>
      <c r="G39" s="388"/>
      <c r="H39" s="388"/>
      <c r="I39" s="388"/>
      <c r="J39" s="388"/>
      <c r="K39" s="388"/>
      <c r="L39" s="388"/>
      <c r="M39" s="388"/>
      <c r="N39" s="388"/>
      <c r="O39" s="388"/>
      <c r="P39" s="388"/>
      <c r="Q39" s="388"/>
      <c r="R39" s="388"/>
      <c r="S39" s="388"/>
      <c r="T39" s="388"/>
      <c r="U39" s="388"/>
      <c r="V39" s="388"/>
      <c r="W39" s="388"/>
      <c r="X39"/>
    </row>
    <row r="40" spans="3:24" s="3" customFormat="1" ht="14.25" x14ac:dyDescent="0.15">
      <c r="C40" s="3" t="s">
        <v>827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3:24" s="3" customFormat="1" ht="14.25" x14ac:dyDescent="0.15">
      <c r="D41" s="4" t="s">
        <v>828</v>
      </c>
      <c r="E41" s="4"/>
      <c r="F41" s="4"/>
      <c r="G41" s="388"/>
      <c r="H41" s="388"/>
      <c r="I41" s="388"/>
      <c r="J41" s="388"/>
      <c r="K41" s="388"/>
      <c r="L41" s="388"/>
      <c r="M41" s="388"/>
      <c r="N41" s="388"/>
      <c r="O41" s="388"/>
      <c r="P41" s="388"/>
    </row>
    <row r="42" spans="3:24" s="3" customFormat="1" ht="14.25" x14ac:dyDescent="0.15">
      <c r="D42" s="4" t="s">
        <v>829</v>
      </c>
      <c r="E42" s="4"/>
      <c r="F42" s="4"/>
      <c r="G42" s="388"/>
      <c r="H42" s="388"/>
      <c r="I42" s="388"/>
      <c r="J42" s="388"/>
      <c r="K42" s="388"/>
      <c r="L42" s="388"/>
      <c r="M42" s="388"/>
      <c r="N42" s="388"/>
      <c r="O42" s="388"/>
      <c r="P42" s="388"/>
    </row>
    <row r="43" spans="3:24" s="3" customFormat="1" ht="14.25" x14ac:dyDescent="0.15"/>
  </sheetData>
  <phoneticPr fontId="14"/>
  <hyperlinks>
    <hyperlink ref="D5:O5" location="'１（１）原油地域別、国別輸入'!A1" display="（１）原油地域別、国別輸入 / Import of Crude Oil by Area and Country" xr:uid="{00000000-0004-0000-0000-000000000000}"/>
    <hyperlink ref="D6:N6" location="'Ⅱ－２(2)原油油種別輸入'!A1" display="（２）原油油種別輸入 / Import by Kind of Crude Oil" xr:uid="{00000000-0004-0000-0000-000001000000}"/>
    <hyperlink ref="D7:O7" location="'Ⅱ－２(3)非精製用出荷内訳'!A1" display="（３）非精製用出荷内訳 / Shipment of Crude Oil for non-Refining" xr:uid="{00000000-0004-0000-0000-000002000000}"/>
    <hyperlink ref="E13:K13" location="'２（１）①石油製品需給総括暦年'!A1" display="　①平成25年 / (C.Y.2013)" xr:uid="{00000000-0004-0000-0000-000003000000}"/>
    <hyperlink ref="E14:K14" location="'２（１）②石油製品需給総括年度'!A1" display="　②平成25年度 / (F.Y.2013)" xr:uid="{00000000-0004-0000-0000-000004000000}"/>
    <hyperlink ref="E16:K16" location="'２（２）①製造業者・輸入業者受払暦年'!A1" display="　①平成25年 / (C.Y.2013)" xr:uid="{00000000-0004-0000-0000-000005000000}"/>
    <hyperlink ref="E17:K17" location="'２（２）②石油製品製造業者・輸入業者受払年度'!A1" display="　②令和6年度 / (F.Y. 2024)" xr:uid="{00000000-0004-0000-0000-000006000000}"/>
    <hyperlink ref="D18:P18" location="'２（３）石油製品国内向月別販売'!A1" display="（３）石油製品国内向月別販売 / Domestic Sales of Petroleum Products by Month " xr:uid="{00000000-0004-0000-0000-000007000000}"/>
    <hyperlink ref="E20:K20" location="'２（４）①石油製品月別輸入'!A1" display="①月別輸入 / Import by Month" xr:uid="{00000000-0004-0000-0000-000008000000}"/>
    <hyperlink ref="E21:N21" location="'２（４）②石油製品国・地域別月別輸入'!A1" display="②国・地域別月別輸入 / Monthly Import by Area and Country" xr:uid="{00000000-0004-0000-0000-000009000000}"/>
    <hyperlink ref="E22:K22" location="'２（４）③石油製品月別輸出'!A1" display="③月別輸出 / Export by Month" xr:uid="{00000000-0004-0000-0000-00000A000000}"/>
    <hyperlink ref="E23:N23" location="'２（４）④石油製品国・地域別月別輸出'!A1" display="④国・地域別月別輸出 / Monthly Export by Area and Country" xr:uid="{00000000-0004-0000-0000-00000B000000}"/>
    <hyperlink ref="C30:P30" location="'参考資料１、２備蓄量推移、輸入価格推移'!A25" display="２．石油輸入価格推移 / Customs Clearance Prices of Crude Oil and Petroleum Products(CIF)" xr:uid="{00000000-0004-0000-0000-00000D000000}"/>
    <hyperlink ref="D32:U32" location="'参考資料３（１）（２）'!A1" display="（１）契約期間別原油月別輸入、ＣＩＦ総額、平均ＡＰＩ及び平均硫黄分 /Crude Oil Import, Value（C.I.F）,Average API and Average Sulfur by Month and Contract" xr:uid="{00000000-0004-0000-0000-00000E000000}"/>
    <hyperlink ref="D33:N33" location="'参考資料３（１）（２）'!L42" display="（２）供給者区分別原油月別輸入 / Crude Oil Import by Month and Supplier" xr:uid="{00000000-0004-0000-0000-00000F000000}"/>
    <hyperlink ref="D34:V34" location="'参考資料３（３）（４）'!A1" display="（３）国別、契約期間別原油輸入、平均ＡＰＩ及び平均硫黄分（平成25年） / Crude Oil Import, Average API and Average Sulfur by Country and Contract(C.Y.2013)" xr:uid="{00000000-0004-0000-0000-000010000000}"/>
    <hyperlink ref="D36:Q36" location="'参考資料３（５）（６）'!A1" display="（５）国別、契約期間別ＣＩＦ総額（平成25年） / Imported Crude Oil Value(CIF) by Country and Contract(C.Y.2013)" xr:uid="{00000000-0004-0000-0000-000011000000}"/>
    <hyperlink ref="D5" location="'１（１）原油地域別、国別輸入'!A1" display="（１）原油地域別、国別輸入 / Import of Crude Oil by Area and Country" xr:uid="{00000000-0004-0000-0000-000013000000}"/>
    <hyperlink ref="D6:O6" location="'１（２）原油油種別輸入'!A1" display="（２）原油油種別輸入 / Import by Kind of Crude Oil" xr:uid="{00000000-0004-0000-0000-000014000000}"/>
    <hyperlink ref="D7:P7" location="'１（３）非精製用出荷内訳'!A1" display="（３）非精製用出荷内訳 / Shipment of Crude Oil for non-Refining" xr:uid="{00000000-0004-0000-0000-000015000000}"/>
    <hyperlink ref="C29:K29" location="'参考資料１、２備蓄量推移、輸入価格推移'!A1" display="１．石油備蓄量推移 / Changes in Oil Stock" xr:uid="{00000000-0004-0000-0000-000016000000}"/>
    <hyperlink ref="E21" location="'２（４）②石油製品国・地域別月別輸入'!A1" display="②国・地域別月別輸入 / Monthly Import by Area and Country" xr:uid="{00000000-0004-0000-0000-000017000000}"/>
    <hyperlink ref="E23" location="'２（４）④石油製品国・地域別月別輸出'!A1" display="④国・地域別月別輸出 / Monthly Export by Area and Country" xr:uid="{00000000-0004-0000-0000-000018000000}"/>
    <hyperlink ref="D24" location="'２（５）石油製品月別業態別在庫'!A1" display="（５）石油製品月別業態別在庫 / Monthly Inventory of Petroleum Products by Type of Business" xr:uid="{00000000-0004-0000-0000-000019000000}"/>
    <hyperlink ref="D25" location="'２（６）製造業者・輸入業者月別消費者、販売業者向販売'!A1" display="（６）石油製品製造業者・輸入業者月別消費者･販売業者向販売 / Monthly Sales to Consumers, Wholesalers and Retailers of Petroleum Products by Manufacturers and Importers    " xr:uid="{00000000-0004-0000-0000-00001A000000}"/>
    <hyperlink ref="D25:X25" location="'２（６）石油製品製造業者・輸入業者月別消費者･販売業者向販売'!A1" display="（６）石油製品製造業者・輸入業者月別消費者･販売業者向販売 / Monthly Sales to Consumers, Wholesalers and Retailers of Petroleum Products by Manufacturers and Importers" xr:uid="{00000000-0004-0000-0000-00001B000000}"/>
    <hyperlink ref="D24:Q24" location="'２（５）石油製品月別業態別在庫'!A1" display="（５）石油製品月別業態別在庫 / Monthly Inventory of Petroleum Products by Type of Business" xr:uid="{00000000-0004-0000-0000-00001C000000}"/>
    <hyperlink ref="D32:W32" location="'参考資料３（１）（２）'!A1" display="（１）契約期間別原油月別輸入、ＣＩＦ総額、平均ＡＰＩ度及び平均硫黄分 / Crude Oil Import, Value（CIF）,Average API　gravity and Average Sulfur by Month and Contract" xr:uid="{00000000-0004-0000-0000-00001E000000}"/>
    <hyperlink ref="D33:O33" location="'参考資料３（１）（２）'!L42" display="（２）供給者区分別原油月別輸入 / Crude Oil Import by Month and Supplier" xr:uid="{00000000-0004-0000-0000-00001F000000}"/>
    <hyperlink ref="D34:X34" location="'参考資料３（３）（４）'!A1" display="（３）国別、契約期間別原油輸入、平均ＡＰＩ度及び平均硫黄分（平成29年） / Crude Oil Import, Average API　gravity and Average Sulfur by Country and Contract(C.Y.2017)" xr:uid="{00000000-0004-0000-0000-000020000000}"/>
    <hyperlink ref="D36:R36" location="'参考資料３（５）（６）'!A1" display="（５）国別、契約期間別ＣＩＦ総額（平成29年） / Imported Crude Oil Value(CIF) by Country and Contract(C.Y.2017)" xr:uid="{00000000-0004-0000-0000-000021000000}"/>
    <hyperlink ref="Y25" location="'２（６）製造業者・輸入業者月別消費者、販売業者向販売'!A1" display="（６）石油製品製造業者・輸入業者月別消費者･販売業者向販売 / Monthly Sales to Consumers, Wholesalers and Retailers of Petroleum Products by Manufacturers and Importers    " xr:uid="{00000000-0004-0000-0000-000023000000}"/>
    <hyperlink ref="S36" location="'参考資料３（５）（６）'!A1" display="（５）国別、契約期間別ＣＩＦ総額（平成29年） / Imported Crude Oil Value(CIF) by Country and Contract(C.Y.2017)" xr:uid="{00000000-0004-0000-0000-000024000000}"/>
    <hyperlink ref="X32" location="'参考資料３（１）（２）'!A1" display="（１）契約期間別原油月別輸入、ＣＩＦ総額、平均ＡＰＩ度及び平均硫黄分 / Crude Oil Import, Value（CIF）,Average API　gravity and Average Sulfur by Month and Contract" xr:uid="{00000000-0004-0000-0000-000025000000}"/>
    <hyperlink ref="D38:W38" location="'参考資料３（７）（８）'!A1" display="（７）原油国別船積数量、FOB、運賃総額及び保険料総額（令和2年） / Import of Crude Oil, Shipped Quantity,FOB,Freight and Insurance by Country (C.Y.2020)" xr:uid="{00000000-0004-0000-0000-000026000000}"/>
    <hyperlink ref="D35:X35" location="'参考資料３（３）（４）'!A26" display="（４）原油国別、契約期間別輸入、平均API度及び平均硫黄分（令和6年度） / Import of Crude Oil, Average API gravity and Average Sulfur by Country and Contract(F.Y. 2024)" xr:uid="{00000000-0004-0000-0000-000027000000}"/>
    <hyperlink ref="D41:F41" location="'参考資料３（１）（２）'!A1" display="（１）契約期間別原油月別輸入、ＣＩＦ総額、平均ＡＰＩ度及び平均硫黄分 / Crude Oil Import, Value（CIF）,Average API　gravity and Average Sulfur by Month and Contract" xr:uid="{00000000-0004-0000-0000-000029000000}"/>
    <hyperlink ref="D42:F42" location="'参考資料３（１）（２）'!L42" display="（２）供給者区分別原油月別輸入 / Crude Oil Import by Month and Supplier" xr:uid="{00000000-0004-0000-0000-00002A000000}"/>
    <hyperlink ref="D41:P41" location="'参考資料４（１）液化天然ガス（ＬＮＧ）輸入量、消費量、在庫量'!A1" display="（１）液化天然ガス（ＬＮＧ）輸入量、消費量、在庫量 / LNG Import,Consumption and Inventory" xr:uid="{00000000-0004-0000-0000-00002B000000}"/>
    <hyperlink ref="D42:P42" location="'参考資料４（２）'!L42" display="（２）液化天然ガス（ＬＮＧ）国別、月別輸入量 / LNG Monthly Import by Area and Country" xr:uid="{00000000-0004-0000-0000-00002C000000}"/>
    <hyperlink ref="D5:N5" location="'１（１）原油地域別、国別輸入'!A1" display="（１）原油地域別、国別輸入 / Import of Crude Oil by Area and Country" xr:uid="{00000000-0004-0000-0000-00002D000000}"/>
    <hyperlink ref="E9:L9" location="'１（４）原油処理及び原油在庫'!A1" display="　①原油処理 / Crude Oil Processing" xr:uid="{00000000-0004-0000-0000-00002E000000}"/>
    <hyperlink ref="E10:L10" location="'１（４）原油処理及び原油在庫'!A42" display="　②原油在庫 / Inventory of Crude Oil" xr:uid="{00000000-0004-0000-0000-00002F000000}"/>
    <hyperlink ref="D18:O18" location="'２（３）石油製品月別国内向販売'!A1" display="（３）石油製品月別国内向販売 / Domestic Sales of Petroleum Products by Month" xr:uid="{00000000-0004-0000-0000-000030000000}"/>
    <hyperlink ref="D42:O42" location="'参考資料４（２）液化天然ガス（ＬＮＧ）国別、月別輸入量'!A1" display="（２）液化天然ガス（ＬＮＧ）国別、月別輸入量 / LNG Monthly Import by Country" xr:uid="{00000000-0004-0000-0000-000031000000}"/>
    <hyperlink ref="E16:J16" location="'２（２）①石油製品製造業者・輸入業者受払暦年'!A1" display="　①令和6年 / (C.Y. 2024)" xr:uid="{F6B39590-B614-4CDE-84E2-95FFA2ABF9BA}"/>
    <hyperlink ref="D37:S37" location="'参考資料３（５）（６）'!A25" display="（６）原油国別、契約期間別、CIF総額（令和6年度） / Import of  Crude Oil Value(CIF) by Country and Contract(F.Y.  2024)" xr:uid="{5E1DDBCE-8E17-45B3-B775-117E18E4E5F0}"/>
    <hyperlink ref="D39:W39" location="'参考資料３（７）（８）'!A26" display="（８）原油国別船積数量、FOB、運賃総額及び保険料総額（令和6年度） /Import of Crude Oil, Shipped Quantity,FOB,Freight and Insurance by Country (F.Y.2024)" xr:uid="{9E6FC53B-D5BD-435A-B1A7-05F0DC6705CB}"/>
    <hyperlink ref="D26:Y26" location="'２（７）製造業者・輸入業者品種別、月別消費者・販売業者'!A1" display="（７）製造業者・輸入業者品種別、月別消費者・販売業者向販売及び在庫内訳 / Monthly Inventory and Sales to Consumers, Wholesalers and Retailers by Manufacturers and Importers" xr:uid="{447BE67A-FFFE-44C6-82CC-C27E20D6E2C3}"/>
  </hyperlinks>
  <pageMargins left="0.70866141732283472" right="0.70866141732283472" top="0.74803149606299213" bottom="0.74803149606299213" header="0.31496062992125984" footer="0.31496062992125984"/>
  <pageSetup paperSize="9" scale="75" orientation="landscape" r:id="rId1"/>
  <colBreaks count="1" manualBreakCount="1">
    <brk id="2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125A-3424-4E7E-B199-97A1C41E7C34}">
  <dimension ref="A1:R108"/>
  <sheetViews>
    <sheetView view="pageBreakPreview" zoomScaleNormal="100" zoomScaleSheetLayoutView="100" workbookViewId="0">
      <pane xSplit="1" ySplit="3" topLeftCell="B4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defaultColWidth="8.125" defaultRowHeight="24" x14ac:dyDescent="0.25"/>
  <cols>
    <col min="1" max="1" width="16" style="21" customWidth="1"/>
    <col min="2" max="5" width="8.5" style="21" customWidth="1"/>
    <col min="6" max="6" width="8.75" style="21" customWidth="1"/>
    <col min="7" max="18" width="8.5" style="21" customWidth="1"/>
    <col min="19" max="16384" width="8.125" style="21"/>
  </cols>
  <sheetData>
    <row r="1" spans="1:18" ht="9" customHeight="1" x14ac:dyDescent="0.25"/>
    <row r="2" spans="1:18" ht="15.75" customHeight="1" x14ac:dyDescent="0.25">
      <c r="A2" s="20" t="s">
        <v>513</v>
      </c>
      <c r="B2" s="446"/>
      <c r="C2" s="447"/>
      <c r="D2" s="447"/>
      <c r="E2" s="447"/>
      <c r="F2" s="447"/>
    </row>
    <row r="3" spans="1:18" ht="16.5" customHeight="1" x14ac:dyDescent="0.25">
      <c r="A3" s="20" t="s">
        <v>514</v>
      </c>
      <c r="B3" s="635"/>
      <c r="C3" s="635"/>
      <c r="D3" s="635"/>
      <c r="E3" s="635"/>
      <c r="F3" s="635"/>
      <c r="G3" s="636"/>
      <c r="H3" s="636"/>
      <c r="I3" s="637" t="s">
        <v>392</v>
      </c>
      <c r="J3" s="636"/>
      <c r="K3" s="636"/>
      <c r="L3" s="636"/>
      <c r="M3" s="636"/>
      <c r="N3" s="636"/>
      <c r="O3" s="636"/>
      <c r="P3" s="636"/>
      <c r="Q3" s="638" t="s">
        <v>830</v>
      </c>
      <c r="R3" s="638"/>
    </row>
    <row r="4" spans="1:18" s="25" customFormat="1" ht="15" customHeight="1" x14ac:dyDescent="0.15">
      <c r="A4" s="639"/>
      <c r="B4" s="640"/>
      <c r="C4" s="641"/>
      <c r="D4" s="639"/>
      <c r="E4" s="641"/>
      <c r="F4" s="642"/>
      <c r="G4" s="642"/>
      <c r="H4" s="642"/>
      <c r="I4" s="642"/>
      <c r="J4" s="639"/>
      <c r="K4" s="641"/>
      <c r="L4" s="642"/>
      <c r="M4" s="642"/>
      <c r="N4" s="642"/>
      <c r="O4" s="642"/>
      <c r="P4" s="642"/>
      <c r="Q4" s="642"/>
      <c r="R4" s="1000" t="s">
        <v>72</v>
      </c>
    </row>
    <row r="5" spans="1:18" s="28" customFormat="1" ht="22.5" customHeight="1" x14ac:dyDescent="0.15">
      <c r="A5" s="26" t="s">
        <v>153</v>
      </c>
      <c r="B5" s="508" t="s">
        <v>49</v>
      </c>
      <c r="C5" s="27" t="s">
        <v>73</v>
      </c>
      <c r="D5" s="644" t="s">
        <v>63</v>
      </c>
      <c r="E5" s="508" t="s">
        <v>74</v>
      </c>
      <c r="F5" s="644" t="s">
        <v>681</v>
      </c>
      <c r="G5" s="644" t="s">
        <v>515</v>
      </c>
      <c r="H5" s="644" t="s">
        <v>53</v>
      </c>
      <c r="I5" s="644" t="s">
        <v>11</v>
      </c>
      <c r="J5" s="644" t="s">
        <v>50</v>
      </c>
      <c r="K5" s="508" t="s">
        <v>75</v>
      </c>
      <c r="L5" s="644" t="s">
        <v>12</v>
      </c>
      <c r="M5" s="644" t="s">
        <v>382</v>
      </c>
      <c r="N5" s="644" t="s">
        <v>24</v>
      </c>
      <c r="O5" s="644" t="s">
        <v>25</v>
      </c>
      <c r="P5" s="644" t="s">
        <v>88</v>
      </c>
      <c r="Q5" s="643" t="s">
        <v>26</v>
      </c>
      <c r="R5" s="1001"/>
    </row>
    <row r="6" spans="1:18" s="28" customFormat="1" ht="30" customHeight="1" x14ac:dyDescent="0.15">
      <c r="A6" s="26"/>
      <c r="B6" s="509" t="s">
        <v>48</v>
      </c>
      <c r="C6" s="509" t="s">
        <v>76</v>
      </c>
      <c r="D6" s="509" t="s">
        <v>64</v>
      </c>
      <c r="E6" s="509" t="s">
        <v>77</v>
      </c>
      <c r="F6" s="509" t="s">
        <v>34</v>
      </c>
      <c r="G6" s="509" t="s">
        <v>516</v>
      </c>
      <c r="H6" s="509" t="s">
        <v>16</v>
      </c>
      <c r="I6" s="509" t="s">
        <v>17</v>
      </c>
      <c r="J6" s="509" t="s">
        <v>18</v>
      </c>
      <c r="K6" s="509" t="s">
        <v>38</v>
      </c>
      <c r="L6" s="509" t="s">
        <v>19</v>
      </c>
      <c r="M6" s="509" t="s">
        <v>383</v>
      </c>
      <c r="N6" s="509" t="s">
        <v>29</v>
      </c>
      <c r="O6" s="509" t="s">
        <v>30</v>
      </c>
      <c r="P6" s="509" t="s">
        <v>93</v>
      </c>
      <c r="Q6" s="518" t="s">
        <v>31</v>
      </c>
      <c r="R6" s="1002"/>
    </row>
    <row r="7" spans="1:18" s="29" customFormat="1" ht="10.5" customHeight="1" x14ac:dyDescent="0.15">
      <c r="A7" s="645" t="s">
        <v>831</v>
      </c>
      <c r="B7" s="646">
        <v>143879667</v>
      </c>
      <c r="C7" s="647">
        <v>998907</v>
      </c>
      <c r="D7" s="647">
        <v>998907</v>
      </c>
      <c r="E7" s="647">
        <v>1168949</v>
      </c>
      <c r="F7" s="647">
        <v>397479</v>
      </c>
      <c r="G7" s="647">
        <v>11177</v>
      </c>
      <c r="H7" s="647">
        <v>667645</v>
      </c>
      <c r="I7" s="647">
        <v>92648</v>
      </c>
      <c r="J7" s="647" t="s">
        <v>796</v>
      </c>
      <c r="K7" s="647">
        <v>132362206</v>
      </c>
      <c r="L7" s="647">
        <v>788821</v>
      </c>
      <c r="M7" s="647">
        <v>2040752</v>
      </c>
      <c r="N7" s="647">
        <v>56773606</v>
      </c>
      <c r="O7" s="647">
        <v>13223305</v>
      </c>
      <c r="P7" s="647">
        <v>197107</v>
      </c>
      <c r="Q7" s="647">
        <v>12371792</v>
      </c>
      <c r="R7" s="648" t="s">
        <v>517</v>
      </c>
    </row>
    <row r="8" spans="1:18" s="29" customFormat="1" ht="10.5" customHeight="1" x14ac:dyDescent="0.15">
      <c r="A8" s="448" t="s">
        <v>557</v>
      </c>
      <c r="B8" s="30">
        <v>144662684</v>
      </c>
      <c r="C8" s="29">
        <v>166004</v>
      </c>
      <c r="D8" s="29">
        <v>166004</v>
      </c>
      <c r="E8" s="29">
        <v>1244456</v>
      </c>
      <c r="F8" s="29">
        <v>321963</v>
      </c>
      <c r="G8" s="29">
        <v>49688</v>
      </c>
      <c r="H8" s="29">
        <v>516977</v>
      </c>
      <c r="I8" s="29">
        <v>182256</v>
      </c>
      <c r="J8" s="29">
        <v>173572</v>
      </c>
      <c r="K8" s="29">
        <v>134068585</v>
      </c>
      <c r="L8" s="29">
        <v>157960</v>
      </c>
      <c r="M8" s="29">
        <v>2050509</v>
      </c>
      <c r="N8" s="29">
        <v>56525615</v>
      </c>
      <c r="O8" s="29">
        <v>12105867</v>
      </c>
      <c r="P8" s="29">
        <v>465530</v>
      </c>
      <c r="Q8" s="29">
        <v>11301078</v>
      </c>
      <c r="R8" s="31" t="s">
        <v>558</v>
      </c>
    </row>
    <row r="9" spans="1:18" s="29" customFormat="1" ht="10.5" customHeight="1" x14ac:dyDescent="0.15">
      <c r="A9" s="448" t="s">
        <v>682</v>
      </c>
      <c r="B9" s="30">
        <v>158641580</v>
      </c>
      <c r="C9" s="29">
        <v>172335</v>
      </c>
      <c r="D9" s="29">
        <v>172335</v>
      </c>
      <c r="E9" s="29">
        <v>1189732</v>
      </c>
      <c r="F9" s="29">
        <v>607817</v>
      </c>
      <c r="G9" s="29">
        <v>56634</v>
      </c>
      <c r="H9" s="29">
        <v>278902</v>
      </c>
      <c r="I9" s="29">
        <v>187647</v>
      </c>
      <c r="J9" s="29">
        <v>58732</v>
      </c>
      <c r="K9" s="29">
        <v>149271694</v>
      </c>
      <c r="L9" s="29" t="s">
        <v>796</v>
      </c>
      <c r="M9" s="29">
        <v>2028574</v>
      </c>
      <c r="N9" s="29">
        <v>60374739</v>
      </c>
      <c r="O9" s="29">
        <v>12823959</v>
      </c>
      <c r="P9" s="29">
        <v>496437</v>
      </c>
      <c r="Q9" s="29">
        <v>11575819</v>
      </c>
      <c r="R9" s="31" t="s">
        <v>683</v>
      </c>
    </row>
    <row r="10" spans="1:18" s="29" customFormat="1" ht="10.5" customHeight="1" x14ac:dyDescent="0.15">
      <c r="A10" s="448" t="s">
        <v>784</v>
      </c>
      <c r="B10" s="30">
        <v>147661066</v>
      </c>
      <c r="C10" s="29" t="s">
        <v>796</v>
      </c>
      <c r="D10" s="29" t="s">
        <v>796</v>
      </c>
      <c r="E10" s="29">
        <v>1046476</v>
      </c>
      <c r="F10" s="29">
        <v>343702</v>
      </c>
      <c r="G10" s="29" t="s">
        <v>796</v>
      </c>
      <c r="H10" s="29">
        <v>176538</v>
      </c>
      <c r="I10" s="29">
        <v>236405</v>
      </c>
      <c r="J10" s="29">
        <v>289831</v>
      </c>
      <c r="K10" s="29">
        <v>140477368</v>
      </c>
      <c r="L10" s="29" t="s">
        <v>796</v>
      </c>
      <c r="M10" s="29">
        <v>546392</v>
      </c>
      <c r="N10" s="29">
        <v>59661688</v>
      </c>
      <c r="O10" s="29">
        <v>12970854</v>
      </c>
      <c r="P10" s="29">
        <v>655426</v>
      </c>
      <c r="Q10" s="29">
        <v>7358833</v>
      </c>
      <c r="R10" s="31" t="s">
        <v>785</v>
      </c>
    </row>
    <row r="11" spans="1:18" s="29" customFormat="1" ht="10.5" customHeight="1" x14ac:dyDescent="0.15">
      <c r="A11" s="448" t="s">
        <v>832</v>
      </c>
      <c r="B11" s="30">
        <v>135037249</v>
      </c>
      <c r="C11" s="29" t="s">
        <v>796</v>
      </c>
      <c r="D11" s="29" t="s">
        <v>796</v>
      </c>
      <c r="E11" s="29">
        <v>693732</v>
      </c>
      <c r="F11" s="29">
        <v>275158</v>
      </c>
      <c r="G11" s="29" t="s">
        <v>796</v>
      </c>
      <c r="H11" s="29" t="s">
        <v>796</v>
      </c>
      <c r="I11" s="29">
        <v>219769</v>
      </c>
      <c r="J11" s="29">
        <v>198805</v>
      </c>
      <c r="K11" s="29">
        <v>128867510</v>
      </c>
      <c r="L11" s="29" t="s">
        <v>796</v>
      </c>
      <c r="M11" s="29">
        <v>75389</v>
      </c>
      <c r="N11" s="29">
        <v>53226120</v>
      </c>
      <c r="O11" s="29">
        <v>8978126</v>
      </c>
      <c r="P11" s="29">
        <v>722786</v>
      </c>
      <c r="Q11" s="29">
        <v>5285335</v>
      </c>
      <c r="R11" s="31" t="s">
        <v>833</v>
      </c>
    </row>
    <row r="12" spans="1:18" s="29" customFormat="1" ht="10.5" customHeight="1" x14ac:dyDescent="0.15">
      <c r="A12" s="464"/>
      <c r="B12" s="30"/>
      <c r="R12" s="31"/>
    </row>
    <row r="13" spans="1:18" s="29" customFormat="1" ht="10.5" customHeight="1" x14ac:dyDescent="0.15">
      <c r="A13" s="448" t="s">
        <v>834</v>
      </c>
      <c r="B13" s="30">
        <v>144801793</v>
      </c>
      <c r="C13" s="29" t="s">
        <v>796</v>
      </c>
      <c r="D13" s="29" t="s">
        <v>796</v>
      </c>
      <c r="E13" s="29">
        <v>920288</v>
      </c>
      <c r="F13" s="29">
        <v>347509</v>
      </c>
      <c r="G13" s="29" t="s">
        <v>796</v>
      </c>
      <c r="H13" s="29">
        <v>113103</v>
      </c>
      <c r="I13" s="29">
        <v>190784</v>
      </c>
      <c r="J13" s="29">
        <v>268892</v>
      </c>
      <c r="K13" s="29">
        <v>137163285</v>
      </c>
      <c r="L13" s="29" t="s">
        <v>796</v>
      </c>
      <c r="M13" s="29">
        <v>382107</v>
      </c>
      <c r="N13" s="29">
        <v>57049359</v>
      </c>
      <c r="O13" s="29">
        <v>11818381</v>
      </c>
      <c r="P13" s="29">
        <v>634018</v>
      </c>
      <c r="Q13" s="29">
        <v>6467293</v>
      </c>
      <c r="R13" s="31" t="s">
        <v>786</v>
      </c>
    </row>
    <row r="14" spans="1:18" s="29" customFormat="1" ht="10.5" customHeight="1" x14ac:dyDescent="0.15">
      <c r="A14" s="448" t="s">
        <v>835</v>
      </c>
      <c r="B14" s="30">
        <v>136293504</v>
      </c>
      <c r="C14" s="29" t="s">
        <v>796</v>
      </c>
      <c r="D14" s="29" t="s">
        <v>796</v>
      </c>
      <c r="E14" s="29">
        <v>601653</v>
      </c>
      <c r="F14" s="29">
        <v>230332</v>
      </c>
      <c r="G14" s="29" t="s">
        <v>796</v>
      </c>
      <c r="H14" s="29">
        <v>28233</v>
      </c>
      <c r="I14" s="29">
        <v>169943</v>
      </c>
      <c r="J14" s="29">
        <v>173145</v>
      </c>
      <c r="K14" s="29">
        <v>130733602</v>
      </c>
      <c r="L14" s="29" t="s">
        <v>796</v>
      </c>
      <c r="M14" s="29" t="s">
        <v>796</v>
      </c>
      <c r="N14" s="29">
        <v>54677803</v>
      </c>
      <c r="O14" s="29">
        <v>8668850</v>
      </c>
      <c r="P14" s="29">
        <v>902816</v>
      </c>
      <c r="Q14" s="29">
        <v>5632858</v>
      </c>
      <c r="R14" s="31" t="s">
        <v>836</v>
      </c>
    </row>
    <row r="15" spans="1:18" s="29" customFormat="1" ht="10.5" customHeight="1" x14ac:dyDescent="0.15">
      <c r="A15" s="464"/>
      <c r="B15" s="30"/>
      <c r="R15" s="31"/>
    </row>
    <row r="16" spans="1:18" s="29" customFormat="1" ht="10.5" customHeight="1" x14ac:dyDescent="0.15">
      <c r="A16" s="448" t="s">
        <v>837</v>
      </c>
      <c r="B16" s="30">
        <v>35061324</v>
      </c>
      <c r="C16" s="29" t="s">
        <v>796</v>
      </c>
      <c r="D16" s="29" t="s">
        <v>796</v>
      </c>
      <c r="E16" s="29">
        <v>120312</v>
      </c>
      <c r="F16" s="29">
        <v>44826</v>
      </c>
      <c r="G16" s="29" t="s">
        <v>796</v>
      </c>
      <c r="H16" s="29" t="s">
        <v>796</v>
      </c>
      <c r="I16" s="29">
        <v>49826</v>
      </c>
      <c r="J16" s="29">
        <v>25660</v>
      </c>
      <c r="K16" s="29">
        <v>33202130</v>
      </c>
      <c r="L16" s="29" t="s">
        <v>796</v>
      </c>
      <c r="M16" s="29">
        <v>75389</v>
      </c>
      <c r="N16" s="29">
        <v>13761474</v>
      </c>
      <c r="O16" s="29">
        <v>2517812</v>
      </c>
      <c r="P16" s="29">
        <v>138109</v>
      </c>
      <c r="Q16" s="29">
        <v>1286517</v>
      </c>
      <c r="R16" s="31" t="s">
        <v>787</v>
      </c>
    </row>
    <row r="17" spans="1:18" s="29" customFormat="1" ht="10.5" customHeight="1" x14ac:dyDescent="0.15">
      <c r="A17" s="448" t="s">
        <v>559</v>
      </c>
      <c r="B17" s="30">
        <v>32843712</v>
      </c>
      <c r="C17" s="29" t="s">
        <v>796</v>
      </c>
      <c r="D17" s="29" t="s">
        <v>796</v>
      </c>
      <c r="E17" s="29">
        <v>134171</v>
      </c>
      <c r="F17" s="29">
        <v>47319</v>
      </c>
      <c r="G17" s="29" t="s">
        <v>796</v>
      </c>
      <c r="H17" s="29" t="s">
        <v>796</v>
      </c>
      <c r="I17" s="29" t="s">
        <v>796</v>
      </c>
      <c r="J17" s="29">
        <v>86852</v>
      </c>
      <c r="K17" s="29">
        <v>31438301</v>
      </c>
      <c r="L17" s="29" t="s">
        <v>796</v>
      </c>
      <c r="M17" s="29" t="s">
        <v>796</v>
      </c>
      <c r="N17" s="29">
        <v>12774741</v>
      </c>
      <c r="O17" s="29">
        <v>2440704</v>
      </c>
      <c r="P17" s="29">
        <v>217987</v>
      </c>
      <c r="Q17" s="29">
        <v>1261192</v>
      </c>
      <c r="R17" s="31" t="s">
        <v>78</v>
      </c>
    </row>
    <row r="18" spans="1:18" s="29" customFormat="1" ht="10.5" customHeight="1" x14ac:dyDescent="0.15">
      <c r="A18" s="448" t="s">
        <v>560</v>
      </c>
      <c r="B18" s="30">
        <v>32755936</v>
      </c>
      <c r="C18" s="29" t="s">
        <v>796</v>
      </c>
      <c r="D18" s="29" t="s">
        <v>796</v>
      </c>
      <c r="E18" s="29">
        <v>279889</v>
      </c>
      <c r="F18" s="29">
        <v>96310</v>
      </c>
      <c r="G18" s="29" t="s">
        <v>796</v>
      </c>
      <c r="H18" s="29" t="s">
        <v>796</v>
      </c>
      <c r="I18" s="29">
        <v>97286</v>
      </c>
      <c r="J18" s="29">
        <v>86293</v>
      </c>
      <c r="K18" s="29">
        <v>31095416</v>
      </c>
      <c r="L18" s="29" t="s">
        <v>796</v>
      </c>
      <c r="M18" s="29" t="s">
        <v>796</v>
      </c>
      <c r="N18" s="29">
        <v>12346132</v>
      </c>
      <c r="O18" s="29">
        <v>2076707</v>
      </c>
      <c r="P18" s="29">
        <v>184658</v>
      </c>
      <c r="Q18" s="29">
        <v>1223967</v>
      </c>
      <c r="R18" s="31" t="s">
        <v>79</v>
      </c>
    </row>
    <row r="19" spans="1:18" s="29" customFormat="1" ht="10.5" customHeight="1" x14ac:dyDescent="0.15">
      <c r="A19" s="448" t="s">
        <v>561</v>
      </c>
      <c r="B19" s="30">
        <v>34376277</v>
      </c>
      <c r="C19" s="29" t="s">
        <v>796</v>
      </c>
      <c r="D19" s="29" t="s">
        <v>796</v>
      </c>
      <c r="E19" s="29">
        <v>159360</v>
      </c>
      <c r="F19" s="29">
        <v>86703</v>
      </c>
      <c r="G19" s="29" t="s">
        <v>796</v>
      </c>
      <c r="H19" s="29" t="s">
        <v>796</v>
      </c>
      <c r="I19" s="29">
        <v>72657</v>
      </c>
      <c r="J19" s="29" t="s">
        <v>796</v>
      </c>
      <c r="K19" s="29">
        <v>33131663</v>
      </c>
      <c r="L19" s="29" t="s">
        <v>796</v>
      </c>
      <c r="M19" s="29" t="s">
        <v>796</v>
      </c>
      <c r="N19" s="29">
        <v>14343773</v>
      </c>
      <c r="O19" s="29">
        <v>1942903</v>
      </c>
      <c r="P19" s="29">
        <v>182032</v>
      </c>
      <c r="Q19" s="29">
        <v>1513659</v>
      </c>
      <c r="R19" s="31" t="s">
        <v>80</v>
      </c>
    </row>
    <row r="20" spans="1:18" s="29" customFormat="1" ht="10.5" customHeight="1" x14ac:dyDescent="0.15">
      <c r="A20" s="448" t="s">
        <v>838</v>
      </c>
      <c r="B20" s="30">
        <v>36317579</v>
      </c>
      <c r="C20" s="29" t="s">
        <v>796</v>
      </c>
      <c r="D20" s="29" t="s">
        <v>796</v>
      </c>
      <c r="E20" s="29">
        <v>28233</v>
      </c>
      <c r="F20" s="29" t="s">
        <v>796</v>
      </c>
      <c r="G20" s="29" t="s">
        <v>796</v>
      </c>
      <c r="H20" s="29">
        <v>28233</v>
      </c>
      <c r="I20" s="29" t="s">
        <v>796</v>
      </c>
      <c r="J20" s="29" t="s">
        <v>796</v>
      </c>
      <c r="K20" s="29">
        <v>35068222</v>
      </c>
      <c r="L20" s="29" t="s">
        <v>796</v>
      </c>
      <c r="M20" s="29" t="s">
        <v>796</v>
      </c>
      <c r="N20" s="29">
        <v>15213157</v>
      </c>
      <c r="O20" s="29">
        <v>2208536</v>
      </c>
      <c r="P20" s="29">
        <v>318139</v>
      </c>
      <c r="Q20" s="29">
        <v>1634040</v>
      </c>
      <c r="R20" s="31" t="s">
        <v>839</v>
      </c>
    </row>
    <row r="21" spans="1:18" s="29" customFormat="1" ht="10.5" customHeight="1" x14ac:dyDescent="0.15">
      <c r="A21" s="464"/>
      <c r="B21" s="30"/>
      <c r="R21" s="31"/>
    </row>
    <row r="22" spans="1:18" s="29" customFormat="1" ht="10.5" customHeight="1" x14ac:dyDescent="0.15">
      <c r="A22" s="448" t="s">
        <v>840</v>
      </c>
      <c r="B22" s="30">
        <v>11974244</v>
      </c>
      <c r="C22" s="29" t="s">
        <v>796</v>
      </c>
      <c r="D22" s="29" t="s">
        <v>796</v>
      </c>
      <c r="E22" s="29">
        <v>70486</v>
      </c>
      <c r="F22" s="29">
        <v>44826</v>
      </c>
      <c r="G22" s="29" t="s">
        <v>796</v>
      </c>
      <c r="H22" s="29" t="s">
        <v>796</v>
      </c>
      <c r="I22" s="29" t="s">
        <v>796</v>
      </c>
      <c r="J22" s="29">
        <v>25660</v>
      </c>
      <c r="K22" s="29">
        <v>11107105</v>
      </c>
      <c r="L22" s="29" t="s">
        <v>796</v>
      </c>
      <c r="M22" s="29">
        <v>75389</v>
      </c>
      <c r="N22" s="29">
        <v>4627700</v>
      </c>
      <c r="O22" s="29">
        <v>891798</v>
      </c>
      <c r="P22" s="29" t="s">
        <v>796</v>
      </c>
      <c r="Q22" s="29">
        <v>419336</v>
      </c>
      <c r="R22" s="31" t="s">
        <v>788</v>
      </c>
    </row>
    <row r="23" spans="1:18" s="29" customFormat="1" ht="10.5" customHeight="1" x14ac:dyDescent="0.15">
      <c r="A23" s="448" t="s">
        <v>562</v>
      </c>
      <c r="B23" s="30">
        <v>11278671</v>
      </c>
      <c r="C23" s="29" t="s">
        <v>796</v>
      </c>
      <c r="D23" s="29" t="s">
        <v>796</v>
      </c>
      <c r="E23" s="29">
        <v>49826</v>
      </c>
      <c r="F23" s="29" t="s">
        <v>796</v>
      </c>
      <c r="G23" s="29" t="s">
        <v>796</v>
      </c>
      <c r="H23" s="29" t="s">
        <v>796</v>
      </c>
      <c r="I23" s="29">
        <v>49826</v>
      </c>
      <c r="J23" s="29" t="s">
        <v>796</v>
      </c>
      <c r="K23" s="29">
        <v>10911567</v>
      </c>
      <c r="L23" s="29" t="s">
        <v>796</v>
      </c>
      <c r="M23" s="29" t="s">
        <v>796</v>
      </c>
      <c r="N23" s="29">
        <v>4291013</v>
      </c>
      <c r="O23" s="29">
        <v>813060</v>
      </c>
      <c r="P23" s="29">
        <v>69977</v>
      </c>
      <c r="Q23" s="29">
        <v>619410</v>
      </c>
      <c r="R23" s="31" t="s">
        <v>66</v>
      </c>
    </row>
    <row r="24" spans="1:18" s="29" customFormat="1" ht="10.5" customHeight="1" x14ac:dyDescent="0.15">
      <c r="A24" s="448" t="s">
        <v>563</v>
      </c>
      <c r="B24" s="30">
        <v>11808409</v>
      </c>
      <c r="C24" s="29" t="s">
        <v>796</v>
      </c>
      <c r="D24" s="29" t="s">
        <v>796</v>
      </c>
      <c r="E24" s="29" t="s">
        <v>796</v>
      </c>
      <c r="F24" s="29" t="s">
        <v>796</v>
      </c>
      <c r="G24" s="29" t="s">
        <v>796</v>
      </c>
      <c r="H24" s="29" t="s">
        <v>796</v>
      </c>
      <c r="I24" s="29" t="s">
        <v>796</v>
      </c>
      <c r="J24" s="29" t="s">
        <v>796</v>
      </c>
      <c r="K24" s="29">
        <v>11183458</v>
      </c>
      <c r="L24" s="29" t="s">
        <v>796</v>
      </c>
      <c r="M24" s="29" t="s">
        <v>796</v>
      </c>
      <c r="N24" s="29">
        <v>4842761</v>
      </c>
      <c r="O24" s="29">
        <v>812954</v>
      </c>
      <c r="P24" s="29">
        <v>68132</v>
      </c>
      <c r="Q24" s="29">
        <v>247771</v>
      </c>
      <c r="R24" s="31" t="s">
        <v>67</v>
      </c>
    </row>
    <row r="25" spans="1:18" s="29" customFormat="1" ht="10.5" customHeight="1" x14ac:dyDescent="0.15">
      <c r="A25" s="448" t="s">
        <v>564</v>
      </c>
      <c r="B25" s="30">
        <v>12514358</v>
      </c>
      <c r="C25" s="29" t="s">
        <v>796</v>
      </c>
      <c r="D25" s="29" t="s">
        <v>796</v>
      </c>
      <c r="E25" s="29">
        <v>48904</v>
      </c>
      <c r="F25" s="29" t="s">
        <v>796</v>
      </c>
      <c r="G25" s="29" t="s">
        <v>796</v>
      </c>
      <c r="H25" s="29" t="s">
        <v>796</v>
      </c>
      <c r="I25" s="29" t="s">
        <v>796</v>
      </c>
      <c r="J25" s="29">
        <v>48904</v>
      </c>
      <c r="K25" s="29">
        <v>11960233</v>
      </c>
      <c r="L25" s="29" t="s">
        <v>796</v>
      </c>
      <c r="M25" s="29" t="s">
        <v>796</v>
      </c>
      <c r="N25" s="29">
        <v>4937817</v>
      </c>
      <c r="O25" s="29">
        <v>748368</v>
      </c>
      <c r="P25" s="29">
        <v>73352</v>
      </c>
      <c r="Q25" s="29">
        <v>439996</v>
      </c>
      <c r="R25" s="31" t="s">
        <v>68</v>
      </c>
    </row>
    <row r="26" spans="1:18" s="29" customFormat="1" ht="10.5" customHeight="1" x14ac:dyDescent="0.15">
      <c r="A26" s="448" t="s">
        <v>565</v>
      </c>
      <c r="B26" s="30">
        <v>10401717</v>
      </c>
      <c r="C26" s="29" t="s">
        <v>796</v>
      </c>
      <c r="D26" s="29" t="s">
        <v>796</v>
      </c>
      <c r="E26" s="29">
        <v>37948</v>
      </c>
      <c r="F26" s="29" t="s">
        <v>796</v>
      </c>
      <c r="G26" s="29" t="s">
        <v>796</v>
      </c>
      <c r="H26" s="29" t="s">
        <v>796</v>
      </c>
      <c r="I26" s="29" t="s">
        <v>796</v>
      </c>
      <c r="J26" s="29">
        <v>37948</v>
      </c>
      <c r="K26" s="29">
        <v>9912173</v>
      </c>
      <c r="L26" s="29" t="s">
        <v>796</v>
      </c>
      <c r="M26" s="29" t="s">
        <v>796</v>
      </c>
      <c r="N26" s="29">
        <v>3737290</v>
      </c>
      <c r="O26" s="29">
        <v>864755</v>
      </c>
      <c r="P26" s="29">
        <v>74714</v>
      </c>
      <c r="Q26" s="29">
        <v>433518</v>
      </c>
      <c r="R26" s="32" t="s">
        <v>81</v>
      </c>
    </row>
    <row r="27" spans="1:18" s="29" customFormat="1" ht="10.5" customHeight="1" x14ac:dyDescent="0.15">
      <c r="A27" s="448" t="s">
        <v>566</v>
      </c>
      <c r="B27" s="30">
        <v>9927637</v>
      </c>
      <c r="C27" s="29" t="s">
        <v>796</v>
      </c>
      <c r="D27" s="29" t="s">
        <v>796</v>
      </c>
      <c r="E27" s="29">
        <v>47319</v>
      </c>
      <c r="F27" s="29">
        <v>47319</v>
      </c>
      <c r="G27" s="29" t="s">
        <v>796</v>
      </c>
      <c r="H27" s="29" t="s">
        <v>796</v>
      </c>
      <c r="I27" s="29" t="s">
        <v>796</v>
      </c>
      <c r="J27" s="29" t="s">
        <v>796</v>
      </c>
      <c r="K27" s="29">
        <v>9565895</v>
      </c>
      <c r="L27" s="29" t="s">
        <v>796</v>
      </c>
      <c r="M27" s="29" t="s">
        <v>796</v>
      </c>
      <c r="N27" s="29">
        <v>4099634</v>
      </c>
      <c r="O27" s="29">
        <v>827581</v>
      </c>
      <c r="P27" s="29">
        <v>69921</v>
      </c>
      <c r="Q27" s="29">
        <v>387678</v>
      </c>
      <c r="R27" s="31" t="s">
        <v>82</v>
      </c>
    </row>
    <row r="28" spans="1:18" s="29" customFormat="1" ht="10.5" customHeight="1" x14ac:dyDescent="0.15">
      <c r="A28" s="448" t="s">
        <v>567</v>
      </c>
      <c r="B28" s="30">
        <v>10050845</v>
      </c>
      <c r="C28" s="29" t="s">
        <v>796</v>
      </c>
      <c r="D28" s="29" t="s">
        <v>796</v>
      </c>
      <c r="E28" s="29">
        <v>93266</v>
      </c>
      <c r="F28" s="29" t="s">
        <v>796</v>
      </c>
      <c r="G28" s="29" t="s">
        <v>796</v>
      </c>
      <c r="H28" s="29" t="s">
        <v>796</v>
      </c>
      <c r="I28" s="29">
        <v>49821</v>
      </c>
      <c r="J28" s="29">
        <v>43445</v>
      </c>
      <c r="K28" s="29">
        <v>9813010</v>
      </c>
      <c r="L28" s="29" t="s">
        <v>796</v>
      </c>
      <c r="M28" s="29" t="s">
        <v>796</v>
      </c>
      <c r="N28" s="29">
        <v>3585021</v>
      </c>
      <c r="O28" s="29">
        <v>791882</v>
      </c>
      <c r="P28" s="29">
        <v>74574</v>
      </c>
      <c r="Q28" s="29">
        <v>353089</v>
      </c>
      <c r="R28" s="31" t="s">
        <v>83</v>
      </c>
    </row>
    <row r="29" spans="1:18" s="29" customFormat="1" ht="10.5" customHeight="1" x14ac:dyDescent="0.15">
      <c r="A29" s="448" t="s">
        <v>568</v>
      </c>
      <c r="B29" s="30">
        <v>11137837</v>
      </c>
      <c r="C29" s="29" t="s">
        <v>796</v>
      </c>
      <c r="D29" s="29" t="s">
        <v>796</v>
      </c>
      <c r="E29" s="29">
        <v>96310</v>
      </c>
      <c r="F29" s="29">
        <v>96310</v>
      </c>
      <c r="G29" s="29" t="s">
        <v>796</v>
      </c>
      <c r="H29" s="29" t="s">
        <v>796</v>
      </c>
      <c r="I29" s="29" t="s">
        <v>796</v>
      </c>
      <c r="J29" s="29" t="s">
        <v>796</v>
      </c>
      <c r="K29" s="29">
        <v>10563735</v>
      </c>
      <c r="L29" s="29" t="s">
        <v>796</v>
      </c>
      <c r="M29" s="29" t="s">
        <v>796</v>
      </c>
      <c r="N29" s="29">
        <v>4319554</v>
      </c>
      <c r="O29" s="29">
        <v>609998</v>
      </c>
      <c r="P29" s="29">
        <v>69897</v>
      </c>
      <c r="Q29" s="29">
        <v>361730</v>
      </c>
      <c r="R29" s="31" t="s">
        <v>84</v>
      </c>
    </row>
    <row r="30" spans="1:18" s="29" customFormat="1" ht="10.5" customHeight="1" x14ac:dyDescent="0.15">
      <c r="A30" s="448" t="s">
        <v>569</v>
      </c>
      <c r="B30" s="30">
        <v>11567254</v>
      </c>
      <c r="C30" s="29" t="s">
        <v>796</v>
      </c>
      <c r="D30" s="29" t="s">
        <v>796</v>
      </c>
      <c r="E30" s="29">
        <v>90313</v>
      </c>
      <c r="F30" s="29" t="s">
        <v>796</v>
      </c>
      <c r="G30" s="29" t="s">
        <v>796</v>
      </c>
      <c r="H30" s="29" t="s">
        <v>796</v>
      </c>
      <c r="I30" s="29">
        <v>47465</v>
      </c>
      <c r="J30" s="29">
        <v>42848</v>
      </c>
      <c r="K30" s="29">
        <v>10718671</v>
      </c>
      <c r="L30" s="29" t="s">
        <v>796</v>
      </c>
      <c r="M30" s="29" t="s">
        <v>796</v>
      </c>
      <c r="N30" s="29">
        <v>4441557</v>
      </c>
      <c r="O30" s="29">
        <v>674827</v>
      </c>
      <c r="P30" s="29">
        <v>40187</v>
      </c>
      <c r="Q30" s="29">
        <v>509148</v>
      </c>
      <c r="R30" s="31" t="s">
        <v>85</v>
      </c>
    </row>
    <row r="31" spans="1:18" s="29" customFormat="1" ht="10.5" customHeight="1" x14ac:dyDescent="0.15">
      <c r="A31" s="448" t="s">
        <v>570</v>
      </c>
      <c r="B31" s="30">
        <v>10560374</v>
      </c>
      <c r="C31" s="29" t="s">
        <v>796</v>
      </c>
      <c r="D31" s="29" t="s">
        <v>796</v>
      </c>
      <c r="E31" s="29">
        <v>86978</v>
      </c>
      <c r="F31" s="29">
        <v>39513</v>
      </c>
      <c r="G31" s="29" t="s">
        <v>796</v>
      </c>
      <c r="H31" s="29" t="s">
        <v>796</v>
      </c>
      <c r="I31" s="29">
        <v>47465</v>
      </c>
      <c r="J31" s="29" t="s">
        <v>796</v>
      </c>
      <c r="K31" s="29">
        <v>10327122</v>
      </c>
      <c r="L31" s="29" t="s">
        <v>796</v>
      </c>
      <c r="M31" s="29" t="s">
        <v>796</v>
      </c>
      <c r="N31" s="29">
        <v>4414153</v>
      </c>
      <c r="O31" s="29">
        <v>324538</v>
      </c>
      <c r="P31" s="29">
        <v>111237</v>
      </c>
      <c r="Q31" s="29">
        <v>428761</v>
      </c>
      <c r="R31" s="31" t="s">
        <v>69</v>
      </c>
    </row>
    <row r="32" spans="1:18" s="29" customFormat="1" ht="10.5" customHeight="1" x14ac:dyDescent="0.15">
      <c r="A32" s="448" t="s">
        <v>571</v>
      </c>
      <c r="B32" s="30">
        <v>11298459</v>
      </c>
      <c r="C32" s="29" t="s">
        <v>796</v>
      </c>
      <c r="D32" s="29" t="s">
        <v>796</v>
      </c>
      <c r="E32" s="29">
        <v>47190</v>
      </c>
      <c r="F32" s="29">
        <v>47190</v>
      </c>
      <c r="G32" s="29" t="s">
        <v>796</v>
      </c>
      <c r="H32" s="29" t="s">
        <v>796</v>
      </c>
      <c r="I32" s="29" t="s">
        <v>796</v>
      </c>
      <c r="J32" s="29" t="s">
        <v>796</v>
      </c>
      <c r="K32" s="29">
        <v>10750151</v>
      </c>
      <c r="L32" s="29" t="s">
        <v>796</v>
      </c>
      <c r="M32" s="29" t="s">
        <v>796</v>
      </c>
      <c r="N32" s="29">
        <v>4999981</v>
      </c>
      <c r="O32" s="29">
        <v>824316</v>
      </c>
      <c r="P32" s="29">
        <v>70795</v>
      </c>
      <c r="Q32" s="29">
        <v>543451</v>
      </c>
      <c r="R32" s="31" t="s">
        <v>70</v>
      </c>
    </row>
    <row r="33" spans="1:18" s="29" customFormat="1" ht="10.5" customHeight="1" x14ac:dyDescent="0.15">
      <c r="A33" s="448" t="s">
        <v>572</v>
      </c>
      <c r="B33" s="30">
        <v>12517444</v>
      </c>
      <c r="C33" s="29" t="s">
        <v>796</v>
      </c>
      <c r="D33" s="29" t="s">
        <v>796</v>
      </c>
      <c r="E33" s="29">
        <v>25192</v>
      </c>
      <c r="F33" s="29" t="s">
        <v>796</v>
      </c>
      <c r="G33" s="29" t="s">
        <v>796</v>
      </c>
      <c r="H33" s="29" t="s">
        <v>796</v>
      </c>
      <c r="I33" s="29">
        <v>25192</v>
      </c>
      <c r="J33" s="29" t="s">
        <v>796</v>
      </c>
      <c r="K33" s="29">
        <v>12054390</v>
      </c>
      <c r="L33" s="29" t="s">
        <v>796</v>
      </c>
      <c r="M33" s="29" t="s">
        <v>796</v>
      </c>
      <c r="N33" s="29">
        <v>4929639</v>
      </c>
      <c r="O33" s="29">
        <v>794049</v>
      </c>
      <c r="P33" s="29" t="s">
        <v>796</v>
      </c>
      <c r="Q33" s="29">
        <v>541447</v>
      </c>
      <c r="R33" s="31" t="s">
        <v>71</v>
      </c>
    </row>
    <row r="34" spans="1:18" s="29" customFormat="1" ht="10.5" customHeight="1" x14ac:dyDescent="0.15">
      <c r="A34" s="448" t="s">
        <v>841</v>
      </c>
      <c r="B34" s="30">
        <v>13173054</v>
      </c>
      <c r="C34" s="29" t="s">
        <v>796</v>
      </c>
      <c r="D34" s="29" t="s">
        <v>796</v>
      </c>
      <c r="E34" s="29" t="s">
        <v>796</v>
      </c>
      <c r="F34" s="29" t="s">
        <v>796</v>
      </c>
      <c r="G34" s="29" t="s">
        <v>796</v>
      </c>
      <c r="H34" s="29" t="s">
        <v>796</v>
      </c>
      <c r="I34" s="29" t="s">
        <v>796</v>
      </c>
      <c r="J34" s="29" t="s">
        <v>796</v>
      </c>
      <c r="K34" s="29">
        <v>12604335</v>
      </c>
      <c r="L34" s="29" t="s">
        <v>796</v>
      </c>
      <c r="M34" s="29" t="s">
        <v>796</v>
      </c>
      <c r="N34" s="29">
        <v>5396888</v>
      </c>
      <c r="O34" s="29">
        <v>770431</v>
      </c>
      <c r="P34" s="29">
        <v>171370</v>
      </c>
      <c r="Q34" s="29">
        <v>470080</v>
      </c>
      <c r="R34" s="31" t="s">
        <v>842</v>
      </c>
    </row>
    <row r="35" spans="1:18" s="29" customFormat="1" ht="10.5" customHeight="1" x14ac:dyDescent="0.15">
      <c r="A35" s="448" t="s">
        <v>573</v>
      </c>
      <c r="B35" s="30">
        <v>10700327</v>
      </c>
      <c r="C35" s="29" t="s">
        <v>796</v>
      </c>
      <c r="D35" s="29" t="s">
        <v>796</v>
      </c>
      <c r="E35" s="29" t="s">
        <v>796</v>
      </c>
      <c r="F35" s="29" t="s">
        <v>796</v>
      </c>
      <c r="G35" s="29" t="s">
        <v>796</v>
      </c>
      <c r="H35" s="29" t="s">
        <v>796</v>
      </c>
      <c r="I35" s="29" t="s">
        <v>796</v>
      </c>
      <c r="J35" s="29" t="s">
        <v>796</v>
      </c>
      <c r="K35" s="29">
        <v>10410382</v>
      </c>
      <c r="L35" s="29" t="s">
        <v>796</v>
      </c>
      <c r="M35" s="29" t="s">
        <v>796</v>
      </c>
      <c r="N35" s="29">
        <v>4905638</v>
      </c>
      <c r="O35" s="29">
        <v>606658</v>
      </c>
      <c r="P35" s="29">
        <v>74470</v>
      </c>
      <c r="Q35" s="29">
        <v>477651</v>
      </c>
      <c r="R35" s="31" t="s">
        <v>66</v>
      </c>
    </row>
    <row r="36" spans="1:18" s="29" customFormat="1" ht="10.5" customHeight="1" x14ac:dyDescent="0.15">
      <c r="A36" s="649" t="s">
        <v>574</v>
      </c>
      <c r="B36" s="520">
        <v>12444198</v>
      </c>
      <c r="C36" s="650" t="s">
        <v>796</v>
      </c>
      <c r="D36" s="650" t="s">
        <v>796</v>
      </c>
      <c r="E36" s="650">
        <v>28233</v>
      </c>
      <c r="F36" s="650" t="s">
        <v>796</v>
      </c>
      <c r="G36" s="650" t="s">
        <v>796</v>
      </c>
      <c r="H36" s="650">
        <v>28233</v>
      </c>
      <c r="I36" s="650" t="s">
        <v>796</v>
      </c>
      <c r="J36" s="650" t="s">
        <v>796</v>
      </c>
      <c r="K36" s="650">
        <v>12053505</v>
      </c>
      <c r="L36" s="650" t="s">
        <v>796</v>
      </c>
      <c r="M36" s="650" t="s">
        <v>796</v>
      </c>
      <c r="N36" s="650">
        <v>4910631</v>
      </c>
      <c r="O36" s="650">
        <v>831447</v>
      </c>
      <c r="P36" s="650">
        <v>72299</v>
      </c>
      <c r="Q36" s="650">
        <v>686309</v>
      </c>
      <c r="R36" s="521" t="s">
        <v>67</v>
      </c>
    </row>
    <row r="37" spans="1:18" ht="9" customHeight="1" x14ac:dyDescent="0.25"/>
    <row r="38" spans="1:18" ht="13.5" customHeight="1" x14ac:dyDescent="0.25">
      <c r="I38" s="23" t="s">
        <v>86</v>
      </c>
    </row>
    <row r="39" spans="1:18" s="25" customFormat="1" ht="15" customHeight="1" x14ac:dyDescent="0.15">
      <c r="A39" s="639"/>
      <c r="B39" s="651" t="s">
        <v>87</v>
      </c>
      <c r="C39" s="639"/>
      <c r="D39" s="641"/>
      <c r="E39" s="642"/>
      <c r="F39" s="639"/>
      <c r="G39" s="641"/>
      <c r="H39" s="642"/>
      <c r="I39" s="639"/>
      <c r="J39" s="641"/>
      <c r="K39" s="642"/>
      <c r="L39" s="642"/>
      <c r="M39" s="642"/>
      <c r="N39" s="639"/>
      <c r="O39" s="641"/>
      <c r="P39" s="642"/>
      <c r="Q39" s="642"/>
      <c r="R39" s="1000" t="s">
        <v>72</v>
      </c>
    </row>
    <row r="40" spans="1:18" s="28" customFormat="1" ht="22.5" customHeight="1" x14ac:dyDescent="0.15">
      <c r="A40" s="26" t="s">
        <v>153</v>
      </c>
      <c r="B40" s="644" t="s">
        <v>27</v>
      </c>
      <c r="C40" s="644" t="s">
        <v>51</v>
      </c>
      <c r="D40" s="508" t="s">
        <v>89</v>
      </c>
      <c r="E40" s="644" t="s">
        <v>90</v>
      </c>
      <c r="F40" s="644" t="s">
        <v>28</v>
      </c>
      <c r="G40" s="508" t="s">
        <v>91</v>
      </c>
      <c r="H40" s="644" t="s">
        <v>432</v>
      </c>
      <c r="I40" s="644" t="s">
        <v>65</v>
      </c>
      <c r="J40" s="508" t="s">
        <v>92</v>
      </c>
      <c r="K40" s="644" t="s">
        <v>59</v>
      </c>
      <c r="L40" s="644" t="s">
        <v>61</v>
      </c>
      <c r="M40" s="644" t="s">
        <v>13</v>
      </c>
      <c r="N40" s="644" t="s">
        <v>575</v>
      </c>
      <c r="O40" s="508" t="s">
        <v>98</v>
      </c>
      <c r="P40" s="644" t="s">
        <v>99</v>
      </c>
      <c r="Q40" s="643" t="s">
        <v>100</v>
      </c>
      <c r="R40" s="1001"/>
    </row>
    <row r="41" spans="1:18" s="28" customFormat="1" ht="30" customHeight="1" x14ac:dyDescent="0.15">
      <c r="A41" s="652"/>
      <c r="B41" s="509" t="s">
        <v>32</v>
      </c>
      <c r="C41" s="509" t="s">
        <v>57</v>
      </c>
      <c r="D41" s="509" t="s">
        <v>94</v>
      </c>
      <c r="E41" s="509" t="s">
        <v>95</v>
      </c>
      <c r="F41" s="509" t="s">
        <v>58</v>
      </c>
      <c r="G41" s="509" t="s">
        <v>96</v>
      </c>
      <c r="H41" s="509" t="s">
        <v>433</v>
      </c>
      <c r="I41" s="509" t="s">
        <v>56</v>
      </c>
      <c r="J41" s="509" t="s">
        <v>97</v>
      </c>
      <c r="K41" s="509" t="s">
        <v>60</v>
      </c>
      <c r="L41" s="509" t="s">
        <v>62</v>
      </c>
      <c r="M41" s="509" t="s">
        <v>20</v>
      </c>
      <c r="N41" s="509" t="s">
        <v>576</v>
      </c>
      <c r="O41" s="509" t="s">
        <v>21</v>
      </c>
      <c r="P41" s="509" t="s">
        <v>102</v>
      </c>
      <c r="Q41" s="518" t="s">
        <v>103</v>
      </c>
      <c r="R41" s="1002"/>
    </row>
    <row r="42" spans="1:18" s="29" customFormat="1" ht="10.5" customHeight="1" x14ac:dyDescent="0.15">
      <c r="A42" s="645" t="s">
        <v>831</v>
      </c>
      <c r="B42" s="646">
        <v>668065</v>
      </c>
      <c r="C42" s="647">
        <v>46298758</v>
      </c>
      <c r="D42" s="647">
        <v>4942885</v>
      </c>
      <c r="E42" s="647" t="s">
        <v>796</v>
      </c>
      <c r="F42" s="647">
        <v>4942885</v>
      </c>
      <c r="G42" s="647">
        <v>1094794</v>
      </c>
      <c r="H42" s="647" t="s">
        <v>796</v>
      </c>
      <c r="I42" s="647">
        <v>1094794</v>
      </c>
      <c r="J42" s="647">
        <v>2530556</v>
      </c>
      <c r="K42" s="647">
        <v>81102</v>
      </c>
      <c r="L42" s="647" t="s">
        <v>796</v>
      </c>
      <c r="M42" s="647">
        <v>2449454</v>
      </c>
      <c r="N42" s="647" t="s">
        <v>796</v>
      </c>
      <c r="O42" s="647">
        <v>421459</v>
      </c>
      <c r="P42" s="647">
        <v>369843</v>
      </c>
      <c r="Q42" s="647">
        <v>51616</v>
      </c>
      <c r="R42" s="648" t="s">
        <v>517</v>
      </c>
    </row>
    <row r="43" spans="1:18" s="29" customFormat="1" ht="10.5" customHeight="1" x14ac:dyDescent="0.15">
      <c r="A43" s="448" t="s">
        <v>557</v>
      </c>
      <c r="B43" s="29">
        <v>825144</v>
      </c>
      <c r="C43" s="29">
        <v>50636882</v>
      </c>
      <c r="D43" s="29">
        <v>5183041</v>
      </c>
      <c r="E43" s="29">
        <v>10</v>
      </c>
      <c r="F43" s="29">
        <v>5183031</v>
      </c>
      <c r="G43" s="29">
        <v>469328</v>
      </c>
      <c r="H43" s="29" t="s">
        <v>796</v>
      </c>
      <c r="I43" s="29">
        <v>469328</v>
      </c>
      <c r="J43" s="29">
        <v>2444840</v>
      </c>
      <c r="K43" s="29">
        <v>114870</v>
      </c>
      <c r="L43" s="29" t="s">
        <v>796</v>
      </c>
      <c r="M43" s="29">
        <v>2329652</v>
      </c>
      <c r="N43" s="29">
        <v>318</v>
      </c>
      <c r="O43" s="29">
        <v>752667</v>
      </c>
      <c r="P43" s="29">
        <v>498527</v>
      </c>
      <c r="Q43" s="29">
        <v>67609</v>
      </c>
      <c r="R43" s="31" t="s">
        <v>558</v>
      </c>
    </row>
    <row r="44" spans="1:18" s="29" customFormat="1" ht="10.5" customHeight="1" x14ac:dyDescent="0.15">
      <c r="A44" s="448" t="s">
        <v>682</v>
      </c>
      <c r="B44" s="29">
        <v>1775320</v>
      </c>
      <c r="C44" s="29">
        <v>60196846</v>
      </c>
      <c r="D44" s="29">
        <v>2062879</v>
      </c>
      <c r="E44" s="29" t="s">
        <v>796</v>
      </c>
      <c r="F44" s="29">
        <v>2062879</v>
      </c>
      <c r="G44" s="29">
        <v>1592968</v>
      </c>
      <c r="H44" s="29" t="s">
        <v>796</v>
      </c>
      <c r="I44" s="29">
        <v>1592968</v>
      </c>
      <c r="J44" s="29">
        <v>3616062</v>
      </c>
      <c r="K44" s="29">
        <v>650033</v>
      </c>
      <c r="L44" s="29" t="s">
        <v>796</v>
      </c>
      <c r="M44" s="29">
        <v>2966029</v>
      </c>
      <c r="N44" s="29" t="s">
        <v>796</v>
      </c>
      <c r="O44" s="29">
        <v>342064</v>
      </c>
      <c r="P44" s="29">
        <v>86900</v>
      </c>
      <c r="Q44" s="29" t="s">
        <v>796</v>
      </c>
      <c r="R44" s="31" t="s">
        <v>683</v>
      </c>
    </row>
    <row r="45" spans="1:18" s="29" customFormat="1" ht="10.5" customHeight="1" x14ac:dyDescent="0.15">
      <c r="A45" s="448" t="s">
        <v>784</v>
      </c>
      <c r="B45" s="29">
        <v>1749174</v>
      </c>
      <c r="C45" s="29">
        <v>57535001</v>
      </c>
      <c r="D45" s="29">
        <v>118876</v>
      </c>
      <c r="E45" s="29" t="s">
        <v>796</v>
      </c>
      <c r="F45" s="29">
        <v>118876</v>
      </c>
      <c r="G45" s="29">
        <v>3102976</v>
      </c>
      <c r="H45" s="29" t="s">
        <v>796</v>
      </c>
      <c r="I45" s="29">
        <v>3102976</v>
      </c>
      <c r="J45" s="29">
        <v>2269621</v>
      </c>
      <c r="K45" s="29">
        <v>126257</v>
      </c>
      <c r="L45" s="29">
        <v>31701</v>
      </c>
      <c r="M45" s="29">
        <v>2111663</v>
      </c>
      <c r="N45" s="29" t="s">
        <v>796</v>
      </c>
      <c r="O45" s="29">
        <v>24826</v>
      </c>
      <c r="P45" s="29" t="s">
        <v>796</v>
      </c>
      <c r="Q45" s="29" t="s">
        <v>796</v>
      </c>
      <c r="R45" s="31" t="s">
        <v>785</v>
      </c>
    </row>
    <row r="46" spans="1:18" s="29" customFormat="1" ht="10.5" customHeight="1" x14ac:dyDescent="0.15">
      <c r="A46" s="448" t="s">
        <v>832</v>
      </c>
      <c r="B46" s="29">
        <v>784067</v>
      </c>
      <c r="C46" s="29">
        <v>59795687</v>
      </c>
      <c r="D46" s="29" t="s">
        <v>796</v>
      </c>
      <c r="E46" s="29" t="s">
        <v>796</v>
      </c>
      <c r="F46" s="29" t="s">
        <v>796</v>
      </c>
      <c r="G46" s="29">
        <v>3342148</v>
      </c>
      <c r="H46" s="29">
        <v>41977</v>
      </c>
      <c r="I46" s="29">
        <v>3300171</v>
      </c>
      <c r="J46" s="29">
        <v>1676854</v>
      </c>
      <c r="K46" s="29" t="s">
        <v>796</v>
      </c>
      <c r="L46" s="29" t="s">
        <v>796</v>
      </c>
      <c r="M46" s="29">
        <v>1676854</v>
      </c>
      <c r="N46" s="29" t="s">
        <v>796</v>
      </c>
      <c r="O46" s="29">
        <v>16189</v>
      </c>
      <c r="P46" s="29" t="s">
        <v>796</v>
      </c>
      <c r="Q46" s="29" t="s">
        <v>796</v>
      </c>
      <c r="R46" s="31" t="s">
        <v>833</v>
      </c>
    </row>
    <row r="47" spans="1:18" s="29" customFormat="1" ht="10.5" customHeight="1" x14ac:dyDescent="0.15">
      <c r="A47" s="464"/>
      <c r="R47" s="31"/>
    </row>
    <row r="48" spans="1:18" s="29" customFormat="1" ht="10.5" customHeight="1" x14ac:dyDescent="0.15">
      <c r="A48" s="448" t="s">
        <v>834</v>
      </c>
      <c r="B48" s="29">
        <v>1590180</v>
      </c>
      <c r="C48" s="29">
        <v>59221947</v>
      </c>
      <c r="D48" s="29" t="s">
        <v>796</v>
      </c>
      <c r="E48" s="29" t="s">
        <v>796</v>
      </c>
      <c r="F48" s="29" t="s">
        <v>796</v>
      </c>
      <c r="G48" s="29">
        <v>3656826</v>
      </c>
      <c r="H48" s="29" t="s">
        <v>796</v>
      </c>
      <c r="I48" s="29">
        <v>3656826</v>
      </c>
      <c r="J48" s="29">
        <v>2375463</v>
      </c>
      <c r="K48" s="29">
        <v>126257</v>
      </c>
      <c r="L48" s="29">
        <v>31701</v>
      </c>
      <c r="M48" s="29">
        <v>2217505</v>
      </c>
      <c r="N48" s="29" t="s">
        <v>796</v>
      </c>
      <c r="O48" s="29">
        <v>24826</v>
      </c>
      <c r="P48" s="29" t="s">
        <v>796</v>
      </c>
      <c r="Q48" s="29" t="s">
        <v>796</v>
      </c>
      <c r="R48" s="31" t="s">
        <v>786</v>
      </c>
    </row>
    <row r="49" spans="1:18" s="29" customFormat="1" ht="10.5" customHeight="1" x14ac:dyDescent="0.15">
      <c r="A49" s="448" t="s">
        <v>835</v>
      </c>
      <c r="B49" s="29">
        <v>1370994</v>
      </c>
      <c r="C49" s="29">
        <v>59480281</v>
      </c>
      <c r="D49" s="29" t="s">
        <v>796</v>
      </c>
      <c r="E49" s="29" t="s">
        <v>796</v>
      </c>
      <c r="F49" s="29" t="s">
        <v>796</v>
      </c>
      <c r="G49" s="29">
        <v>2740760</v>
      </c>
      <c r="H49" s="29">
        <v>129353</v>
      </c>
      <c r="I49" s="29">
        <v>2611407</v>
      </c>
      <c r="J49" s="29">
        <v>1654304</v>
      </c>
      <c r="K49" s="29" t="s">
        <v>796</v>
      </c>
      <c r="L49" s="29" t="s">
        <v>796</v>
      </c>
      <c r="M49" s="29">
        <v>1654304</v>
      </c>
      <c r="N49" s="29" t="s">
        <v>796</v>
      </c>
      <c r="O49" s="29">
        <v>16189</v>
      </c>
      <c r="P49" s="29" t="s">
        <v>796</v>
      </c>
      <c r="Q49" s="29" t="s">
        <v>796</v>
      </c>
      <c r="R49" s="31" t="s">
        <v>836</v>
      </c>
    </row>
    <row r="50" spans="1:18" s="29" customFormat="1" ht="10.5" customHeight="1" x14ac:dyDescent="0.15">
      <c r="A50" s="464"/>
      <c r="R50" s="31"/>
    </row>
    <row r="51" spans="1:18" s="29" customFormat="1" ht="10.5" customHeight="1" x14ac:dyDescent="0.15">
      <c r="A51" s="448" t="s">
        <v>837</v>
      </c>
      <c r="B51" s="29">
        <v>237553</v>
      </c>
      <c r="C51" s="29">
        <v>15185276</v>
      </c>
      <c r="D51" s="29" t="s">
        <v>796</v>
      </c>
      <c r="E51" s="29" t="s">
        <v>796</v>
      </c>
      <c r="F51" s="29" t="s">
        <v>796</v>
      </c>
      <c r="G51" s="29">
        <v>1247822</v>
      </c>
      <c r="H51" s="29" t="s">
        <v>796</v>
      </c>
      <c r="I51" s="29">
        <v>1247822</v>
      </c>
      <c r="J51" s="29">
        <v>413913</v>
      </c>
      <c r="K51" s="29" t="s">
        <v>796</v>
      </c>
      <c r="L51" s="29" t="s">
        <v>796</v>
      </c>
      <c r="M51" s="29">
        <v>413913</v>
      </c>
      <c r="N51" s="29" t="s">
        <v>796</v>
      </c>
      <c r="O51" s="29" t="s">
        <v>796</v>
      </c>
      <c r="P51" s="29" t="s">
        <v>796</v>
      </c>
      <c r="Q51" s="29" t="s">
        <v>796</v>
      </c>
      <c r="R51" s="31" t="s">
        <v>787</v>
      </c>
    </row>
    <row r="52" spans="1:18" s="29" customFormat="1" ht="10.5" customHeight="1" x14ac:dyDescent="0.15">
      <c r="A52" s="448" t="s">
        <v>559</v>
      </c>
      <c r="B52" s="29">
        <v>158013</v>
      </c>
      <c r="C52" s="29">
        <v>14585664</v>
      </c>
      <c r="D52" s="29" t="s">
        <v>796</v>
      </c>
      <c r="E52" s="29" t="s">
        <v>796</v>
      </c>
      <c r="F52" s="29" t="s">
        <v>796</v>
      </c>
      <c r="G52" s="29">
        <v>674802</v>
      </c>
      <c r="H52" s="29" t="s">
        <v>796</v>
      </c>
      <c r="I52" s="29">
        <v>674802</v>
      </c>
      <c r="J52" s="29">
        <v>453492</v>
      </c>
      <c r="K52" s="29" t="s">
        <v>796</v>
      </c>
      <c r="L52" s="29" t="s">
        <v>796</v>
      </c>
      <c r="M52" s="29">
        <v>453492</v>
      </c>
      <c r="N52" s="29" t="s">
        <v>796</v>
      </c>
      <c r="O52" s="29" t="s">
        <v>796</v>
      </c>
      <c r="P52" s="29" t="s">
        <v>796</v>
      </c>
      <c r="Q52" s="29" t="s">
        <v>796</v>
      </c>
      <c r="R52" s="31" t="s">
        <v>78</v>
      </c>
    </row>
    <row r="53" spans="1:18" s="29" customFormat="1" ht="10.5" customHeight="1" x14ac:dyDescent="0.15">
      <c r="A53" s="448" t="s">
        <v>560</v>
      </c>
      <c r="B53" s="29">
        <v>309306</v>
      </c>
      <c r="C53" s="29">
        <v>14954646</v>
      </c>
      <c r="D53" s="29" t="s">
        <v>796</v>
      </c>
      <c r="E53" s="29" t="s">
        <v>796</v>
      </c>
      <c r="F53" s="29" t="s">
        <v>796</v>
      </c>
      <c r="G53" s="29">
        <v>1037244</v>
      </c>
      <c r="H53" s="29">
        <v>41977</v>
      </c>
      <c r="I53" s="29">
        <v>995267</v>
      </c>
      <c r="J53" s="29">
        <v>283775</v>
      </c>
      <c r="K53" s="29" t="s">
        <v>796</v>
      </c>
      <c r="L53" s="29" t="s">
        <v>796</v>
      </c>
      <c r="M53" s="29">
        <v>283775</v>
      </c>
      <c r="N53" s="29" t="s">
        <v>796</v>
      </c>
      <c r="O53" s="29">
        <v>16189</v>
      </c>
      <c r="P53" s="29" t="s">
        <v>796</v>
      </c>
      <c r="Q53" s="29" t="s">
        <v>796</v>
      </c>
      <c r="R53" s="31" t="s">
        <v>79</v>
      </c>
    </row>
    <row r="54" spans="1:18" s="29" customFormat="1" ht="10.5" customHeight="1" x14ac:dyDescent="0.15">
      <c r="A54" s="448" t="s">
        <v>561</v>
      </c>
      <c r="B54" s="29">
        <v>79195</v>
      </c>
      <c r="C54" s="29">
        <v>15070101</v>
      </c>
      <c r="D54" s="29" t="s">
        <v>796</v>
      </c>
      <c r="E54" s="29" t="s">
        <v>796</v>
      </c>
      <c r="F54" s="29" t="s">
        <v>796</v>
      </c>
      <c r="G54" s="29">
        <v>382280</v>
      </c>
      <c r="H54" s="29" t="s">
        <v>796</v>
      </c>
      <c r="I54" s="29">
        <v>382280</v>
      </c>
      <c r="J54" s="29">
        <v>525674</v>
      </c>
      <c r="K54" s="29" t="s">
        <v>796</v>
      </c>
      <c r="L54" s="29" t="s">
        <v>796</v>
      </c>
      <c r="M54" s="29">
        <v>525674</v>
      </c>
      <c r="N54" s="29" t="s">
        <v>796</v>
      </c>
      <c r="O54" s="29" t="s">
        <v>796</v>
      </c>
      <c r="P54" s="29" t="s">
        <v>796</v>
      </c>
      <c r="Q54" s="29" t="s">
        <v>796</v>
      </c>
      <c r="R54" s="31" t="s">
        <v>80</v>
      </c>
    </row>
    <row r="55" spans="1:18" s="29" customFormat="1" ht="10.5" customHeight="1" x14ac:dyDescent="0.15">
      <c r="A55" s="448" t="s">
        <v>838</v>
      </c>
      <c r="B55" s="29">
        <v>824480</v>
      </c>
      <c r="C55" s="29">
        <v>14869870</v>
      </c>
      <c r="D55" s="29" t="s">
        <v>796</v>
      </c>
      <c r="E55" s="29" t="s">
        <v>796</v>
      </c>
      <c r="F55" s="29" t="s">
        <v>796</v>
      </c>
      <c r="G55" s="29">
        <v>646434</v>
      </c>
      <c r="H55" s="29">
        <v>87376</v>
      </c>
      <c r="I55" s="29">
        <v>559058</v>
      </c>
      <c r="J55" s="29">
        <v>391363</v>
      </c>
      <c r="K55" s="29" t="s">
        <v>796</v>
      </c>
      <c r="L55" s="29" t="s">
        <v>796</v>
      </c>
      <c r="M55" s="29">
        <v>391363</v>
      </c>
      <c r="N55" s="29" t="s">
        <v>796</v>
      </c>
      <c r="O55" s="29" t="s">
        <v>796</v>
      </c>
      <c r="P55" s="29" t="s">
        <v>796</v>
      </c>
      <c r="Q55" s="29" t="s">
        <v>796</v>
      </c>
      <c r="R55" s="31" t="s">
        <v>839</v>
      </c>
    </row>
    <row r="56" spans="1:18" s="29" customFormat="1" ht="10.5" customHeight="1" x14ac:dyDescent="0.15">
      <c r="A56" s="464"/>
      <c r="R56" s="31"/>
    </row>
    <row r="57" spans="1:18" s="29" customFormat="1" ht="10.5" customHeight="1" x14ac:dyDescent="0.15">
      <c r="A57" s="448" t="s">
        <v>840</v>
      </c>
      <c r="B57" s="29">
        <v>79124</v>
      </c>
      <c r="C57" s="29">
        <v>5013758</v>
      </c>
      <c r="D57" s="29" t="s">
        <v>796</v>
      </c>
      <c r="E57" s="29" t="s">
        <v>796</v>
      </c>
      <c r="F57" s="29" t="s">
        <v>796</v>
      </c>
      <c r="G57" s="29">
        <v>643568</v>
      </c>
      <c r="H57" s="29" t="s">
        <v>796</v>
      </c>
      <c r="I57" s="29">
        <v>643568</v>
      </c>
      <c r="J57" s="29">
        <v>110258</v>
      </c>
      <c r="K57" s="29" t="s">
        <v>796</v>
      </c>
      <c r="L57" s="29" t="s">
        <v>796</v>
      </c>
      <c r="M57" s="29">
        <v>110258</v>
      </c>
      <c r="N57" s="29" t="s">
        <v>796</v>
      </c>
      <c r="O57" s="29" t="s">
        <v>796</v>
      </c>
      <c r="P57" s="29" t="s">
        <v>796</v>
      </c>
      <c r="Q57" s="29" t="s">
        <v>796</v>
      </c>
      <c r="R57" s="31" t="s">
        <v>788</v>
      </c>
    </row>
    <row r="58" spans="1:18" s="29" customFormat="1" ht="10.5" customHeight="1" x14ac:dyDescent="0.15">
      <c r="A58" s="448" t="s">
        <v>562</v>
      </c>
      <c r="B58" s="29">
        <v>148659</v>
      </c>
      <c r="C58" s="29">
        <v>4969448</v>
      </c>
      <c r="D58" s="29" t="s">
        <v>796</v>
      </c>
      <c r="E58" s="29" t="s">
        <v>796</v>
      </c>
      <c r="F58" s="29" t="s">
        <v>796</v>
      </c>
      <c r="G58" s="29">
        <v>124912</v>
      </c>
      <c r="H58" s="29" t="s">
        <v>796</v>
      </c>
      <c r="I58" s="29">
        <v>124912</v>
      </c>
      <c r="J58" s="29">
        <v>192366</v>
      </c>
      <c r="K58" s="29" t="s">
        <v>796</v>
      </c>
      <c r="L58" s="29" t="s">
        <v>796</v>
      </c>
      <c r="M58" s="29">
        <v>192366</v>
      </c>
      <c r="N58" s="29" t="s">
        <v>796</v>
      </c>
      <c r="O58" s="29" t="s">
        <v>796</v>
      </c>
      <c r="P58" s="29" t="s">
        <v>796</v>
      </c>
      <c r="Q58" s="29" t="s">
        <v>796</v>
      </c>
      <c r="R58" s="31" t="s">
        <v>66</v>
      </c>
    </row>
    <row r="59" spans="1:18" s="29" customFormat="1" ht="10.5" customHeight="1" x14ac:dyDescent="0.15">
      <c r="A59" s="448" t="s">
        <v>563</v>
      </c>
      <c r="B59" s="29">
        <v>9770</v>
      </c>
      <c r="C59" s="29">
        <v>5202070</v>
      </c>
      <c r="D59" s="29" t="s">
        <v>796</v>
      </c>
      <c r="E59" s="29" t="s">
        <v>796</v>
      </c>
      <c r="F59" s="29" t="s">
        <v>796</v>
      </c>
      <c r="G59" s="29">
        <v>479342</v>
      </c>
      <c r="H59" s="29" t="s">
        <v>796</v>
      </c>
      <c r="I59" s="29">
        <v>479342</v>
      </c>
      <c r="J59" s="29">
        <v>111289</v>
      </c>
      <c r="K59" s="29" t="s">
        <v>796</v>
      </c>
      <c r="L59" s="29" t="s">
        <v>796</v>
      </c>
      <c r="M59" s="29">
        <v>111289</v>
      </c>
      <c r="N59" s="29" t="s">
        <v>796</v>
      </c>
      <c r="O59" s="29" t="s">
        <v>796</v>
      </c>
      <c r="P59" s="29" t="s">
        <v>796</v>
      </c>
      <c r="Q59" s="29" t="s">
        <v>796</v>
      </c>
      <c r="R59" s="31" t="s">
        <v>67</v>
      </c>
    </row>
    <row r="60" spans="1:18" s="29" customFormat="1" ht="10.5" customHeight="1" x14ac:dyDescent="0.15">
      <c r="A60" s="448" t="s">
        <v>564</v>
      </c>
      <c r="B60" s="29">
        <v>78999</v>
      </c>
      <c r="C60" s="29">
        <v>5681701</v>
      </c>
      <c r="D60" s="29" t="s">
        <v>796</v>
      </c>
      <c r="E60" s="29" t="s">
        <v>796</v>
      </c>
      <c r="F60" s="29" t="s">
        <v>796</v>
      </c>
      <c r="G60" s="29">
        <v>204363</v>
      </c>
      <c r="H60" s="29" t="s">
        <v>796</v>
      </c>
      <c r="I60" s="29">
        <v>204363</v>
      </c>
      <c r="J60" s="29">
        <v>198686</v>
      </c>
      <c r="K60" s="29" t="s">
        <v>796</v>
      </c>
      <c r="L60" s="29" t="s">
        <v>796</v>
      </c>
      <c r="M60" s="29">
        <v>198686</v>
      </c>
      <c r="N60" s="29" t="s">
        <v>796</v>
      </c>
      <c r="O60" s="29" t="s">
        <v>796</v>
      </c>
      <c r="P60" s="29" t="s">
        <v>796</v>
      </c>
      <c r="Q60" s="29" t="s">
        <v>796</v>
      </c>
      <c r="R60" s="31" t="s">
        <v>68</v>
      </c>
    </row>
    <row r="61" spans="1:18" s="29" customFormat="1" ht="10.5" customHeight="1" x14ac:dyDescent="0.15">
      <c r="A61" s="448" t="s">
        <v>565</v>
      </c>
      <c r="B61" s="29" t="s">
        <v>796</v>
      </c>
      <c r="C61" s="29">
        <v>4801896</v>
      </c>
      <c r="D61" s="29" t="s">
        <v>796</v>
      </c>
      <c r="E61" s="29" t="s">
        <v>796</v>
      </c>
      <c r="F61" s="29" t="s">
        <v>796</v>
      </c>
      <c r="G61" s="29">
        <v>332757</v>
      </c>
      <c r="H61" s="29" t="s">
        <v>796</v>
      </c>
      <c r="I61" s="29">
        <v>332757</v>
      </c>
      <c r="J61" s="29">
        <v>97223</v>
      </c>
      <c r="K61" s="29" t="s">
        <v>796</v>
      </c>
      <c r="L61" s="29" t="s">
        <v>796</v>
      </c>
      <c r="M61" s="29">
        <v>97223</v>
      </c>
      <c r="N61" s="29" t="s">
        <v>796</v>
      </c>
      <c r="O61" s="29" t="s">
        <v>796</v>
      </c>
      <c r="P61" s="29" t="s">
        <v>796</v>
      </c>
      <c r="Q61" s="29" t="s">
        <v>796</v>
      </c>
      <c r="R61" s="32" t="s">
        <v>81</v>
      </c>
    </row>
    <row r="62" spans="1:18" s="29" customFormat="1" ht="10.5" customHeight="1" x14ac:dyDescent="0.15">
      <c r="A62" s="448" t="s">
        <v>566</v>
      </c>
      <c r="B62" s="29">
        <v>79014</v>
      </c>
      <c r="C62" s="29">
        <v>4102067</v>
      </c>
      <c r="D62" s="29" t="s">
        <v>796</v>
      </c>
      <c r="E62" s="29" t="s">
        <v>796</v>
      </c>
      <c r="F62" s="29" t="s">
        <v>796</v>
      </c>
      <c r="G62" s="29">
        <v>137682</v>
      </c>
      <c r="H62" s="29" t="s">
        <v>796</v>
      </c>
      <c r="I62" s="29">
        <v>137682</v>
      </c>
      <c r="J62" s="29">
        <v>157583</v>
      </c>
      <c r="K62" s="29" t="s">
        <v>796</v>
      </c>
      <c r="L62" s="29" t="s">
        <v>796</v>
      </c>
      <c r="M62" s="29">
        <v>157583</v>
      </c>
      <c r="N62" s="29" t="s">
        <v>796</v>
      </c>
      <c r="O62" s="29" t="s">
        <v>796</v>
      </c>
      <c r="P62" s="29" t="s">
        <v>796</v>
      </c>
      <c r="Q62" s="29" t="s">
        <v>796</v>
      </c>
      <c r="R62" s="31" t="s">
        <v>82</v>
      </c>
    </row>
    <row r="63" spans="1:18" s="29" customFormat="1" ht="10.5" customHeight="1" x14ac:dyDescent="0.15">
      <c r="A63" s="448" t="s">
        <v>567</v>
      </c>
      <c r="B63" s="29">
        <v>75376</v>
      </c>
      <c r="C63" s="29">
        <v>4933068</v>
      </c>
      <c r="D63" s="29" t="s">
        <v>796</v>
      </c>
      <c r="E63" s="29" t="s">
        <v>796</v>
      </c>
      <c r="F63" s="29" t="s">
        <v>796</v>
      </c>
      <c r="G63" s="29">
        <v>16136</v>
      </c>
      <c r="H63" s="29" t="s">
        <v>796</v>
      </c>
      <c r="I63" s="29">
        <v>16136</v>
      </c>
      <c r="J63" s="29">
        <v>95411</v>
      </c>
      <c r="K63" s="29" t="s">
        <v>796</v>
      </c>
      <c r="L63" s="29" t="s">
        <v>796</v>
      </c>
      <c r="M63" s="29">
        <v>95411</v>
      </c>
      <c r="N63" s="29" t="s">
        <v>796</v>
      </c>
      <c r="O63" s="29">
        <v>16189</v>
      </c>
      <c r="P63" s="29" t="s">
        <v>796</v>
      </c>
      <c r="Q63" s="29" t="s">
        <v>796</v>
      </c>
      <c r="R63" s="31" t="s">
        <v>83</v>
      </c>
    </row>
    <row r="64" spans="1:18" s="29" customFormat="1" ht="10.5" customHeight="1" x14ac:dyDescent="0.15">
      <c r="A64" s="448" t="s">
        <v>568</v>
      </c>
      <c r="B64" s="29">
        <v>154777</v>
      </c>
      <c r="C64" s="29">
        <v>5047779</v>
      </c>
      <c r="D64" s="29" t="s">
        <v>796</v>
      </c>
      <c r="E64" s="29" t="s">
        <v>796</v>
      </c>
      <c r="F64" s="29" t="s">
        <v>796</v>
      </c>
      <c r="G64" s="29">
        <v>368576</v>
      </c>
      <c r="H64" s="29" t="s">
        <v>796</v>
      </c>
      <c r="I64" s="29">
        <v>368576</v>
      </c>
      <c r="J64" s="29">
        <v>94381</v>
      </c>
      <c r="K64" s="29" t="s">
        <v>796</v>
      </c>
      <c r="L64" s="29" t="s">
        <v>796</v>
      </c>
      <c r="M64" s="29">
        <v>94381</v>
      </c>
      <c r="N64" s="29" t="s">
        <v>796</v>
      </c>
      <c r="O64" s="29" t="s">
        <v>796</v>
      </c>
      <c r="P64" s="29" t="s">
        <v>796</v>
      </c>
      <c r="Q64" s="29" t="s">
        <v>796</v>
      </c>
      <c r="R64" s="31" t="s">
        <v>84</v>
      </c>
    </row>
    <row r="65" spans="1:18" s="29" customFormat="1" ht="10.5" customHeight="1" x14ac:dyDescent="0.15">
      <c r="A65" s="448" t="s">
        <v>569</v>
      </c>
      <c r="B65" s="29">
        <v>79153</v>
      </c>
      <c r="C65" s="29">
        <v>4973799</v>
      </c>
      <c r="D65" s="29" t="s">
        <v>796</v>
      </c>
      <c r="E65" s="29" t="s">
        <v>796</v>
      </c>
      <c r="F65" s="29" t="s">
        <v>796</v>
      </c>
      <c r="G65" s="29">
        <v>652532</v>
      </c>
      <c r="H65" s="29">
        <v>41977</v>
      </c>
      <c r="I65" s="29">
        <v>610555</v>
      </c>
      <c r="J65" s="29">
        <v>93983</v>
      </c>
      <c r="K65" s="29" t="s">
        <v>796</v>
      </c>
      <c r="L65" s="29" t="s">
        <v>796</v>
      </c>
      <c r="M65" s="29">
        <v>93983</v>
      </c>
      <c r="N65" s="29" t="s">
        <v>796</v>
      </c>
      <c r="O65" s="29" t="s">
        <v>796</v>
      </c>
      <c r="P65" s="29" t="s">
        <v>796</v>
      </c>
      <c r="Q65" s="29" t="s">
        <v>796</v>
      </c>
      <c r="R65" s="31" t="s">
        <v>85</v>
      </c>
    </row>
    <row r="66" spans="1:18" s="29" customFormat="1" ht="10.5" customHeight="1" x14ac:dyDescent="0.15">
      <c r="A66" s="448" t="s">
        <v>570</v>
      </c>
      <c r="B66" s="29" t="s">
        <v>796</v>
      </c>
      <c r="C66" s="29">
        <v>5048433</v>
      </c>
      <c r="D66" s="29" t="s">
        <v>796</v>
      </c>
      <c r="E66" s="29" t="s">
        <v>796</v>
      </c>
      <c r="F66" s="29" t="s">
        <v>796</v>
      </c>
      <c r="G66" s="29">
        <v>19858</v>
      </c>
      <c r="H66" s="29" t="s">
        <v>796</v>
      </c>
      <c r="I66" s="29">
        <v>19858</v>
      </c>
      <c r="J66" s="29">
        <v>97310</v>
      </c>
      <c r="K66" s="29" t="s">
        <v>796</v>
      </c>
      <c r="L66" s="29" t="s">
        <v>796</v>
      </c>
      <c r="M66" s="29">
        <v>97310</v>
      </c>
      <c r="N66" s="29" t="s">
        <v>796</v>
      </c>
      <c r="O66" s="29" t="s">
        <v>796</v>
      </c>
      <c r="P66" s="29" t="s">
        <v>796</v>
      </c>
      <c r="Q66" s="29" t="s">
        <v>796</v>
      </c>
      <c r="R66" s="31" t="s">
        <v>69</v>
      </c>
    </row>
    <row r="67" spans="1:18" s="29" customFormat="1" ht="10.5" customHeight="1" x14ac:dyDescent="0.15">
      <c r="A67" s="448" t="s">
        <v>571</v>
      </c>
      <c r="B67" s="29" t="s">
        <v>796</v>
      </c>
      <c r="C67" s="29">
        <v>4311608</v>
      </c>
      <c r="D67" s="29" t="s">
        <v>796</v>
      </c>
      <c r="E67" s="29" t="s">
        <v>796</v>
      </c>
      <c r="F67" s="29" t="s">
        <v>796</v>
      </c>
      <c r="G67" s="29">
        <v>195859</v>
      </c>
      <c r="H67" s="29" t="s">
        <v>796</v>
      </c>
      <c r="I67" s="29">
        <v>195859</v>
      </c>
      <c r="J67" s="29">
        <v>206987</v>
      </c>
      <c r="K67" s="29" t="s">
        <v>796</v>
      </c>
      <c r="L67" s="29" t="s">
        <v>796</v>
      </c>
      <c r="M67" s="29">
        <v>206987</v>
      </c>
      <c r="N67" s="29" t="s">
        <v>796</v>
      </c>
      <c r="O67" s="29" t="s">
        <v>796</v>
      </c>
      <c r="P67" s="29" t="s">
        <v>796</v>
      </c>
      <c r="Q67" s="29" t="s">
        <v>796</v>
      </c>
      <c r="R67" s="31" t="s">
        <v>70</v>
      </c>
    </row>
    <row r="68" spans="1:18" s="29" customFormat="1" ht="10.5" customHeight="1" x14ac:dyDescent="0.15">
      <c r="A68" s="448" t="s">
        <v>572</v>
      </c>
      <c r="B68" s="29">
        <v>79195</v>
      </c>
      <c r="C68" s="29">
        <v>5710060</v>
      </c>
      <c r="D68" s="29" t="s">
        <v>796</v>
      </c>
      <c r="E68" s="29" t="s">
        <v>796</v>
      </c>
      <c r="F68" s="29" t="s">
        <v>796</v>
      </c>
      <c r="G68" s="29">
        <v>166563</v>
      </c>
      <c r="H68" s="29" t="s">
        <v>796</v>
      </c>
      <c r="I68" s="29">
        <v>166563</v>
      </c>
      <c r="J68" s="29">
        <v>221377</v>
      </c>
      <c r="K68" s="29" t="s">
        <v>796</v>
      </c>
      <c r="L68" s="29" t="s">
        <v>796</v>
      </c>
      <c r="M68" s="29">
        <v>221377</v>
      </c>
      <c r="N68" s="29" t="s">
        <v>796</v>
      </c>
      <c r="O68" s="29" t="s">
        <v>796</v>
      </c>
      <c r="P68" s="29" t="s">
        <v>796</v>
      </c>
      <c r="Q68" s="29" t="s">
        <v>796</v>
      </c>
      <c r="R68" s="31" t="s">
        <v>71</v>
      </c>
    </row>
    <row r="69" spans="1:18" s="29" customFormat="1" ht="10.5" customHeight="1" x14ac:dyDescent="0.15">
      <c r="A69" s="448" t="s">
        <v>841</v>
      </c>
      <c r="B69" s="29">
        <v>190119</v>
      </c>
      <c r="C69" s="29">
        <v>5605447</v>
      </c>
      <c r="D69" s="29" t="s">
        <v>796</v>
      </c>
      <c r="E69" s="29" t="s">
        <v>796</v>
      </c>
      <c r="F69" s="29" t="s">
        <v>796</v>
      </c>
      <c r="G69" s="29">
        <v>341239</v>
      </c>
      <c r="H69" s="29" t="s">
        <v>796</v>
      </c>
      <c r="I69" s="29">
        <v>341239</v>
      </c>
      <c r="J69" s="29">
        <v>191489</v>
      </c>
      <c r="K69" s="29" t="s">
        <v>796</v>
      </c>
      <c r="L69" s="29" t="s">
        <v>796</v>
      </c>
      <c r="M69" s="29">
        <v>191489</v>
      </c>
      <c r="N69" s="29" t="s">
        <v>796</v>
      </c>
      <c r="O69" s="29" t="s">
        <v>796</v>
      </c>
      <c r="P69" s="29" t="s">
        <v>796</v>
      </c>
      <c r="Q69" s="29" t="s">
        <v>796</v>
      </c>
      <c r="R69" s="31" t="s">
        <v>842</v>
      </c>
    </row>
    <row r="70" spans="1:18" s="29" customFormat="1" ht="10.5" customHeight="1" x14ac:dyDescent="0.15">
      <c r="A70" s="448" t="s">
        <v>573</v>
      </c>
      <c r="B70" s="29">
        <v>238427</v>
      </c>
      <c r="C70" s="29">
        <v>4107538</v>
      </c>
      <c r="D70" s="29" t="s">
        <v>796</v>
      </c>
      <c r="E70" s="29" t="s">
        <v>796</v>
      </c>
      <c r="F70" s="29" t="s">
        <v>796</v>
      </c>
      <c r="G70" s="29">
        <v>87376</v>
      </c>
      <c r="H70" s="29">
        <v>87376</v>
      </c>
      <c r="I70" s="29" t="s">
        <v>796</v>
      </c>
      <c r="J70" s="29">
        <v>94689</v>
      </c>
      <c r="K70" s="29" t="s">
        <v>796</v>
      </c>
      <c r="L70" s="29" t="s">
        <v>796</v>
      </c>
      <c r="M70" s="29">
        <v>94689</v>
      </c>
      <c r="N70" s="29" t="s">
        <v>796</v>
      </c>
      <c r="O70" s="29" t="s">
        <v>796</v>
      </c>
      <c r="P70" s="29" t="s">
        <v>796</v>
      </c>
      <c r="Q70" s="29" t="s">
        <v>796</v>
      </c>
      <c r="R70" s="31" t="s">
        <v>66</v>
      </c>
    </row>
    <row r="71" spans="1:18" s="29" customFormat="1" ht="10.5" customHeight="1" x14ac:dyDescent="0.15">
      <c r="A71" s="649" t="s">
        <v>574</v>
      </c>
      <c r="B71" s="520">
        <v>395934</v>
      </c>
      <c r="C71" s="650">
        <v>5156885</v>
      </c>
      <c r="D71" s="650" t="s">
        <v>796</v>
      </c>
      <c r="E71" s="650" t="s">
        <v>796</v>
      </c>
      <c r="F71" s="650" t="s">
        <v>796</v>
      </c>
      <c r="G71" s="650">
        <v>217819</v>
      </c>
      <c r="H71" s="650" t="s">
        <v>796</v>
      </c>
      <c r="I71" s="650">
        <v>217819</v>
      </c>
      <c r="J71" s="650">
        <v>105185</v>
      </c>
      <c r="K71" s="650" t="s">
        <v>796</v>
      </c>
      <c r="L71" s="650" t="s">
        <v>796</v>
      </c>
      <c r="M71" s="650">
        <v>105185</v>
      </c>
      <c r="N71" s="650" t="s">
        <v>796</v>
      </c>
      <c r="O71" s="650" t="s">
        <v>796</v>
      </c>
      <c r="P71" s="650" t="s">
        <v>796</v>
      </c>
      <c r="Q71" s="650" t="s">
        <v>796</v>
      </c>
      <c r="R71" s="521" t="s">
        <v>67</v>
      </c>
    </row>
    <row r="72" spans="1:18" ht="9" customHeight="1" x14ac:dyDescent="0.25"/>
    <row r="73" spans="1:18" ht="13.5" customHeight="1" x14ac:dyDescent="0.25">
      <c r="H73" s="22" t="s">
        <v>843</v>
      </c>
    </row>
    <row r="74" spans="1:18" s="25" customFormat="1" ht="15" customHeight="1" x14ac:dyDescent="0.15">
      <c r="A74" s="639"/>
      <c r="B74" s="651" t="s">
        <v>273</v>
      </c>
      <c r="C74" s="642"/>
      <c r="D74" s="639"/>
      <c r="E74" s="641"/>
      <c r="F74" s="642"/>
      <c r="G74" s="639"/>
      <c r="H74" s="1000" t="s">
        <v>72</v>
      </c>
    </row>
    <row r="75" spans="1:18" s="28" customFormat="1" ht="22.5" customHeight="1" x14ac:dyDescent="0.15">
      <c r="A75" s="26" t="s">
        <v>153</v>
      </c>
      <c r="B75" s="644" t="s">
        <v>14</v>
      </c>
      <c r="C75" s="644" t="s">
        <v>15</v>
      </c>
      <c r="D75" s="644" t="s">
        <v>384</v>
      </c>
      <c r="E75" s="508" t="s">
        <v>101</v>
      </c>
      <c r="F75" s="644" t="s">
        <v>52</v>
      </c>
      <c r="G75" s="644" t="s">
        <v>105</v>
      </c>
      <c r="H75" s="1001"/>
    </row>
    <row r="76" spans="1:18" s="28" customFormat="1" ht="30" customHeight="1" x14ac:dyDescent="0.15">
      <c r="A76" s="652"/>
      <c r="B76" s="509" t="s">
        <v>22</v>
      </c>
      <c r="C76" s="509" t="s">
        <v>23</v>
      </c>
      <c r="D76" s="509" t="s">
        <v>385</v>
      </c>
      <c r="E76" s="509" t="s">
        <v>45</v>
      </c>
      <c r="F76" s="509" t="s">
        <v>46</v>
      </c>
      <c r="G76" s="509" t="s">
        <v>106</v>
      </c>
      <c r="H76" s="1002"/>
    </row>
    <row r="77" spans="1:18" s="29" customFormat="1" ht="10.5" customHeight="1" x14ac:dyDescent="0.15">
      <c r="A77" s="645" t="s">
        <v>831</v>
      </c>
      <c r="B77" s="646" t="s">
        <v>796</v>
      </c>
      <c r="C77" s="647" t="s">
        <v>796</v>
      </c>
      <c r="D77" s="647" t="s">
        <v>796</v>
      </c>
      <c r="E77" s="647">
        <v>359911</v>
      </c>
      <c r="F77" s="647">
        <v>313145</v>
      </c>
      <c r="G77" s="653">
        <v>46766</v>
      </c>
      <c r="H77" s="648" t="s">
        <v>517</v>
      </c>
    </row>
    <row r="78" spans="1:18" s="29" customFormat="1" ht="10.5" customHeight="1" x14ac:dyDescent="0.15">
      <c r="A78" s="448" t="s">
        <v>557</v>
      </c>
      <c r="B78" s="29">
        <v>151524</v>
      </c>
      <c r="C78" s="29" t="s">
        <v>796</v>
      </c>
      <c r="D78" s="29">
        <v>35007</v>
      </c>
      <c r="E78" s="29">
        <v>333763</v>
      </c>
      <c r="F78" s="29">
        <v>259648</v>
      </c>
      <c r="G78" s="33">
        <v>74115</v>
      </c>
      <c r="H78" s="31" t="s">
        <v>558</v>
      </c>
    </row>
    <row r="79" spans="1:18" s="29" customFormat="1" ht="10.5" customHeight="1" x14ac:dyDescent="0.15">
      <c r="A79" s="448" t="s">
        <v>682</v>
      </c>
      <c r="B79" s="29">
        <v>97200</v>
      </c>
      <c r="C79" s="29">
        <v>157964</v>
      </c>
      <c r="D79" s="29" t="s">
        <v>796</v>
      </c>
      <c r="E79" s="29">
        <v>393846</v>
      </c>
      <c r="F79" s="29">
        <v>363482</v>
      </c>
      <c r="G79" s="33">
        <v>30364</v>
      </c>
      <c r="H79" s="31" t="s">
        <v>683</v>
      </c>
    </row>
    <row r="80" spans="1:18" s="29" customFormat="1" ht="10.5" customHeight="1" x14ac:dyDescent="0.15">
      <c r="A80" s="448" t="s">
        <v>784</v>
      </c>
      <c r="B80" s="29">
        <v>24826</v>
      </c>
      <c r="C80" s="29" t="s">
        <v>796</v>
      </c>
      <c r="D80" s="29" t="s">
        <v>796</v>
      </c>
      <c r="E80" s="29">
        <v>620923</v>
      </c>
      <c r="F80" s="29">
        <v>620923</v>
      </c>
      <c r="G80" s="33" t="s">
        <v>796</v>
      </c>
      <c r="H80" s="31" t="s">
        <v>785</v>
      </c>
    </row>
    <row r="81" spans="1:8" s="29" customFormat="1" ht="10.5" customHeight="1" x14ac:dyDescent="0.15">
      <c r="A81" s="448" t="s">
        <v>832</v>
      </c>
      <c r="B81" s="29">
        <v>16189</v>
      </c>
      <c r="C81" s="29" t="s">
        <v>796</v>
      </c>
      <c r="D81" s="29" t="s">
        <v>796</v>
      </c>
      <c r="E81" s="29">
        <v>440816</v>
      </c>
      <c r="F81" s="29">
        <v>440816</v>
      </c>
      <c r="G81" s="33" t="s">
        <v>796</v>
      </c>
      <c r="H81" s="31" t="s">
        <v>833</v>
      </c>
    </row>
    <row r="82" spans="1:8" s="29" customFormat="1" ht="10.5" customHeight="1" x14ac:dyDescent="0.15">
      <c r="A82" s="464"/>
      <c r="G82" s="33"/>
      <c r="H82" s="31"/>
    </row>
    <row r="83" spans="1:8" s="29" customFormat="1" ht="10.5" customHeight="1" x14ac:dyDescent="0.15">
      <c r="A83" s="448" t="s">
        <v>834</v>
      </c>
      <c r="B83" s="29">
        <v>24826</v>
      </c>
      <c r="C83" s="29" t="s">
        <v>796</v>
      </c>
      <c r="D83" s="29" t="s">
        <v>796</v>
      </c>
      <c r="E83" s="29">
        <v>661105</v>
      </c>
      <c r="F83" s="29">
        <v>661105</v>
      </c>
      <c r="G83" s="33" t="s">
        <v>796</v>
      </c>
      <c r="H83" s="31" t="s">
        <v>786</v>
      </c>
    </row>
    <row r="84" spans="1:8" s="29" customFormat="1" ht="10.5" customHeight="1" x14ac:dyDescent="0.15">
      <c r="A84" s="448" t="s">
        <v>835</v>
      </c>
      <c r="B84" s="29">
        <v>16189</v>
      </c>
      <c r="C84" s="29" t="s">
        <v>796</v>
      </c>
      <c r="D84" s="29" t="s">
        <v>796</v>
      </c>
      <c r="E84" s="29">
        <v>546996</v>
      </c>
      <c r="F84" s="29">
        <v>546996</v>
      </c>
      <c r="G84" s="33" t="s">
        <v>796</v>
      </c>
      <c r="H84" s="31" t="s">
        <v>836</v>
      </c>
    </row>
    <row r="85" spans="1:8" s="29" customFormat="1" ht="10.5" customHeight="1" x14ac:dyDescent="0.15">
      <c r="A85" s="464"/>
      <c r="G85" s="33"/>
      <c r="H85" s="31"/>
    </row>
    <row r="86" spans="1:8" s="29" customFormat="1" ht="10.5" customHeight="1" x14ac:dyDescent="0.15">
      <c r="A86" s="448" t="s">
        <v>837</v>
      </c>
      <c r="B86" s="29" t="s">
        <v>796</v>
      </c>
      <c r="C86" s="29" t="s">
        <v>796</v>
      </c>
      <c r="D86" s="29" t="s">
        <v>796</v>
      </c>
      <c r="E86" s="29">
        <v>77147</v>
      </c>
      <c r="F86" s="29">
        <v>77147</v>
      </c>
      <c r="G86" s="33" t="s">
        <v>796</v>
      </c>
      <c r="H86" s="31" t="s">
        <v>787</v>
      </c>
    </row>
    <row r="87" spans="1:8" s="29" customFormat="1" ht="10.5" customHeight="1" x14ac:dyDescent="0.15">
      <c r="A87" s="448" t="s">
        <v>559</v>
      </c>
      <c r="B87" s="29" t="s">
        <v>796</v>
      </c>
      <c r="C87" s="29" t="s">
        <v>796</v>
      </c>
      <c r="D87" s="29" t="s">
        <v>796</v>
      </c>
      <c r="E87" s="29">
        <v>142946</v>
      </c>
      <c r="F87" s="29">
        <v>142946</v>
      </c>
      <c r="G87" s="33" t="s">
        <v>796</v>
      </c>
      <c r="H87" s="31" t="s">
        <v>78</v>
      </c>
    </row>
    <row r="88" spans="1:8" s="29" customFormat="1" ht="10.5" customHeight="1" x14ac:dyDescent="0.15">
      <c r="A88" s="448" t="s">
        <v>560</v>
      </c>
      <c r="B88" s="29">
        <v>16189</v>
      </c>
      <c r="C88" s="29" t="s">
        <v>796</v>
      </c>
      <c r="D88" s="29" t="s">
        <v>796</v>
      </c>
      <c r="E88" s="29">
        <v>43423</v>
      </c>
      <c r="F88" s="29">
        <v>43423</v>
      </c>
      <c r="G88" s="33" t="s">
        <v>796</v>
      </c>
      <c r="H88" s="31" t="s">
        <v>79</v>
      </c>
    </row>
    <row r="89" spans="1:8" s="29" customFormat="1" ht="10.5" customHeight="1" x14ac:dyDescent="0.15">
      <c r="A89" s="448" t="s">
        <v>561</v>
      </c>
      <c r="B89" s="29" t="s">
        <v>796</v>
      </c>
      <c r="C89" s="29" t="s">
        <v>796</v>
      </c>
      <c r="D89" s="29" t="s">
        <v>796</v>
      </c>
      <c r="E89" s="29">
        <v>177300</v>
      </c>
      <c r="F89" s="29">
        <v>177300</v>
      </c>
      <c r="G89" s="33" t="s">
        <v>796</v>
      </c>
      <c r="H89" s="31" t="s">
        <v>80</v>
      </c>
    </row>
    <row r="90" spans="1:8" s="29" customFormat="1" ht="10.5" customHeight="1" x14ac:dyDescent="0.15">
      <c r="A90" s="448" t="s">
        <v>838</v>
      </c>
      <c r="B90" s="29" t="s">
        <v>796</v>
      </c>
      <c r="C90" s="29" t="s">
        <v>796</v>
      </c>
      <c r="D90" s="29" t="s">
        <v>796</v>
      </c>
      <c r="E90" s="29">
        <v>183327</v>
      </c>
      <c r="F90" s="29">
        <v>183327</v>
      </c>
      <c r="G90" s="33" t="s">
        <v>796</v>
      </c>
      <c r="H90" s="31" t="s">
        <v>839</v>
      </c>
    </row>
    <row r="91" spans="1:8" s="29" customFormat="1" ht="10.5" customHeight="1" x14ac:dyDescent="0.15">
      <c r="A91" s="464"/>
      <c r="G91" s="33"/>
      <c r="H91" s="31"/>
    </row>
    <row r="92" spans="1:8" s="29" customFormat="1" ht="10.5" customHeight="1" x14ac:dyDescent="0.15">
      <c r="A92" s="448" t="s">
        <v>840</v>
      </c>
      <c r="B92" s="29" t="s">
        <v>796</v>
      </c>
      <c r="C92" s="29" t="s">
        <v>796</v>
      </c>
      <c r="D92" s="29" t="s">
        <v>796</v>
      </c>
      <c r="E92" s="29">
        <v>42827</v>
      </c>
      <c r="F92" s="29">
        <v>42827</v>
      </c>
      <c r="G92" s="33" t="s">
        <v>796</v>
      </c>
      <c r="H92" s="31" t="s">
        <v>788</v>
      </c>
    </row>
    <row r="93" spans="1:8" s="29" customFormat="1" ht="10.5" customHeight="1" x14ac:dyDescent="0.15">
      <c r="A93" s="448" t="s">
        <v>562</v>
      </c>
      <c r="B93" s="29" t="s">
        <v>796</v>
      </c>
      <c r="C93" s="29" t="s">
        <v>796</v>
      </c>
      <c r="D93" s="29" t="s">
        <v>796</v>
      </c>
      <c r="E93" s="29" t="s">
        <v>796</v>
      </c>
      <c r="F93" s="29" t="s">
        <v>796</v>
      </c>
      <c r="G93" s="33" t="s">
        <v>796</v>
      </c>
      <c r="H93" s="31" t="s">
        <v>66</v>
      </c>
    </row>
    <row r="94" spans="1:8" s="29" customFormat="1" ht="10.5" customHeight="1" x14ac:dyDescent="0.15">
      <c r="A94" s="448" t="s">
        <v>563</v>
      </c>
      <c r="B94" s="29" t="s">
        <v>796</v>
      </c>
      <c r="C94" s="29" t="s">
        <v>796</v>
      </c>
      <c r="D94" s="29" t="s">
        <v>796</v>
      </c>
      <c r="E94" s="29">
        <v>34320</v>
      </c>
      <c r="F94" s="29">
        <v>34320</v>
      </c>
      <c r="G94" s="33" t="s">
        <v>796</v>
      </c>
      <c r="H94" s="31" t="s">
        <v>67</v>
      </c>
    </row>
    <row r="95" spans="1:8" s="29" customFormat="1" ht="10.5" customHeight="1" x14ac:dyDescent="0.15">
      <c r="A95" s="448" t="s">
        <v>564</v>
      </c>
      <c r="B95" s="29" t="s">
        <v>796</v>
      </c>
      <c r="C95" s="29" t="s">
        <v>796</v>
      </c>
      <c r="D95" s="29" t="s">
        <v>796</v>
      </c>
      <c r="E95" s="29">
        <v>102172</v>
      </c>
      <c r="F95" s="29">
        <v>102172</v>
      </c>
      <c r="G95" s="33" t="s">
        <v>796</v>
      </c>
      <c r="H95" s="31" t="s">
        <v>68</v>
      </c>
    </row>
    <row r="96" spans="1:8" s="29" customFormat="1" ht="10.5" customHeight="1" x14ac:dyDescent="0.15">
      <c r="A96" s="448" t="s">
        <v>565</v>
      </c>
      <c r="B96" s="29" t="s">
        <v>796</v>
      </c>
      <c r="C96" s="29" t="s">
        <v>796</v>
      </c>
      <c r="D96" s="29" t="s">
        <v>796</v>
      </c>
      <c r="E96" s="29">
        <v>21616</v>
      </c>
      <c r="F96" s="29">
        <v>21616</v>
      </c>
      <c r="G96" s="33" t="s">
        <v>796</v>
      </c>
      <c r="H96" s="32" t="s">
        <v>81</v>
      </c>
    </row>
    <row r="97" spans="1:8" s="29" customFormat="1" ht="10.5" customHeight="1" x14ac:dyDescent="0.15">
      <c r="A97" s="448" t="s">
        <v>566</v>
      </c>
      <c r="B97" s="29" t="s">
        <v>796</v>
      </c>
      <c r="C97" s="29" t="s">
        <v>796</v>
      </c>
      <c r="D97" s="29" t="s">
        <v>796</v>
      </c>
      <c r="E97" s="29">
        <v>19158</v>
      </c>
      <c r="F97" s="29">
        <v>19158</v>
      </c>
      <c r="G97" s="33" t="s">
        <v>796</v>
      </c>
      <c r="H97" s="31" t="s">
        <v>82</v>
      </c>
    </row>
    <row r="98" spans="1:8" s="29" customFormat="1" ht="10.5" customHeight="1" x14ac:dyDescent="0.15">
      <c r="A98" s="448" t="s">
        <v>567</v>
      </c>
      <c r="B98" s="29">
        <v>16189</v>
      </c>
      <c r="C98" s="29" t="s">
        <v>796</v>
      </c>
      <c r="D98" s="29" t="s">
        <v>796</v>
      </c>
      <c r="E98" s="29">
        <v>16833</v>
      </c>
      <c r="F98" s="29">
        <v>16833</v>
      </c>
      <c r="G98" s="33" t="s">
        <v>796</v>
      </c>
      <c r="H98" s="31" t="s">
        <v>83</v>
      </c>
    </row>
    <row r="99" spans="1:8" s="29" customFormat="1" ht="10.5" customHeight="1" x14ac:dyDescent="0.15">
      <c r="A99" s="448" t="s">
        <v>568</v>
      </c>
      <c r="B99" s="29" t="s">
        <v>796</v>
      </c>
      <c r="C99" s="29" t="s">
        <v>796</v>
      </c>
      <c r="D99" s="29" t="s">
        <v>796</v>
      </c>
      <c r="E99" s="29">
        <v>14835</v>
      </c>
      <c r="F99" s="29">
        <v>14835</v>
      </c>
      <c r="G99" s="33" t="s">
        <v>796</v>
      </c>
      <c r="H99" s="31" t="s">
        <v>84</v>
      </c>
    </row>
    <row r="100" spans="1:8" s="29" customFormat="1" ht="10.5" customHeight="1" x14ac:dyDescent="0.15">
      <c r="A100" s="448" t="s">
        <v>569</v>
      </c>
      <c r="B100" s="29" t="s">
        <v>796</v>
      </c>
      <c r="C100" s="29" t="s">
        <v>796</v>
      </c>
      <c r="D100" s="29" t="s">
        <v>796</v>
      </c>
      <c r="E100" s="29">
        <v>11755</v>
      </c>
      <c r="F100" s="29">
        <v>11755</v>
      </c>
      <c r="G100" s="33" t="s">
        <v>796</v>
      </c>
      <c r="H100" s="31" t="s">
        <v>85</v>
      </c>
    </row>
    <row r="101" spans="1:8" s="29" customFormat="1" ht="10.5" customHeight="1" x14ac:dyDescent="0.15">
      <c r="A101" s="448" t="s">
        <v>570</v>
      </c>
      <c r="B101" s="29" t="s">
        <v>796</v>
      </c>
      <c r="C101" s="29" t="s">
        <v>796</v>
      </c>
      <c r="D101" s="29" t="s">
        <v>796</v>
      </c>
      <c r="E101" s="29">
        <v>29106</v>
      </c>
      <c r="F101" s="29">
        <v>29106</v>
      </c>
      <c r="G101" s="33" t="s">
        <v>796</v>
      </c>
      <c r="H101" s="31" t="s">
        <v>69</v>
      </c>
    </row>
    <row r="102" spans="1:8" s="29" customFormat="1" ht="10.5" customHeight="1" x14ac:dyDescent="0.15">
      <c r="A102" s="448" t="s">
        <v>571</v>
      </c>
      <c r="B102" s="29" t="s">
        <v>796</v>
      </c>
      <c r="C102" s="29" t="s">
        <v>796</v>
      </c>
      <c r="D102" s="29" t="s">
        <v>796</v>
      </c>
      <c r="E102" s="29">
        <v>98272</v>
      </c>
      <c r="F102" s="29">
        <v>98272</v>
      </c>
      <c r="G102" s="33" t="s">
        <v>796</v>
      </c>
      <c r="H102" s="31" t="s">
        <v>70</v>
      </c>
    </row>
    <row r="103" spans="1:8" s="29" customFormat="1" ht="10.5" customHeight="1" x14ac:dyDescent="0.15">
      <c r="A103" s="448" t="s">
        <v>572</v>
      </c>
      <c r="B103" s="29" t="s">
        <v>796</v>
      </c>
      <c r="C103" s="29" t="s">
        <v>796</v>
      </c>
      <c r="D103" s="29" t="s">
        <v>796</v>
      </c>
      <c r="E103" s="29">
        <v>49922</v>
      </c>
      <c r="F103" s="29">
        <v>49922</v>
      </c>
      <c r="G103" s="33" t="s">
        <v>796</v>
      </c>
      <c r="H103" s="31" t="s">
        <v>71</v>
      </c>
    </row>
    <row r="104" spans="1:8" s="29" customFormat="1" ht="10.5" customHeight="1" x14ac:dyDescent="0.15">
      <c r="A104" s="448" t="s">
        <v>841</v>
      </c>
      <c r="B104" s="29" t="s">
        <v>796</v>
      </c>
      <c r="C104" s="29" t="s">
        <v>796</v>
      </c>
      <c r="D104" s="29" t="s">
        <v>796</v>
      </c>
      <c r="E104" s="29">
        <v>35991</v>
      </c>
      <c r="F104" s="29">
        <v>35991</v>
      </c>
      <c r="G104" s="33" t="s">
        <v>796</v>
      </c>
      <c r="H104" s="31" t="s">
        <v>842</v>
      </c>
    </row>
    <row r="105" spans="1:8" s="29" customFormat="1" ht="10.5" customHeight="1" x14ac:dyDescent="0.15">
      <c r="A105" s="448" t="s">
        <v>573</v>
      </c>
      <c r="B105" s="29" t="s">
        <v>796</v>
      </c>
      <c r="C105" s="29" t="s">
        <v>796</v>
      </c>
      <c r="D105" s="29" t="s">
        <v>796</v>
      </c>
      <c r="E105" s="29">
        <v>107880</v>
      </c>
      <c r="F105" s="29">
        <v>107880</v>
      </c>
      <c r="G105" s="33" t="s">
        <v>796</v>
      </c>
      <c r="H105" s="31" t="s">
        <v>66</v>
      </c>
    </row>
    <row r="106" spans="1:8" s="29" customFormat="1" ht="10.5" customHeight="1" x14ac:dyDescent="0.15">
      <c r="A106" s="649" t="s">
        <v>574</v>
      </c>
      <c r="B106" s="520" t="s">
        <v>796</v>
      </c>
      <c r="C106" s="650" t="s">
        <v>796</v>
      </c>
      <c r="D106" s="650" t="s">
        <v>796</v>
      </c>
      <c r="E106" s="650">
        <v>39456</v>
      </c>
      <c r="F106" s="650">
        <v>39456</v>
      </c>
      <c r="G106" s="654" t="s">
        <v>796</v>
      </c>
      <c r="H106" s="521" t="s">
        <v>67</v>
      </c>
    </row>
    <row r="107" spans="1:8" ht="9" customHeight="1" x14ac:dyDescent="0.25"/>
    <row r="108" spans="1:8" ht="13.5" customHeight="1" x14ac:dyDescent="0.25"/>
  </sheetData>
  <mergeCells count="3">
    <mergeCell ref="R4:R6"/>
    <mergeCell ref="R39:R41"/>
    <mergeCell ref="H74:H76"/>
  </mergeCells>
  <phoneticPr fontId="34"/>
  <pageMargins left="0.59055118110236227" right="0.59055118110236227" top="0.59055118110236227" bottom="0.59055118110236227" header="0.19685039370078741" footer="0.19685039370078741"/>
  <pageSetup paperSize="9" scale="91" pageOrder="overThenDown" orientation="portrait" r:id="rId1"/>
  <headerFooter alignWithMargins="0"/>
  <rowBreaks count="1" manualBreakCount="1">
    <brk id="71" max="17" man="1"/>
  </rowBreaks>
  <colBreaks count="1" manualBreakCount="1">
    <brk id="9" max="10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BC8E-7D0D-479F-9EF0-10B5F03D595A}">
  <dimension ref="A1:Y248"/>
  <sheetViews>
    <sheetView view="pageBreakPreview" zoomScaleNormal="100" zoomScaleSheetLayoutView="100" workbookViewId="0">
      <pane xSplit="1" topLeftCell="B1" activePane="topRight" state="frozen"/>
      <selection pane="topRight" activeCell="A3" sqref="A3:E3"/>
    </sheetView>
  </sheetViews>
  <sheetFormatPr defaultColWidth="8.125" defaultRowHeight="24" x14ac:dyDescent="0.25"/>
  <cols>
    <col min="1" max="1" width="16" style="10" customWidth="1"/>
    <col min="2" max="12" width="8.5" style="10" customWidth="1"/>
    <col min="13" max="13" width="8.375" style="10" customWidth="1"/>
    <col min="14" max="17" width="8.5" style="10" customWidth="1"/>
    <col min="18" max="18" width="9.75" style="10" customWidth="1"/>
    <col min="19" max="19" width="9.75" style="11" customWidth="1"/>
    <col min="20" max="20" width="8.5" style="11" customWidth="1"/>
    <col min="21" max="21" width="8.375" style="11" customWidth="1"/>
    <col min="22" max="22" width="10" style="11" customWidth="1"/>
    <col min="23" max="23" width="8.875" style="11" customWidth="1"/>
    <col min="24" max="24" width="9.375" style="11" customWidth="1"/>
    <col min="25" max="25" width="20.375" style="11" customWidth="1"/>
    <col min="26" max="26" width="23.125" style="10" customWidth="1"/>
    <col min="27" max="27" width="19" style="10" customWidth="1"/>
    <col min="28" max="28" width="18.75" style="10" customWidth="1"/>
    <col min="29" max="29" width="19.125" style="10" customWidth="1"/>
    <col min="30" max="30" width="18.375" style="10" customWidth="1"/>
    <col min="31" max="31" width="17.75" style="10" customWidth="1"/>
    <col min="32" max="32" width="18.75" style="10" customWidth="1"/>
    <col min="33" max="33" width="17.75" style="10" customWidth="1"/>
    <col min="34" max="16384" width="8.125" style="10"/>
  </cols>
  <sheetData>
    <row r="1" spans="1:25" ht="5.25" customHeight="1" x14ac:dyDescent="0.25">
      <c r="Y1" s="10"/>
    </row>
    <row r="2" spans="1:25" ht="9.75" customHeight="1" x14ac:dyDescent="0.25">
      <c r="A2" s="12"/>
      <c r="Y2" s="10"/>
    </row>
    <row r="3" spans="1:25" ht="18" customHeight="1" x14ac:dyDescent="0.25">
      <c r="A3" s="1006" t="s">
        <v>33</v>
      </c>
      <c r="B3" s="1006"/>
      <c r="C3" s="1006"/>
      <c r="D3" s="1006"/>
      <c r="E3" s="1006"/>
      <c r="F3" s="507"/>
      <c r="I3" s="23" t="s">
        <v>392</v>
      </c>
      <c r="K3" s="23"/>
      <c r="L3" s="23"/>
      <c r="Q3" s="22" t="s">
        <v>830</v>
      </c>
      <c r="R3" s="22"/>
      <c r="W3" s="22"/>
      <c r="X3" s="22"/>
      <c r="Y3" s="10"/>
    </row>
    <row r="4" spans="1:25" s="17" customFormat="1" ht="11.25" customHeight="1" x14ac:dyDescent="0.15">
      <c r="A4" s="655"/>
      <c r="B4" s="656"/>
      <c r="C4" s="657"/>
      <c r="D4" s="655"/>
      <c r="E4" s="657"/>
      <c r="F4" s="658"/>
      <c r="G4" s="658"/>
      <c r="H4" s="658"/>
      <c r="I4" s="658"/>
      <c r="J4" s="658"/>
      <c r="K4" s="658"/>
      <c r="L4" s="658"/>
      <c r="M4" s="658"/>
      <c r="N4" s="658"/>
      <c r="O4" s="658"/>
      <c r="P4" s="658"/>
      <c r="Q4" s="658"/>
      <c r="R4" s="1003" t="s">
        <v>72</v>
      </c>
      <c r="S4" s="16"/>
      <c r="T4" s="16"/>
      <c r="U4" s="16"/>
      <c r="V4" s="16"/>
      <c r="W4" s="16"/>
      <c r="X4" s="16"/>
      <c r="Y4" s="16"/>
    </row>
    <row r="5" spans="1:25" s="34" customFormat="1" ht="28.5" customHeight="1" x14ac:dyDescent="0.15">
      <c r="A5" s="24" t="s">
        <v>153</v>
      </c>
      <c r="B5" s="14" t="s">
        <v>49</v>
      </c>
      <c r="C5" s="14" t="s">
        <v>844</v>
      </c>
      <c r="D5" s="660" t="s">
        <v>684</v>
      </c>
      <c r="E5" s="14" t="s">
        <v>74</v>
      </c>
      <c r="F5" s="659" t="s">
        <v>107</v>
      </c>
      <c r="G5" s="661"/>
      <c r="H5" s="661"/>
      <c r="I5" s="661"/>
      <c r="J5" s="661"/>
      <c r="K5" s="661"/>
      <c r="L5" s="662"/>
      <c r="M5" s="660" t="s">
        <v>518</v>
      </c>
      <c r="N5" s="659" t="s">
        <v>114</v>
      </c>
      <c r="O5" s="661"/>
      <c r="P5" s="661"/>
      <c r="Q5" s="661"/>
      <c r="R5" s="1004"/>
      <c r="S5" s="13"/>
      <c r="T5" s="13"/>
      <c r="U5" s="13"/>
      <c r="V5" s="13"/>
      <c r="W5" s="13"/>
      <c r="X5" s="13"/>
      <c r="Y5" s="13"/>
    </row>
    <row r="6" spans="1:25" s="34" customFormat="1" ht="28.5" customHeight="1" x14ac:dyDescent="0.15">
      <c r="A6" s="24"/>
      <c r="B6" s="14" t="s">
        <v>48</v>
      </c>
      <c r="C6" s="14" t="s">
        <v>76</v>
      </c>
      <c r="D6" s="660" t="s">
        <v>845</v>
      </c>
      <c r="E6" s="14" t="s">
        <v>77</v>
      </c>
      <c r="F6" s="14" t="s">
        <v>34</v>
      </c>
      <c r="G6" s="660" t="s">
        <v>108</v>
      </c>
      <c r="H6" s="660" t="s">
        <v>109</v>
      </c>
      <c r="I6" s="660" t="s">
        <v>110</v>
      </c>
      <c r="J6" s="660" t="s">
        <v>111</v>
      </c>
      <c r="K6" s="660" t="s">
        <v>112</v>
      </c>
      <c r="L6" s="660" t="s">
        <v>577</v>
      </c>
      <c r="M6" s="660" t="s">
        <v>846</v>
      </c>
      <c r="N6" s="14" t="s">
        <v>16</v>
      </c>
      <c r="O6" s="660" t="s">
        <v>115</v>
      </c>
      <c r="P6" s="660" t="s">
        <v>116</v>
      </c>
      <c r="Q6" s="659" t="s">
        <v>117</v>
      </c>
      <c r="R6" s="1004"/>
      <c r="S6" s="13"/>
      <c r="T6" s="13"/>
      <c r="U6" s="13"/>
      <c r="V6" s="13"/>
      <c r="W6" s="13"/>
      <c r="X6" s="13"/>
      <c r="Y6" s="13"/>
    </row>
    <row r="7" spans="1:25" s="34" customFormat="1" ht="12" customHeight="1" x14ac:dyDescent="0.15">
      <c r="A7" s="24"/>
      <c r="B7" s="15"/>
      <c r="C7" s="15"/>
      <c r="D7" s="15" t="str">
        <f>PROPER("CPC-B")</f>
        <v>Cpc-B</v>
      </c>
      <c r="E7" s="15"/>
      <c r="F7" s="15"/>
      <c r="G7" s="15" t="str">
        <f>PROPER("BACH HO")</f>
        <v>Bach Ho</v>
      </c>
      <c r="H7" s="15" t="str">
        <f>PROPER("DAI HUNG")</f>
        <v>Dai Hung</v>
      </c>
      <c r="I7" s="15" t="str">
        <f>PROPER("RUBY")</f>
        <v>Ruby</v>
      </c>
      <c r="J7" s="15" t="str">
        <f>PROPER("SUTUDEN")</f>
        <v>Sutuden</v>
      </c>
      <c r="K7" s="15" t="str">
        <f>PROPER("CHIM-SAO")</f>
        <v>Chim-Sao</v>
      </c>
      <c r="L7" s="15" t="str">
        <f>PROPER("TANGLONG")</f>
        <v>Tanglong</v>
      </c>
      <c r="M7" s="15" t="str">
        <f>PROPER("THAI-FO")</f>
        <v>Thai-Fo</v>
      </c>
      <c r="N7" s="15"/>
      <c r="O7" s="15" t="str">
        <f>PROPER("DULANG")</f>
        <v>Dulang</v>
      </c>
      <c r="P7" s="15" t="str">
        <f>PROPER("PENARA-B")</f>
        <v>Penara-B</v>
      </c>
      <c r="Q7" s="522" t="str">
        <f>PROPER("SEPAT")</f>
        <v>Sepat</v>
      </c>
      <c r="R7" s="1005"/>
      <c r="S7" s="13"/>
      <c r="T7" s="13"/>
      <c r="U7" s="13"/>
      <c r="V7" s="13"/>
      <c r="W7" s="13"/>
      <c r="X7" s="13"/>
      <c r="Y7" s="13"/>
    </row>
    <row r="8" spans="1:25" s="36" customFormat="1" ht="10.5" customHeight="1" x14ac:dyDescent="0.15">
      <c r="A8" s="645" t="s">
        <v>831</v>
      </c>
      <c r="B8" s="663">
        <v>143879667</v>
      </c>
      <c r="C8" s="664">
        <v>998907</v>
      </c>
      <c r="D8" s="664">
        <v>998907</v>
      </c>
      <c r="E8" s="664">
        <v>1168949</v>
      </c>
      <c r="F8" s="664">
        <v>397479</v>
      </c>
      <c r="G8" s="664">
        <v>144883</v>
      </c>
      <c r="H8" s="664">
        <v>111767</v>
      </c>
      <c r="I8" s="664">
        <v>46056</v>
      </c>
      <c r="J8" s="664">
        <v>47380</v>
      </c>
      <c r="K8" s="664">
        <v>47393</v>
      </c>
      <c r="L8" s="664" t="s">
        <v>796</v>
      </c>
      <c r="M8" s="664">
        <v>11177</v>
      </c>
      <c r="N8" s="664">
        <v>667645</v>
      </c>
      <c r="O8" s="664">
        <v>108958</v>
      </c>
      <c r="P8" s="664">
        <v>216981</v>
      </c>
      <c r="Q8" s="664">
        <v>183317</v>
      </c>
      <c r="R8" s="665" t="s">
        <v>517</v>
      </c>
      <c r="S8" s="35"/>
      <c r="T8" s="35"/>
      <c r="U8" s="35"/>
      <c r="V8" s="35"/>
      <c r="W8" s="35"/>
      <c r="X8" s="35"/>
      <c r="Y8" s="35"/>
    </row>
    <row r="9" spans="1:25" s="36" customFormat="1" ht="10.5" customHeight="1" x14ac:dyDescent="0.15">
      <c r="A9" s="448" t="s">
        <v>557</v>
      </c>
      <c r="B9" s="37">
        <v>144662684</v>
      </c>
      <c r="C9" s="36">
        <v>166004</v>
      </c>
      <c r="D9" s="36">
        <v>166004</v>
      </c>
      <c r="E9" s="36">
        <v>1244456</v>
      </c>
      <c r="F9" s="36">
        <v>321963</v>
      </c>
      <c r="G9" s="36" t="s">
        <v>796</v>
      </c>
      <c r="H9" s="36" t="s">
        <v>796</v>
      </c>
      <c r="I9" s="36">
        <v>139963</v>
      </c>
      <c r="J9" s="36">
        <v>95040</v>
      </c>
      <c r="K9" s="36">
        <v>47483</v>
      </c>
      <c r="L9" s="36">
        <v>39477</v>
      </c>
      <c r="M9" s="36">
        <v>49688</v>
      </c>
      <c r="N9" s="36">
        <v>516977</v>
      </c>
      <c r="O9" s="36">
        <v>31645</v>
      </c>
      <c r="P9" s="36">
        <v>64109</v>
      </c>
      <c r="Q9" s="36">
        <v>318998</v>
      </c>
      <c r="R9" s="38" t="s">
        <v>558</v>
      </c>
      <c r="S9" s="35"/>
      <c r="T9" s="35"/>
      <c r="U9" s="35"/>
      <c r="V9" s="35"/>
      <c r="W9" s="35"/>
      <c r="X9" s="35"/>
      <c r="Y9" s="35"/>
    </row>
    <row r="10" spans="1:25" s="36" customFormat="1" ht="10.5" customHeight="1" x14ac:dyDescent="0.15">
      <c r="A10" s="448" t="s">
        <v>682</v>
      </c>
      <c r="B10" s="37">
        <v>158641580</v>
      </c>
      <c r="C10" s="36">
        <v>172335</v>
      </c>
      <c r="D10" s="36">
        <v>172335</v>
      </c>
      <c r="E10" s="36">
        <v>1189732</v>
      </c>
      <c r="F10" s="36">
        <v>607817</v>
      </c>
      <c r="G10" s="36" t="s">
        <v>796</v>
      </c>
      <c r="H10" s="36" t="s">
        <v>796</v>
      </c>
      <c r="I10" s="36" t="s">
        <v>796</v>
      </c>
      <c r="J10" s="36">
        <v>429076</v>
      </c>
      <c r="K10" s="36">
        <v>139248</v>
      </c>
      <c r="L10" s="36">
        <v>39493</v>
      </c>
      <c r="M10" s="36">
        <v>56634</v>
      </c>
      <c r="N10" s="36">
        <v>278902</v>
      </c>
      <c r="O10" s="36" t="s">
        <v>796</v>
      </c>
      <c r="P10" s="36" t="s">
        <v>796</v>
      </c>
      <c r="Q10" s="36">
        <v>246579</v>
      </c>
      <c r="R10" s="38" t="s">
        <v>683</v>
      </c>
      <c r="S10" s="35"/>
      <c r="T10" s="35"/>
      <c r="U10" s="35"/>
      <c r="V10" s="35"/>
      <c r="W10" s="35"/>
      <c r="X10" s="35"/>
      <c r="Y10" s="35"/>
    </row>
    <row r="11" spans="1:25" s="36" customFormat="1" ht="10.5" customHeight="1" x14ac:dyDescent="0.15">
      <c r="A11" s="448" t="s">
        <v>784</v>
      </c>
      <c r="B11" s="37">
        <v>147661066</v>
      </c>
      <c r="C11" s="36" t="s">
        <v>796</v>
      </c>
      <c r="D11" s="36" t="s">
        <v>796</v>
      </c>
      <c r="E11" s="36">
        <v>1046476</v>
      </c>
      <c r="F11" s="36">
        <v>343702</v>
      </c>
      <c r="G11" s="36">
        <v>146028</v>
      </c>
      <c r="H11" s="36" t="s">
        <v>796</v>
      </c>
      <c r="I11" s="36">
        <v>118709</v>
      </c>
      <c r="J11" s="36" t="s">
        <v>796</v>
      </c>
      <c r="K11" s="36" t="s">
        <v>796</v>
      </c>
      <c r="L11" s="36">
        <v>78965</v>
      </c>
      <c r="M11" s="36" t="s">
        <v>796</v>
      </c>
      <c r="N11" s="36">
        <v>176538</v>
      </c>
      <c r="O11" s="36" t="s">
        <v>796</v>
      </c>
      <c r="P11" s="36" t="s">
        <v>796</v>
      </c>
      <c r="Q11" s="36">
        <v>126754</v>
      </c>
      <c r="R11" s="38" t="s">
        <v>785</v>
      </c>
      <c r="S11" s="35"/>
      <c r="T11" s="35"/>
      <c r="U11" s="35"/>
      <c r="V11" s="35"/>
      <c r="W11" s="35"/>
      <c r="X11" s="35"/>
      <c r="Y11" s="35"/>
    </row>
    <row r="12" spans="1:25" s="36" customFormat="1" ht="10.5" customHeight="1" x14ac:dyDescent="0.15">
      <c r="A12" s="448" t="s">
        <v>832</v>
      </c>
      <c r="B12" s="37">
        <v>135037249</v>
      </c>
      <c r="C12" s="36" t="s">
        <v>796</v>
      </c>
      <c r="D12" s="36" t="s">
        <v>796</v>
      </c>
      <c r="E12" s="36">
        <v>693732</v>
      </c>
      <c r="F12" s="36">
        <v>275158</v>
      </c>
      <c r="G12" s="36">
        <v>143500</v>
      </c>
      <c r="H12" s="36" t="s">
        <v>796</v>
      </c>
      <c r="I12" s="36" t="s">
        <v>796</v>
      </c>
      <c r="J12" s="36">
        <v>92145</v>
      </c>
      <c r="K12" s="36" t="s">
        <v>796</v>
      </c>
      <c r="L12" s="36">
        <v>39513</v>
      </c>
      <c r="M12" s="36" t="s">
        <v>796</v>
      </c>
      <c r="N12" s="36" t="s">
        <v>796</v>
      </c>
      <c r="O12" s="36" t="s">
        <v>796</v>
      </c>
      <c r="P12" s="36" t="s">
        <v>796</v>
      </c>
      <c r="Q12" s="36" t="s">
        <v>796</v>
      </c>
      <c r="R12" s="38" t="s">
        <v>833</v>
      </c>
      <c r="S12" s="35"/>
      <c r="T12" s="35"/>
      <c r="U12" s="35"/>
      <c r="V12" s="35"/>
      <c r="W12" s="35"/>
      <c r="X12" s="35"/>
      <c r="Y12" s="35"/>
    </row>
    <row r="13" spans="1:25" s="36" customFormat="1" ht="10.5" customHeight="1" x14ac:dyDescent="0.15">
      <c r="A13" s="464"/>
      <c r="B13" s="37"/>
      <c r="R13" s="38"/>
      <c r="S13" s="35"/>
      <c r="T13" s="35"/>
      <c r="U13" s="35"/>
      <c r="V13" s="35"/>
      <c r="W13" s="35"/>
      <c r="X13" s="35"/>
      <c r="Y13" s="35"/>
    </row>
    <row r="14" spans="1:25" s="36" customFormat="1" ht="10.5" customHeight="1" x14ac:dyDescent="0.15">
      <c r="A14" s="448" t="s">
        <v>834</v>
      </c>
      <c r="B14" s="37">
        <v>144801793</v>
      </c>
      <c r="C14" s="36" t="s">
        <v>796</v>
      </c>
      <c r="D14" s="36" t="s">
        <v>796</v>
      </c>
      <c r="E14" s="36">
        <v>920288</v>
      </c>
      <c r="F14" s="36">
        <v>347509</v>
      </c>
      <c r="G14" s="36">
        <v>146028</v>
      </c>
      <c r="H14" s="36" t="s">
        <v>796</v>
      </c>
      <c r="I14" s="36">
        <v>118709</v>
      </c>
      <c r="J14" s="36">
        <v>44826</v>
      </c>
      <c r="K14" s="36" t="s">
        <v>796</v>
      </c>
      <c r="L14" s="36">
        <v>37946</v>
      </c>
      <c r="M14" s="36" t="s">
        <v>796</v>
      </c>
      <c r="N14" s="36">
        <v>113103</v>
      </c>
      <c r="O14" s="36" t="s">
        <v>796</v>
      </c>
      <c r="P14" s="36" t="s">
        <v>796</v>
      </c>
      <c r="Q14" s="36">
        <v>63319</v>
      </c>
      <c r="R14" s="38" t="s">
        <v>786</v>
      </c>
      <c r="S14" s="35"/>
      <c r="T14" s="35"/>
      <c r="U14" s="35"/>
      <c r="V14" s="35"/>
      <c r="W14" s="35"/>
      <c r="X14" s="35"/>
      <c r="Y14" s="35"/>
    </row>
    <row r="15" spans="1:25" s="36" customFormat="1" ht="10.5" customHeight="1" x14ac:dyDescent="0.15">
      <c r="A15" s="448" t="s">
        <v>835</v>
      </c>
      <c r="B15" s="37">
        <v>136293504</v>
      </c>
      <c r="C15" s="36" t="s">
        <v>796</v>
      </c>
      <c r="D15" s="36" t="s">
        <v>796</v>
      </c>
      <c r="E15" s="36">
        <v>601653</v>
      </c>
      <c r="F15" s="36">
        <v>230332</v>
      </c>
      <c r="G15" s="36">
        <v>143500</v>
      </c>
      <c r="H15" s="36" t="s">
        <v>796</v>
      </c>
      <c r="I15" s="36" t="s">
        <v>796</v>
      </c>
      <c r="J15" s="36">
        <v>47319</v>
      </c>
      <c r="K15" s="36" t="s">
        <v>796</v>
      </c>
      <c r="L15" s="36">
        <v>39513</v>
      </c>
      <c r="M15" s="36" t="s">
        <v>796</v>
      </c>
      <c r="N15" s="36">
        <v>28233</v>
      </c>
      <c r="O15" s="36">
        <v>28233</v>
      </c>
      <c r="P15" s="36" t="s">
        <v>796</v>
      </c>
      <c r="Q15" s="36" t="s">
        <v>796</v>
      </c>
      <c r="R15" s="38" t="s">
        <v>836</v>
      </c>
      <c r="S15" s="35"/>
      <c r="T15" s="35"/>
      <c r="U15" s="35"/>
      <c r="V15" s="35"/>
      <c r="W15" s="35"/>
      <c r="X15" s="35"/>
      <c r="Y15" s="35"/>
    </row>
    <row r="16" spans="1:25" s="36" customFormat="1" ht="10.5" customHeight="1" x14ac:dyDescent="0.15">
      <c r="A16" s="464"/>
      <c r="B16" s="37"/>
      <c r="R16" s="38"/>
      <c r="S16" s="35"/>
      <c r="T16" s="35"/>
      <c r="U16" s="35"/>
      <c r="V16" s="35"/>
      <c r="W16" s="35"/>
      <c r="X16" s="35"/>
      <c r="Y16" s="35"/>
    </row>
    <row r="17" spans="1:25" s="36" customFormat="1" ht="10.5" customHeight="1" x14ac:dyDescent="0.15">
      <c r="A17" s="448" t="s">
        <v>837</v>
      </c>
      <c r="B17" s="37">
        <v>35061324</v>
      </c>
      <c r="C17" s="36" t="s">
        <v>796</v>
      </c>
      <c r="D17" s="36" t="s">
        <v>796</v>
      </c>
      <c r="E17" s="36">
        <v>120312</v>
      </c>
      <c r="F17" s="36">
        <v>44826</v>
      </c>
      <c r="G17" s="36" t="s">
        <v>796</v>
      </c>
      <c r="H17" s="36" t="s">
        <v>796</v>
      </c>
      <c r="I17" s="36" t="s">
        <v>796</v>
      </c>
      <c r="J17" s="36">
        <v>44826</v>
      </c>
      <c r="K17" s="36" t="s">
        <v>796</v>
      </c>
      <c r="L17" s="36" t="s">
        <v>796</v>
      </c>
      <c r="M17" s="36" t="s">
        <v>796</v>
      </c>
      <c r="N17" s="36" t="s">
        <v>796</v>
      </c>
      <c r="O17" s="36" t="s">
        <v>796</v>
      </c>
      <c r="P17" s="36" t="s">
        <v>796</v>
      </c>
      <c r="Q17" s="36" t="s">
        <v>796</v>
      </c>
      <c r="R17" s="38" t="s">
        <v>787</v>
      </c>
      <c r="S17" s="35"/>
      <c r="T17" s="35"/>
      <c r="U17" s="35"/>
      <c r="V17" s="35"/>
      <c r="W17" s="35"/>
      <c r="X17" s="35"/>
      <c r="Y17" s="35"/>
    </row>
    <row r="18" spans="1:25" s="36" customFormat="1" ht="10.5" customHeight="1" x14ac:dyDescent="0.15">
      <c r="A18" s="448" t="s">
        <v>559</v>
      </c>
      <c r="B18" s="37">
        <v>32843712</v>
      </c>
      <c r="C18" s="36" t="s">
        <v>796</v>
      </c>
      <c r="D18" s="36" t="s">
        <v>796</v>
      </c>
      <c r="E18" s="36">
        <v>134171</v>
      </c>
      <c r="F18" s="36">
        <v>47319</v>
      </c>
      <c r="G18" s="36" t="s">
        <v>796</v>
      </c>
      <c r="H18" s="36" t="s">
        <v>796</v>
      </c>
      <c r="I18" s="36" t="s">
        <v>796</v>
      </c>
      <c r="J18" s="36">
        <v>47319</v>
      </c>
      <c r="K18" s="36" t="s">
        <v>796</v>
      </c>
      <c r="L18" s="36" t="s">
        <v>796</v>
      </c>
      <c r="M18" s="36" t="s">
        <v>796</v>
      </c>
      <c r="N18" s="36" t="s">
        <v>796</v>
      </c>
      <c r="O18" s="36" t="s">
        <v>796</v>
      </c>
      <c r="P18" s="36" t="s">
        <v>796</v>
      </c>
      <c r="Q18" s="36" t="s">
        <v>796</v>
      </c>
      <c r="R18" s="38" t="s">
        <v>78</v>
      </c>
      <c r="S18" s="35"/>
      <c r="T18" s="35"/>
      <c r="U18" s="35"/>
      <c r="V18" s="35"/>
      <c r="W18" s="35"/>
      <c r="X18" s="35"/>
      <c r="Y18" s="35"/>
    </row>
    <row r="19" spans="1:25" s="36" customFormat="1" ht="10.5" customHeight="1" x14ac:dyDescent="0.15">
      <c r="A19" s="448" t="s">
        <v>560</v>
      </c>
      <c r="B19" s="37">
        <v>32755936</v>
      </c>
      <c r="C19" s="36" t="s">
        <v>796</v>
      </c>
      <c r="D19" s="36" t="s">
        <v>796</v>
      </c>
      <c r="E19" s="36">
        <v>279889</v>
      </c>
      <c r="F19" s="36">
        <v>96310</v>
      </c>
      <c r="G19" s="36">
        <v>96310</v>
      </c>
      <c r="H19" s="36" t="s">
        <v>796</v>
      </c>
      <c r="I19" s="36" t="s">
        <v>796</v>
      </c>
      <c r="J19" s="36" t="s">
        <v>796</v>
      </c>
      <c r="K19" s="36" t="s">
        <v>796</v>
      </c>
      <c r="L19" s="36" t="s">
        <v>796</v>
      </c>
      <c r="M19" s="36" t="s">
        <v>796</v>
      </c>
      <c r="N19" s="36" t="s">
        <v>796</v>
      </c>
      <c r="O19" s="36" t="s">
        <v>796</v>
      </c>
      <c r="P19" s="36" t="s">
        <v>796</v>
      </c>
      <c r="Q19" s="36" t="s">
        <v>796</v>
      </c>
      <c r="R19" s="38" t="s">
        <v>79</v>
      </c>
      <c r="S19" s="35"/>
      <c r="T19" s="35"/>
      <c r="U19" s="35"/>
      <c r="V19" s="35"/>
      <c r="W19" s="35"/>
      <c r="X19" s="35"/>
      <c r="Y19" s="35"/>
    </row>
    <row r="20" spans="1:25" s="36" customFormat="1" ht="10.5" customHeight="1" x14ac:dyDescent="0.15">
      <c r="A20" s="448" t="s">
        <v>561</v>
      </c>
      <c r="B20" s="37">
        <v>34376277</v>
      </c>
      <c r="C20" s="36" t="s">
        <v>796</v>
      </c>
      <c r="D20" s="36" t="s">
        <v>796</v>
      </c>
      <c r="E20" s="36">
        <v>159360</v>
      </c>
      <c r="F20" s="36">
        <v>86703</v>
      </c>
      <c r="G20" s="36">
        <v>47190</v>
      </c>
      <c r="H20" s="36" t="s">
        <v>796</v>
      </c>
      <c r="I20" s="36" t="s">
        <v>796</v>
      </c>
      <c r="J20" s="36" t="s">
        <v>796</v>
      </c>
      <c r="K20" s="36" t="s">
        <v>796</v>
      </c>
      <c r="L20" s="36">
        <v>39513</v>
      </c>
      <c r="M20" s="36" t="s">
        <v>796</v>
      </c>
      <c r="N20" s="36" t="s">
        <v>796</v>
      </c>
      <c r="O20" s="36" t="s">
        <v>796</v>
      </c>
      <c r="P20" s="36" t="s">
        <v>796</v>
      </c>
      <c r="Q20" s="36" t="s">
        <v>796</v>
      </c>
      <c r="R20" s="38" t="s">
        <v>80</v>
      </c>
      <c r="S20" s="35"/>
      <c r="T20" s="35"/>
      <c r="U20" s="35"/>
      <c r="V20" s="35"/>
      <c r="W20" s="35"/>
      <c r="X20" s="35"/>
      <c r="Y20" s="35"/>
    </row>
    <row r="21" spans="1:25" s="36" customFormat="1" ht="10.5" customHeight="1" x14ac:dyDescent="0.15">
      <c r="A21" s="448" t="s">
        <v>838</v>
      </c>
      <c r="B21" s="37">
        <v>36317579</v>
      </c>
      <c r="C21" s="36" t="s">
        <v>796</v>
      </c>
      <c r="D21" s="36" t="s">
        <v>796</v>
      </c>
      <c r="E21" s="36">
        <v>28233</v>
      </c>
      <c r="F21" s="36" t="s">
        <v>796</v>
      </c>
      <c r="G21" s="36" t="s">
        <v>796</v>
      </c>
      <c r="H21" s="36" t="s">
        <v>796</v>
      </c>
      <c r="I21" s="36" t="s">
        <v>796</v>
      </c>
      <c r="J21" s="36" t="s">
        <v>796</v>
      </c>
      <c r="K21" s="36" t="s">
        <v>796</v>
      </c>
      <c r="L21" s="36" t="s">
        <v>796</v>
      </c>
      <c r="M21" s="36" t="s">
        <v>796</v>
      </c>
      <c r="N21" s="36">
        <v>28233</v>
      </c>
      <c r="O21" s="36">
        <v>28233</v>
      </c>
      <c r="P21" s="36" t="s">
        <v>796</v>
      </c>
      <c r="Q21" s="36" t="s">
        <v>796</v>
      </c>
      <c r="R21" s="38" t="s">
        <v>839</v>
      </c>
      <c r="S21" s="35"/>
      <c r="T21" s="35"/>
      <c r="U21" s="35"/>
      <c r="V21" s="35"/>
      <c r="W21" s="35"/>
      <c r="X21" s="35"/>
      <c r="Y21" s="35"/>
    </row>
    <row r="22" spans="1:25" s="36" customFormat="1" ht="10.5" customHeight="1" x14ac:dyDescent="0.15">
      <c r="A22" s="464"/>
      <c r="B22" s="37"/>
      <c r="R22" s="38"/>
      <c r="S22" s="35"/>
      <c r="T22" s="35"/>
      <c r="U22" s="35"/>
      <c r="V22" s="35"/>
      <c r="W22" s="35"/>
      <c r="X22" s="35"/>
      <c r="Y22" s="35"/>
    </row>
    <row r="23" spans="1:25" s="36" customFormat="1" ht="10.5" customHeight="1" x14ac:dyDescent="0.15">
      <c r="A23" s="448" t="s">
        <v>840</v>
      </c>
      <c r="B23" s="37">
        <v>11974244</v>
      </c>
      <c r="C23" s="36" t="s">
        <v>796</v>
      </c>
      <c r="D23" s="36" t="s">
        <v>796</v>
      </c>
      <c r="E23" s="36">
        <v>70486</v>
      </c>
      <c r="F23" s="36">
        <v>44826</v>
      </c>
      <c r="G23" s="36" t="s">
        <v>796</v>
      </c>
      <c r="H23" s="36" t="s">
        <v>796</v>
      </c>
      <c r="I23" s="36" t="s">
        <v>796</v>
      </c>
      <c r="J23" s="36">
        <v>44826</v>
      </c>
      <c r="K23" s="36" t="s">
        <v>796</v>
      </c>
      <c r="L23" s="36" t="s">
        <v>796</v>
      </c>
      <c r="M23" s="36" t="s">
        <v>796</v>
      </c>
      <c r="N23" s="36" t="s">
        <v>796</v>
      </c>
      <c r="O23" s="36" t="s">
        <v>796</v>
      </c>
      <c r="P23" s="36" t="s">
        <v>796</v>
      </c>
      <c r="Q23" s="36" t="s">
        <v>796</v>
      </c>
      <c r="R23" s="38" t="s">
        <v>788</v>
      </c>
      <c r="S23" s="35"/>
      <c r="T23" s="35"/>
      <c r="U23" s="35"/>
      <c r="V23" s="35"/>
      <c r="W23" s="35"/>
      <c r="X23" s="35"/>
      <c r="Y23" s="35"/>
    </row>
    <row r="24" spans="1:25" s="36" customFormat="1" ht="10.5" customHeight="1" x14ac:dyDescent="0.15">
      <c r="A24" s="448" t="s">
        <v>562</v>
      </c>
      <c r="B24" s="37">
        <v>11278671</v>
      </c>
      <c r="C24" s="36" t="s">
        <v>796</v>
      </c>
      <c r="D24" s="36" t="s">
        <v>796</v>
      </c>
      <c r="E24" s="36">
        <v>49826</v>
      </c>
      <c r="F24" s="36" t="s">
        <v>796</v>
      </c>
      <c r="G24" s="36" t="s">
        <v>796</v>
      </c>
      <c r="H24" s="36" t="s">
        <v>796</v>
      </c>
      <c r="I24" s="36" t="s">
        <v>796</v>
      </c>
      <c r="J24" s="36" t="s">
        <v>796</v>
      </c>
      <c r="K24" s="36" t="s">
        <v>796</v>
      </c>
      <c r="L24" s="36" t="s">
        <v>796</v>
      </c>
      <c r="M24" s="36" t="s">
        <v>796</v>
      </c>
      <c r="N24" s="36" t="s">
        <v>796</v>
      </c>
      <c r="O24" s="36" t="s">
        <v>796</v>
      </c>
      <c r="P24" s="36" t="s">
        <v>796</v>
      </c>
      <c r="Q24" s="36" t="s">
        <v>796</v>
      </c>
      <c r="R24" s="38" t="s">
        <v>66</v>
      </c>
      <c r="S24" s="35"/>
      <c r="T24" s="35"/>
      <c r="U24" s="35"/>
      <c r="V24" s="35"/>
      <c r="W24" s="35"/>
      <c r="X24" s="35"/>
      <c r="Y24" s="35"/>
    </row>
    <row r="25" spans="1:25" s="36" customFormat="1" ht="10.5" customHeight="1" x14ac:dyDescent="0.15">
      <c r="A25" s="448" t="s">
        <v>563</v>
      </c>
      <c r="B25" s="37">
        <v>11808409</v>
      </c>
      <c r="C25" s="36" t="s">
        <v>796</v>
      </c>
      <c r="D25" s="36" t="s">
        <v>796</v>
      </c>
      <c r="E25" s="36" t="s">
        <v>796</v>
      </c>
      <c r="F25" s="36" t="s">
        <v>796</v>
      </c>
      <c r="G25" s="36" t="s">
        <v>796</v>
      </c>
      <c r="H25" s="36" t="s">
        <v>796</v>
      </c>
      <c r="I25" s="36" t="s">
        <v>796</v>
      </c>
      <c r="J25" s="36" t="s">
        <v>796</v>
      </c>
      <c r="K25" s="36" t="s">
        <v>796</v>
      </c>
      <c r="L25" s="36" t="s">
        <v>796</v>
      </c>
      <c r="M25" s="36" t="s">
        <v>796</v>
      </c>
      <c r="N25" s="36" t="s">
        <v>796</v>
      </c>
      <c r="O25" s="36" t="s">
        <v>796</v>
      </c>
      <c r="P25" s="36" t="s">
        <v>796</v>
      </c>
      <c r="Q25" s="36" t="s">
        <v>796</v>
      </c>
      <c r="R25" s="38" t="s">
        <v>67</v>
      </c>
      <c r="S25" s="35"/>
      <c r="T25" s="35"/>
      <c r="U25" s="35"/>
      <c r="V25" s="35"/>
      <c r="W25" s="35"/>
      <c r="X25" s="35"/>
      <c r="Y25" s="35"/>
    </row>
    <row r="26" spans="1:25" s="36" customFormat="1" ht="10.5" customHeight="1" x14ac:dyDescent="0.15">
      <c r="A26" s="448" t="s">
        <v>564</v>
      </c>
      <c r="B26" s="37">
        <v>12514358</v>
      </c>
      <c r="C26" s="36" t="s">
        <v>796</v>
      </c>
      <c r="D26" s="36" t="s">
        <v>796</v>
      </c>
      <c r="E26" s="36">
        <v>48904</v>
      </c>
      <c r="F26" s="36" t="s">
        <v>796</v>
      </c>
      <c r="G26" s="36" t="s">
        <v>796</v>
      </c>
      <c r="H26" s="36" t="s">
        <v>796</v>
      </c>
      <c r="I26" s="36" t="s">
        <v>796</v>
      </c>
      <c r="J26" s="36" t="s">
        <v>796</v>
      </c>
      <c r="K26" s="36" t="s">
        <v>796</v>
      </c>
      <c r="L26" s="36" t="s">
        <v>796</v>
      </c>
      <c r="M26" s="36" t="s">
        <v>796</v>
      </c>
      <c r="N26" s="36" t="s">
        <v>796</v>
      </c>
      <c r="O26" s="36" t="s">
        <v>796</v>
      </c>
      <c r="P26" s="36" t="s">
        <v>796</v>
      </c>
      <c r="Q26" s="36" t="s">
        <v>796</v>
      </c>
      <c r="R26" s="38" t="s">
        <v>68</v>
      </c>
      <c r="S26" s="35"/>
      <c r="T26" s="35"/>
      <c r="U26" s="35"/>
      <c r="V26" s="35"/>
      <c r="W26" s="35"/>
      <c r="X26" s="35"/>
      <c r="Y26" s="35"/>
    </row>
    <row r="27" spans="1:25" s="36" customFormat="1" ht="10.5" customHeight="1" x14ac:dyDescent="0.15">
      <c r="A27" s="448" t="s">
        <v>565</v>
      </c>
      <c r="B27" s="37">
        <v>10401717</v>
      </c>
      <c r="C27" s="36" t="s">
        <v>796</v>
      </c>
      <c r="D27" s="36" t="s">
        <v>796</v>
      </c>
      <c r="E27" s="36">
        <v>37948</v>
      </c>
      <c r="F27" s="36" t="s">
        <v>796</v>
      </c>
      <c r="G27" s="36" t="s">
        <v>796</v>
      </c>
      <c r="H27" s="36" t="s">
        <v>796</v>
      </c>
      <c r="I27" s="36" t="s">
        <v>796</v>
      </c>
      <c r="J27" s="36" t="s">
        <v>796</v>
      </c>
      <c r="K27" s="36" t="s">
        <v>796</v>
      </c>
      <c r="L27" s="36" t="s">
        <v>796</v>
      </c>
      <c r="M27" s="36" t="s">
        <v>796</v>
      </c>
      <c r="N27" s="36" t="s">
        <v>796</v>
      </c>
      <c r="O27" s="36" t="s">
        <v>796</v>
      </c>
      <c r="P27" s="36" t="s">
        <v>796</v>
      </c>
      <c r="Q27" s="36" t="s">
        <v>796</v>
      </c>
      <c r="R27" s="39" t="s">
        <v>81</v>
      </c>
      <c r="S27" s="35"/>
      <c r="T27" s="35"/>
      <c r="U27" s="35"/>
      <c r="V27" s="35"/>
      <c r="W27" s="35"/>
      <c r="X27" s="35"/>
      <c r="Y27" s="35"/>
    </row>
    <row r="28" spans="1:25" s="36" customFormat="1" ht="10.5" customHeight="1" x14ac:dyDescent="0.15">
      <c r="A28" s="448" t="s">
        <v>566</v>
      </c>
      <c r="B28" s="37">
        <v>9927637</v>
      </c>
      <c r="C28" s="36" t="s">
        <v>796</v>
      </c>
      <c r="D28" s="36" t="s">
        <v>796</v>
      </c>
      <c r="E28" s="36">
        <v>47319</v>
      </c>
      <c r="F28" s="36">
        <v>47319</v>
      </c>
      <c r="G28" s="36" t="s">
        <v>796</v>
      </c>
      <c r="H28" s="36" t="s">
        <v>796</v>
      </c>
      <c r="I28" s="36" t="s">
        <v>796</v>
      </c>
      <c r="J28" s="36">
        <v>47319</v>
      </c>
      <c r="K28" s="36" t="s">
        <v>796</v>
      </c>
      <c r="L28" s="36" t="s">
        <v>796</v>
      </c>
      <c r="M28" s="36" t="s">
        <v>796</v>
      </c>
      <c r="N28" s="36" t="s">
        <v>796</v>
      </c>
      <c r="O28" s="36" t="s">
        <v>796</v>
      </c>
      <c r="P28" s="36" t="s">
        <v>796</v>
      </c>
      <c r="Q28" s="36" t="s">
        <v>796</v>
      </c>
      <c r="R28" s="38" t="s">
        <v>82</v>
      </c>
      <c r="S28" s="35"/>
      <c r="T28" s="35"/>
      <c r="U28" s="35"/>
      <c r="V28" s="35"/>
      <c r="W28" s="35"/>
      <c r="X28" s="35"/>
      <c r="Y28" s="35"/>
    </row>
    <row r="29" spans="1:25" s="36" customFormat="1" ht="10.5" customHeight="1" x14ac:dyDescent="0.15">
      <c r="A29" s="448" t="s">
        <v>567</v>
      </c>
      <c r="B29" s="37">
        <v>10050845</v>
      </c>
      <c r="C29" s="36" t="s">
        <v>796</v>
      </c>
      <c r="D29" s="36" t="s">
        <v>796</v>
      </c>
      <c r="E29" s="36">
        <v>93266</v>
      </c>
      <c r="F29" s="36" t="s">
        <v>796</v>
      </c>
      <c r="G29" s="36" t="s">
        <v>796</v>
      </c>
      <c r="H29" s="36" t="s">
        <v>796</v>
      </c>
      <c r="I29" s="36" t="s">
        <v>796</v>
      </c>
      <c r="J29" s="36" t="s">
        <v>796</v>
      </c>
      <c r="K29" s="36" t="s">
        <v>796</v>
      </c>
      <c r="L29" s="36" t="s">
        <v>796</v>
      </c>
      <c r="M29" s="36" t="s">
        <v>796</v>
      </c>
      <c r="N29" s="36" t="s">
        <v>796</v>
      </c>
      <c r="O29" s="36" t="s">
        <v>796</v>
      </c>
      <c r="P29" s="36" t="s">
        <v>796</v>
      </c>
      <c r="Q29" s="36" t="s">
        <v>796</v>
      </c>
      <c r="R29" s="38" t="s">
        <v>83</v>
      </c>
      <c r="S29" s="35"/>
      <c r="T29" s="35"/>
      <c r="U29" s="35"/>
      <c r="V29" s="35"/>
      <c r="W29" s="35"/>
      <c r="X29" s="35"/>
      <c r="Y29" s="35"/>
    </row>
    <row r="30" spans="1:25" s="36" customFormat="1" ht="10.5" customHeight="1" x14ac:dyDescent="0.15">
      <c r="A30" s="448" t="s">
        <v>568</v>
      </c>
      <c r="B30" s="37">
        <v>11137837</v>
      </c>
      <c r="C30" s="36" t="s">
        <v>796</v>
      </c>
      <c r="D30" s="36" t="s">
        <v>796</v>
      </c>
      <c r="E30" s="36">
        <v>96310</v>
      </c>
      <c r="F30" s="36">
        <v>96310</v>
      </c>
      <c r="G30" s="36">
        <v>96310</v>
      </c>
      <c r="H30" s="36" t="s">
        <v>796</v>
      </c>
      <c r="I30" s="36" t="s">
        <v>796</v>
      </c>
      <c r="J30" s="36" t="s">
        <v>796</v>
      </c>
      <c r="K30" s="36" t="s">
        <v>796</v>
      </c>
      <c r="L30" s="36" t="s">
        <v>796</v>
      </c>
      <c r="M30" s="36" t="s">
        <v>796</v>
      </c>
      <c r="N30" s="36" t="s">
        <v>796</v>
      </c>
      <c r="O30" s="36" t="s">
        <v>796</v>
      </c>
      <c r="P30" s="36" t="s">
        <v>796</v>
      </c>
      <c r="Q30" s="36" t="s">
        <v>796</v>
      </c>
      <c r="R30" s="38" t="s">
        <v>84</v>
      </c>
      <c r="S30" s="35"/>
      <c r="T30" s="35"/>
      <c r="U30" s="35"/>
      <c r="V30" s="35"/>
      <c r="W30" s="35"/>
      <c r="X30" s="35"/>
      <c r="Y30" s="35"/>
    </row>
    <row r="31" spans="1:25" s="36" customFormat="1" ht="10.5" customHeight="1" x14ac:dyDescent="0.15">
      <c r="A31" s="448" t="s">
        <v>569</v>
      </c>
      <c r="B31" s="37">
        <v>11567254</v>
      </c>
      <c r="C31" s="36" t="s">
        <v>796</v>
      </c>
      <c r="D31" s="36" t="s">
        <v>796</v>
      </c>
      <c r="E31" s="36">
        <v>90313</v>
      </c>
      <c r="F31" s="36" t="s">
        <v>796</v>
      </c>
      <c r="G31" s="36" t="s">
        <v>796</v>
      </c>
      <c r="H31" s="36" t="s">
        <v>796</v>
      </c>
      <c r="I31" s="36" t="s">
        <v>796</v>
      </c>
      <c r="J31" s="36" t="s">
        <v>796</v>
      </c>
      <c r="K31" s="36" t="s">
        <v>796</v>
      </c>
      <c r="L31" s="36" t="s">
        <v>796</v>
      </c>
      <c r="M31" s="36" t="s">
        <v>796</v>
      </c>
      <c r="N31" s="36" t="s">
        <v>796</v>
      </c>
      <c r="O31" s="36" t="s">
        <v>796</v>
      </c>
      <c r="P31" s="36" t="s">
        <v>796</v>
      </c>
      <c r="Q31" s="36" t="s">
        <v>796</v>
      </c>
      <c r="R31" s="38" t="s">
        <v>85</v>
      </c>
      <c r="S31" s="35"/>
      <c r="T31" s="35"/>
      <c r="U31" s="35"/>
      <c r="V31" s="35"/>
      <c r="W31" s="35"/>
      <c r="X31" s="35"/>
      <c r="Y31" s="35"/>
    </row>
    <row r="32" spans="1:25" s="36" customFormat="1" ht="10.5" customHeight="1" x14ac:dyDescent="0.15">
      <c r="A32" s="448" t="s">
        <v>570</v>
      </c>
      <c r="B32" s="37">
        <v>10560374</v>
      </c>
      <c r="C32" s="36" t="s">
        <v>796</v>
      </c>
      <c r="D32" s="36" t="s">
        <v>796</v>
      </c>
      <c r="E32" s="36">
        <v>86978</v>
      </c>
      <c r="F32" s="36">
        <v>39513</v>
      </c>
      <c r="G32" s="36" t="s">
        <v>796</v>
      </c>
      <c r="H32" s="36" t="s">
        <v>796</v>
      </c>
      <c r="I32" s="36" t="s">
        <v>796</v>
      </c>
      <c r="J32" s="36" t="s">
        <v>796</v>
      </c>
      <c r="K32" s="36" t="s">
        <v>796</v>
      </c>
      <c r="L32" s="36">
        <v>39513</v>
      </c>
      <c r="M32" s="36" t="s">
        <v>796</v>
      </c>
      <c r="N32" s="36" t="s">
        <v>796</v>
      </c>
      <c r="O32" s="36" t="s">
        <v>796</v>
      </c>
      <c r="P32" s="36" t="s">
        <v>796</v>
      </c>
      <c r="Q32" s="36" t="s">
        <v>796</v>
      </c>
      <c r="R32" s="38" t="s">
        <v>69</v>
      </c>
      <c r="S32" s="35"/>
      <c r="T32" s="35"/>
      <c r="U32" s="35"/>
      <c r="V32" s="35"/>
      <c r="W32" s="35"/>
      <c r="X32" s="35"/>
      <c r="Y32" s="35"/>
    </row>
    <row r="33" spans="1:25" s="36" customFormat="1" ht="10.5" customHeight="1" x14ac:dyDescent="0.15">
      <c r="A33" s="448" t="s">
        <v>571</v>
      </c>
      <c r="B33" s="37">
        <v>11298459</v>
      </c>
      <c r="C33" s="36" t="s">
        <v>796</v>
      </c>
      <c r="D33" s="36" t="s">
        <v>796</v>
      </c>
      <c r="E33" s="36">
        <v>47190</v>
      </c>
      <c r="F33" s="36">
        <v>47190</v>
      </c>
      <c r="G33" s="36">
        <v>47190</v>
      </c>
      <c r="H33" s="36" t="s">
        <v>796</v>
      </c>
      <c r="I33" s="36" t="s">
        <v>796</v>
      </c>
      <c r="J33" s="36" t="s">
        <v>796</v>
      </c>
      <c r="K33" s="36" t="s">
        <v>796</v>
      </c>
      <c r="L33" s="36" t="s">
        <v>796</v>
      </c>
      <c r="M33" s="36" t="s">
        <v>796</v>
      </c>
      <c r="N33" s="36" t="s">
        <v>796</v>
      </c>
      <c r="O33" s="36" t="s">
        <v>796</v>
      </c>
      <c r="P33" s="36" t="s">
        <v>796</v>
      </c>
      <c r="Q33" s="36" t="s">
        <v>796</v>
      </c>
      <c r="R33" s="38" t="s">
        <v>70</v>
      </c>
      <c r="S33" s="35"/>
      <c r="T33" s="35"/>
      <c r="U33" s="35"/>
      <c r="V33" s="35"/>
      <c r="W33" s="35"/>
      <c r="X33" s="35"/>
      <c r="Y33" s="35"/>
    </row>
    <row r="34" spans="1:25" s="36" customFormat="1" ht="10.5" customHeight="1" x14ac:dyDescent="0.15">
      <c r="A34" s="448" t="s">
        <v>572</v>
      </c>
      <c r="B34" s="37">
        <v>12517444</v>
      </c>
      <c r="C34" s="36" t="s">
        <v>796</v>
      </c>
      <c r="D34" s="36" t="s">
        <v>796</v>
      </c>
      <c r="E34" s="36">
        <v>25192</v>
      </c>
      <c r="F34" s="36" t="s">
        <v>796</v>
      </c>
      <c r="G34" s="36" t="s">
        <v>796</v>
      </c>
      <c r="H34" s="36" t="s">
        <v>796</v>
      </c>
      <c r="I34" s="36" t="s">
        <v>796</v>
      </c>
      <c r="J34" s="36" t="s">
        <v>796</v>
      </c>
      <c r="K34" s="36" t="s">
        <v>796</v>
      </c>
      <c r="L34" s="36" t="s">
        <v>796</v>
      </c>
      <c r="M34" s="36" t="s">
        <v>796</v>
      </c>
      <c r="N34" s="36" t="s">
        <v>796</v>
      </c>
      <c r="O34" s="36" t="s">
        <v>796</v>
      </c>
      <c r="P34" s="36" t="s">
        <v>796</v>
      </c>
      <c r="Q34" s="36" t="s">
        <v>796</v>
      </c>
      <c r="R34" s="38" t="s">
        <v>71</v>
      </c>
      <c r="S34" s="35"/>
      <c r="T34" s="35"/>
      <c r="U34" s="35"/>
      <c r="V34" s="35"/>
      <c r="W34" s="35"/>
      <c r="X34" s="35"/>
      <c r="Y34" s="35"/>
    </row>
    <row r="35" spans="1:25" s="36" customFormat="1" ht="10.5" customHeight="1" x14ac:dyDescent="0.15">
      <c r="A35" s="448" t="s">
        <v>841</v>
      </c>
      <c r="B35" s="37">
        <v>13173054</v>
      </c>
      <c r="C35" s="36" t="s">
        <v>796</v>
      </c>
      <c r="D35" s="36" t="s">
        <v>796</v>
      </c>
      <c r="E35" s="36" t="s">
        <v>796</v>
      </c>
      <c r="F35" s="36" t="s">
        <v>796</v>
      </c>
      <c r="G35" s="36" t="s">
        <v>796</v>
      </c>
      <c r="H35" s="36" t="s">
        <v>796</v>
      </c>
      <c r="I35" s="36" t="s">
        <v>796</v>
      </c>
      <c r="J35" s="36" t="s">
        <v>796</v>
      </c>
      <c r="K35" s="36" t="s">
        <v>796</v>
      </c>
      <c r="L35" s="36" t="s">
        <v>796</v>
      </c>
      <c r="M35" s="36" t="s">
        <v>796</v>
      </c>
      <c r="N35" s="36" t="s">
        <v>796</v>
      </c>
      <c r="O35" s="36" t="s">
        <v>796</v>
      </c>
      <c r="P35" s="36" t="s">
        <v>796</v>
      </c>
      <c r="Q35" s="36" t="s">
        <v>796</v>
      </c>
      <c r="R35" s="38" t="s">
        <v>842</v>
      </c>
      <c r="S35" s="35"/>
      <c r="T35" s="35"/>
      <c r="U35" s="35"/>
      <c r="V35" s="35"/>
      <c r="W35" s="35"/>
      <c r="X35" s="35"/>
      <c r="Y35" s="35"/>
    </row>
    <row r="36" spans="1:25" s="36" customFormat="1" ht="10.5" customHeight="1" x14ac:dyDescent="0.15">
      <c r="A36" s="448" t="s">
        <v>573</v>
      </c>
      <c r="B36" s="37">
        <v>10700327</v>
      </c>
      <c r="C36" s="36" t="s">
        <v>796</v>
      </c>
      <c r="D36" s="36" t="s">
        <v>796</v>
      </c>
      <c r="E36" s="36" t="s">
        <v>796</v>
      </c>
      <c r="F36" s="36" t="s">
        <v>796</v>
      </c>
      <c r="G36" s="36" t="s">
        <v>796</v>
      </c>
      <c r="H36" s="36" t="s">
        <v>796</v>
      </c>
      <c r="I36" s="36" t="s">
        <v>796</v>
      </c>
      <c r="J36" s="36" t="s">
        <v>796</v>
      </c>
      <c r="K36" s="36" t="s">
        <v>796</v>
      </c>
      <c r="L36" s="36" t="s">
        <v>796</v>
      </c>
      <c r="M36" s="36" t="s">
        <v>796</v>
      </c>
      <c r="N36" s="36" t="s">
        <v>796</v>
      </c>
      <c r="O36" s="36" t="s">
        <v>796</v>
      </c>
      <c r="P36" s="36" t="s">
        <v>796</v>
      </c>
      <c r="Q36" s="36" t="s">
        <v>796</v>
      </c>
      <c r="R36" s="38" t="s">
        <v>66</v>
      </c>
      <c r="S36" s="35"/>
      <c r="T36" s="35"/>
      <c r="U36" s="35"/>
      <c r="V36" s="35"/>
      <c r="W36" s="35"/>
      <c r="X36" s="35"/>
      <c r="Y36" s="35"/>
    </row>
    <row r="37" spans="1:25" s="36" customFormat="1" ht="10.5" customHeight="1" x14ac:dyDescent="0.15">
      <c r="A37" s="519" t="s">
        <v>574</v>
      </c>
      <c r="B37" s="523">
        <v>12444198</v>
      </c>
      <c r="C37" s="524" t="s">
        <v>796</v>
      </c>
      <c r="D37" s="524" t="s">
        <v>796</v>
      </c>
      <c r="E37" s="524">
        <v>28233</v>
      </c>
      <c r="F37" s="524" t="s">
        <v>796</v>
      </c>
      <c r="G37" s="524" t="s">
        <v>796</v>
      </c>
      <c r="H37" s="524" t="s">
        <v>796</v>
      </c>
      <c r="I37" s="524" t="s">
        <v>796</v>
      </c>
      <c r="J37" s="524" t="s">
        <v>796</v>
      </c>
      <c r="K37" s="524" t="s">
        <v>796</v>
      </c>
      <c r="L37" s="524" t="s">
        <v>796</v>
      </c>
      <c r="M37" s="524" t="s">
        <v>796</v>
      </c>
      <c r="N37" s="524">
        <v>28233</v>
      </c>
      <c r="O37" s="524">
        <v>28233</v>
      </c>
      <c r="P37" s="524" t="s">
        <v>796</v>
      </c>
      <c r="Q37" s="524" t="s">
        <v>796</v>
      </c>
      <c r="R37" s="525" t="s">
        <v>67</v>
      </c>
      <c r="S37" s="35"/>
      <c r="T37" s="35"/>
      <c r="U37" s="35"/>
      <c r="V37" s="35"/>
      <c r="W37" s="35"/>
      <c r="X37" s="35"/>
      <c r="Y37" s="35"/>
    </row>
    <row r="38" spans="1:25" ht="23.25" customHeight="1" x14ac:dyDescent="0.25">
      <c r="I38" s="40" t="s">
        <v>86</v>
      </c>
    </row>
    <row r="39" spans="1:25" s="17" customFormat="1" ht="11.25" customHeight="1" x14ac:dyDescent="0.15">
      <c r="A39" s="655"/>
      <c r="B39" s="666" t="s">
        <v>113</v>
      </c>
      <c r="C39" s="658"/>
      <c r="D39" s="658"/>
      <c r="E39" s="658"/>
      <c r="F39" s="658"/>
      <c r="G39" s="658"/>
      <c r="H39" s="658"/>
      <c r="I39" s="658"/>
      <c r="J39" s="658"/>
      <c r="K39" s="658"/>
      <c r="L39" s="658"/>
      <c r="M39" s="658"/>
      <c r="N39" s="655"/>
      <c r="O39" s="657"/>
      <c r="P39" s="658"/>
      <c r="Q39" s="658"/>
      <c r="R39" s="1003" t="s">
        <v>72</v>
      </c>
      <c r="S39" s="16"/>
      <c r="T39" s="16"/>
      <c r="U39" s="16"/>
      <c r="V39" s="16"/>
      <c r="W39" s="16"/>
      <c r="X39" s="16"/>
      <c r="Y39" s="16"/>
    </row>
    <row r="40" spans="1:25" s="34" customFormat="1" ht="28.5" customHeight="1" x14ac:dyDescent="0.15">
      <c r="A40" s="24" t="s">
        <v>153</v>
      </c>
      <c r="B40" s="666" t="s">
        <v>434</v>
      </c>
      <c r="C40" s="661"/>
      <c r="D40" s="661"/>
      <c r="E40" s="661"/>
      <c r="F40" s="662"/>
      <c r="G40" s="659" t="s">
        <v>118</v>
      </c>
      <c r="H40" s="661"/>
      <c r="I40" s="662"/>
      <c r="J40" s="659" t="s">
        <v>35</v>
      </c>
      <c r="K40" s="661"/>
      <c r="L40" s="661"/>
      <c r="M40" s="661"/>
      <c r="N40" s="662"/>
      <c r="O40" s="14" t="s">
        <v>75</v>
      </c>
      <c r="P40" s="660" t="s">
        <v>847</v>
      </c>
      <c r="Q40" s="659" t="s">
        <v>386</v>
      </c>
      <c r="R40" s="1004"/>
      <c r="S40" s="13"/>
      <c r="T40" s="13"/>
      <c r="U40" s="13"/>
      <c r="V40" s="13"/>
      <c r="W40" s="13"/>
      <c r="X40" s="13"/>
      <c r="Y40" s="13"/>
    </row>
    <row r="41" spans="1:25" s="34" customFormat="1" ht="28.5" customHeight="1" x14ac:dyDescent="0.15">
      <c r="A41" s="24"/>
      <c r="B41" s="660" t="s">
        <v>848</v>
      </c>
      <c r="C41" s="660" t="s">
        <v>119</v>
      </c>
      <c r="D41" s="660" t="s">
        <v>849</v>
      </c>
      <c r="E41" s="660" t="s">
        <v>519</v>
      </c>
      <c r="F41" s="660" t="s">
        <v>789</v>
      </c>
      <c r="G41" s="14" t="s">
        <v>17</v>
      </c>
      <c r="H41" s="660" t="s">
        <v>47</v>
      </c>
      <c r="I41" s="660" t="s">
        <v>120</v>
      </c>
      <c r="J41" s="14" t="s">
        <v>18</v>
      </c>
      <c r="K41" s="660" t="s">
        <v>36</v>
      </c>
      <c r="L41" s="660" t="s">
        <v>37</v>
      </c>
      <c r="M41" s="660" t="s">
        <v>578</v>
      </c>
      <c r="N41" s="660" t="s">
        <v>158</v>
      </c>
      <c r="O41" s="14" t="s">
        <v>38</v>
      </c>
      <c r="P41" s="660" t="s">
        <v>39</v>
      </c>
      <c r="Q41" s="659" t="s">
        <v>850</v>
      </c>
      <c r="R41" s="1004"/>
      <c r="S41" s="13"/>
      <c r="T41" s="13"/>
      <c r="U41" s="13"/>
      <c r="V41" s="13"/>
      <c r="W41" s="13"/>
      <c r="X41" s="13"/>
      <c r="Y41" s="13"/>
    </row>
    <row r="42" spans="1:25" s="34" customFormat="1" ht="12" customHeight="1" x14ac:dyDescent="0.15">
      <c r="A42" s="526"/>
      <c r="B42" s="15" t="str">
        <f>PROPER("MYSIA-FO")</f>
        <v>Mysia-Fo</v>
      </c>
      <c r="C42" s="15" t="str">
        <f>PROPER("BERTAM")</f>
        <v>Bertam</v>
      </c>
      <c r="D42" s="15" t="str">
        <f>PROPER("BLEND-FO")</f>
        <v>Blend-Fo</v>
      </c>
      <c r="E42" s="15" t="str">
        <f>PROPER("LABUAN-L")</f>
        <v>Labuan-L</v>
      </c>
      <c r="F42" s="15" t="str">
        <f>PROPER("KIKEH")</f>
        <v>Kikeh</v>
      </c>
      <c r="G42" s="15"/>
      <c r="H42" s="15" t="str">
        <f>PROPER("L-SERIA")</f>
        <v>L-Seria</v>
      </c>
      <c r="I42" s="15" t="str">
        <f>PROPER("CHAMPION")</f>
        <v>Champion</v>
      </c>
      <c r="J42" s="15"/>
      <c r="K42" s="15" t="str">
        <f>PROPER("DURI")</f>
        <v>Duri</v>
      </c>
      <c r="L42" s="15" t="str">
        <f>PROPER("SUMATR-L")</f>
        <v>Sumatr-L</v>
      </c>
      <c r="M42" s="15" t="str">
        <f>PROPER("LALANG")</f>
        <v>Lalang</v>
      </c>
      <c r="N42" s="15" t="str">
        <f>PROPER("KETAPANG")</f>
        <v>Ketapang</v>
      </c>
      <c r="O42" s="15"/>
      <c r="P42" s="15" t="str">
        <f>PROPER("BASRAH-L")</f>
        <v>Basrah-L</v>
      </c>
      <c r="Q42" s="522" t="str">
        <f>PROPER("BANOC-AM")</f>
        <v>Banoc-Am</v>
      </c>
      <c r="R42" s="1005"/>
      <c r="S42" s="13"/>
      <c r="T42" s="13"/>
      <c r="U42" s="13"/>
      <c r="V42" s="13"/>
      <c r="W42" s="13"/>
      <c r="X42" s="13"/>
      <c r="Y42" s="13"/>
    </row>
    <row r="43" spans="1:25" s="36" customFormat="1" ht="10.5" customHeight="1" x14ac:dyDescent="0.15">
      <c r="A43" s="645" t="s">
        <v>831</v>
      </c>
      <c r="B43" s="663">
        <v>20891</v>
      </c>
      <c r="C43" s="664" t="s">
        <v>796</v>
      </c>
      <c r="D43" s="664">
        <v>46460</v>
      </c>
      <c r="E43" s="664">
        <v>91038</v>
      </c>
      <c r="F43" s="664" t="s">
        <v>796</v>
      </c>
      <c r="G43" s="664">
        <v>92648</v>
      </c>
      <c r="H43" s="664" t="s">
        <v>796</v>
      </c>
      <c r="I43" s="664">
        <v>92648</v>
      </c>
      <c r="J43" s="664" t="s">
        <v>796</v>
      </c>
      <c r="K43" s="664" t="s">
        <v>796</v>
      </c>
      <c r="L43" s="664" t="s">
        <v>796</v>
      </c>
      <c r="M43" s="664" t="s">
        <v>796</v>
      </c>
      <c r="N43" s="664" t="s">
        <v>796</v>
      </c>
      <c r="O43" s="664">
        <v>132362206</v>
      </c>
      <c r="P43" s="664">
        <v>788821</v>
      </c>
      <c r="Q43" s="664">
        <v>2040752</v>
      </c>
      <c r="R43" s="665" t="s">
        <v>517</v>
      </c>
      <c r="S43" s="35"/>
      <c r="T43" s="35"/>
      <c r="U43" s="35"/>
      <c r="V43" s="35"/>
      <c r="W43" s="35"/>
      <c r="X43" s="35"/>
      <c r="Y43" s="35"/>
    </row>
    <row r="44" spans="1:25" s="36" customFormat="1" ht="10.5" customHeight="1" x14ac:dyDescent="0.15">
      <c r="A44" s="448" t="s">
        <v>557</v>
      </c>
      <c r="B44" s="36">
        <v>38774</v>
      </c>
      <c r="C44" s="36">
        <v>47366</v>
      </c>
      <c r="D44" s="36">
        <v>16085</v>
      </c>
      <c r="E44" s="36" t="s">
        <v>796</v>
      </c>
      <c r="F44" s="36" t="s">
        <v>796</v>
      </c>
      <c r="G44" s="36">
        <v>182256</v>
      </c>
      <c r="H44" s="36" t="s">
        <v>796</v>
      </c>
      <c r="I44" s="36">
        <v>182256</v>
      </c>
      <c r="J44" s="36">
        <v>173572</v>
      </c>
      <c r="K44" s="36">
        <v>36406</v>
      </c>
      <c r="L44" s="36">
        <v>41650</v>
      </c>
      <c r="M44" s="36">
        <v>63956</v>
      </c>
      <c r="N44" s="36">
        <v>31560</v>
      </c>
      <c r="O44" s="36">
        <v>134068585</v>
      </c>
      <c r="P44" s="36">
        <v>157960</v>
      </c>
      <c r="Q44" s="36">
        <v>2050509</v>
      </c>
      <c r="R44" s="38" t="s">
        <v>558</v>
      </c>
      <c r="S44" s="35"/>
      <c r="T44" s="35"/>
      <c r="U44" s="35"/>
      <c r="V44" s="35"/>
      <c r="W44" s="35"/>
      <c r="X44" s="35"/>
      <c r="Y44" s="35"/>
    </row>
    <row r="45" spans="1:25" s="36" customFormat="1" ht="10.5" customHeight="1" x14ac:dyDescent="0.15">
      <c r="A45" s="448" t="s">
        <v>682</v>
      </c>
      <c r="B45" s="36">
        <v>32323</v>
      </c>
      <c r="C45" s="36" t="s">
        <v>796</v>
      </c>
      <c r="D45" s="36" t="s">
        <v>796</v>
      </c>
      <c r="E45" s="36" t="s">
        <v>796</v>
      </c>
      <c r="F45" s="36" t="s">
        <v>796</v>
      </c>
      <c r="G45" s="36">
        <v>187647</v>
      </c>
      <c r="H45" s="36">
        <v>45942</v>
      </c>
      <c r="I45" s="36">
        <v>141705</v>
      </c>
      <c r="J45" s="36">
        <v>58732</v>
      </c>
      <c r="K45" s="36" t="s">
        <v>796</v>
      </c>
      <c r="L45" s="36" t="s">
        <v>796</v>
      </c>
      <c r="M45" s="36">
        <v>58732</v>
      </c>
      <c r="N45" s="36" t="s">
        <v>796</v>
      </c>
      <c r="O45" s="36">
        <v>149271694</v>
      </c>
      <c r="P45" s="36" t="s">
        <v>796</v>
      </c>
      <c r="Q45" s="36">
        <v>2028574</v>
      </c>
      <c r="R45" s="38" t="s">
        <v>683</v>
      </c>
      <c r="S45" s="35"/>
      <c r="T45" s="35"/>
      <c r="U45" s="35"/>
      <c r="V45" s="35"/>
      <c r="W45" s="35"/>
      <c r="X45" s="35"/>
      <c r="Y45" s="35"/>
    </row>
    <row r="46" spans="1:25" s="36" customFormat="1" ht="10.5" customHeight="1" x14ac:dyDescent="0.15">
      <c r="A46" s="448" t="s">
        <v>784</v>
      </c>
      <c r="B46" s="36" t="s">
        <v>796</v>
      </c>
      <c r="C46" s="36" t="s">
        <v>796</v>
      </c>
      <c r="D46" s="36" t="s">
        <v>796</v>
      </c>
      <c r="E46" s="36" t="s">
        <v>796</v>
      </c>
      <c r="F46" s="36">
        <v>49784</v>
      </c>
      <c r="G46" s="36">
        <v>236405</v>
      </c>
      <c r="H46" s="36">
        <v>45743</v>
      </c>
      <c r="I46" s="36">
        <v>190662</v>
      </c>
      <c r="J46" s="36">
        <v>289831</v>
      </c>
      <c r="K46" s="36" t="s">
        <v>796</v>
      </c>
      <c r="L46" s="36" t="s">
        <v>796</v>
      </c>
      <c r="M46" s="36">
        <v>188613</v>
      </c>
      <c r="N46" s="36">
        <v>101218</v>
      </c>
      <c r="O46" s="36">
        <v>140477368</v>
      </c>
      <c r="P46" s="36" t="s">
        <v>796</v>
      </c>
      <c r="Q46" s="36">
        <v>546392</v>
      </c>
      <c r="R46" s="38" t="s">
        <v>785</v>
      </c>
      <c r="S46" s="35"/>
      <c r="T46" s="35"/>
      <c r="U46" s="35"/>
      <c r="V46" s="35"/>
      <c r="W46" s="35"/>
      <c r="X46" s="35"/>
      <c r="Y46" s="35"/>
    </row>
    <row r="47" spans="1:25" s="36" customFormat="1" ht="10.5" customHeight="1" x14ac:dyDescent="0.15">
      <c r="A47" s="448" t="s">
        <v>832</v>
      </c>
      <c r="B47" s="36" t="s">
        <v>796</v>
      </c>
      <c r="C47" s="36" t="s">
        <v>796</v>
      </c>
      <c r="D47" s="36" t="s">
        <v>796</v>
      </c>
      <c r="E47" s="36" t="s">
        <v>796</v>
      </c>
      <c r="F47" s="36" t="s">
        <v>796</v>
      </c>
      <c r="G47" s="36">
        <v>219769</v>
      </c>
      <c r="H47" s="36">
        <v>25192</v>
      </c>
      <c r="I47" s="36">
        <v>194577</v>
      </c>
      <c r="J47" s="36">
        <v>198805</v>
      </c>
      <c r="K47" s="36" t="s">
        <v>796</v>
      </c>
      <c r="L47" s="36" t="s">
        <v>796</v>
      </c>
      <c r="M47" s="36">
        <v>25660</v>
      </c>
      <c r="N47" s="36">
        <v>173145</v>
      </c>
      <c r="O47" s="36">
        <v>128867510</v>
      </c>
      <c r="P47" s="36" t="s">
        <v>796</v>
      </c>
      <c r="Q47" s="36">
        <v>75389</v>
      </c>
      <c r="R47" s="38" t="s">
        <v>833</v>
      </c>
      <c r="S47" s="35"/>
      <c r="T47" s="35"/>
      <c r="U47" s="35"/>
      <c r="V47" s="35"/>
      <c r="W47" s="35"/>
      <c r="X47" s="35"/>
      <c r="Y47" s="35"/>
    </row>
    <row r="48" spans="1:25" s="36" customFormat="1" ht="10.5" customHeight="1" x14ac:dyDescent="0.15">
      <c r="A48" s="464"/>
      <c r="R48" s="38"/>
      <c r="S48" s="35"/>
      <c r="T48" s="35"/>
      <c r="U48" s="35"/>
      <c r="V48" s="35"/>
      <c r="W48" s="35"/>
      <c r="X48" s="35"/>
      <c r="Y48" s="35"/>
    </row>
    <row r="49" spans="1:25" s="36" customFormat="1" ht="10.5" customHeight="1" x14ac:dyDescent="0.15">
      <c r="A49" s="448" t="s">
        <v>834</v>
      </c>
      <c r="B49" s="36" t="s">
        <v>796</v>
      </c>
      <c r="C49" s="36" t="s">
        <v>796</v>
      </c>
      <c r="D49" s="36" t="s">
        <v>796</v>
      </c>
      <c r="E49" s="36" t="s">
        <v>796</v>
      </c>
      <c r="F49" s="36">
        <v>49784</v>
      </c>
      <c r="G49" s="36">
        <v>190784</v>
      </c>
      <c r="H49" s="36">
        <v>45743</v>
      </c>
      <c r="I49" s="36">
        <v>145041</v>
      </c>
      <c r="J49" s="36">
        <v>268892</v>
      </c>
      <c r="K49" s="36" t="s">
        <v>796</v>
      </c>
      <c r="L49" s="36" t="s">
        <v>796</v>
      </c>
      <c r="M49" s="36">
        <v>167674</v>
      </c>
      <c r="N49" s="36">
        <v>101218</v>
      </c>
      <c r="O49" s="36">
        <v>137163285</v>
      </c>
      <c r="P49" s="36" t="s">
        <v>796</v>
      </c>
      <c r="Q49" s="36">
        <v>382107</v>
      </c>
      <c r="R49" s="38" t="s">
        <v>786</v>
      </c>
      <c r="S49" s="35"/>
      <c r="T49" s="35"/>
      <c r="U49" s="35"/>
      <c r="V49" s="35"/>
      <c r="W49" s="35"/>
      <c r="X49" s="35"/>
      <c r="Y49" s="35"/>
    </row>
    <row r="50" spans="1:25" s="36" customFormat="1" ht="10.5" customHeight="1" x14ac:dyDescent="0.15">
      <c r="A50" s="448" t="s">
        <v>835</v>
      </c>
      <c r="B50" s="36" t="s">
        <v>796</v>
      </c>
      <c r="C50" s="36" t="s">
        <v>796</v>
      </c>
      <c r="D50" s="36" t="s">
        <v>796</v>
      </c>
      <c r="E50" s="36" t="s">
        <v>796</v>
      </c>
      <c r="F50" s="36" t="s">
        <v>796</v>
      </c>
      <c r="G50" s="36">
        <v>169943</v>
      </c>
      <c r="H50" s="36">
        <v>25192</v>
      </c>
      <c r="I50" s="36">
        <v>144751</v>
      </c>
      <c r="J50" s="36">
        <v>173145</v>
      </c>
      <c r="K50" s="36" t="s">
        <v>796</v>
      </c>
      <c r="L50" s="36" t="s">
        <v>796</v>
      </c>
      <c r="M50" s="36" t="s">
        <v>796</v>
      </c>
      <c r="N50" s="36">
        <v>173145</v>
      </c>
      <c r="O50" s="36">
        <v>130733602</v>
      </c>
      <c r="P50" s="36" t="s">
        <v>796</v>
      </c>
      <c r="Q50" s="36" t="s">
        <v>796</v>
      </c>
      <c r="R50" s="38" t="s">
        <v>836</v>
      </c>
      <c r="S50" s="35"/>
      <c r="T50" s="35"/>
      <c r="U50" s="35"/>
      <c r="V50" s="35"/>
      <c r="W50" s="35"/>
      <c r="X50" s="35"/>
      <c r="Y50" s="35"/>
    </row>
    <row r="51" spans="1:25" s="36" customFormat="1" ht="10.5" customHeight="1" x14ac:dyDescent="0.15">
      <c r="A51" s="464"/>
      <c r="R51" s="38"/>
      <c r="S51" s="35"/>
      <c r="T51" s="35"/>
      <c r="U51" s="35"/>
      <c r="V51" s="35"/>
      <c r="W51" s="35"/>
      <c r="X51" s="35"/>
      <c r="Y51" s="35"/>
    </row>
    <row r="52" spans="1:25" s="36" customFormat="1" ht="10.5" customHeight="1" x14ac:dyDescent="0.15">
      <c r="A52" s="448" t="s">
        <v>837</v>
      </c>
      <c r="B52" s="36" t="s">
        <v>796</v>
      </c>
      <c r="C52" s="36" t="s">
        <v>796</v>
      </c>
      <c r="D52" s="36" t="s">
        <v>796</v>
      </c>
      <c r="E52" s="36" t="s">
        <v>796</v>
      </c>
      <c r="F52" s="36" t="s">
        <v>796</v>
      </c>
      <c r="G52" s="36">
        <v>49826</v>
      </c>
      <c r="H52" s="36" t="s">
        <v>796</v>
      </c>
      <c r="I52" s="36">
        <v>49826</v>
      </c>
      <c r="J52" s="36">
        <v>25660</v>
      </c>
      <c r="K52" s="36" t="s">
        <v>796</v>
      </c>
      <c r="L52" s="36" t="s">
        <v>796</v>
      </c>
      <c r="M52" s="36">
        <v>25660</v>
      </c>
      <c r="N52" s="36" t="s">
        <v>796</v>
      </c>
      <c r="O52" s="36">
        <v>33202130</v>
      </c>
      <c r="P52" s="36" t="s">
        <v>796</v>
      </c>
      <c r="Q52" s="36">
        <v>75389</v>
      </c>
      <c r="R52" s="38" t="s">
        <v>787</v>
      </c>
      <c r="S52" s="35"/>
      <c r="T52" s="35"/>
      <c r="U52" s="35"/>
      <c r="V52" s="35"/>
      <c r="W52" s="35"/>
      <c r="X52" s="35"/>
      <c r="Y52" s="35"/>
    </row>
    <row r="53" spans="1:25" s="36" customFormat="1" ht="10.5" customHeight="1" x14ac:dyDescent="0.15">
      <c r="A53" s="448" t="s">
        <v>559</v>
      </c>
      <c r="B53" s="36" t="s">
        <v>796</v>
      </c>
      <c r="C53" s="36" t="s">
        <v>796</v>
      </c>
      <c r="D53" s="36" t="s">
        <v>796</v>
      </c>
      <c r="E53" s="36" t="s">
        <v>796</v>
      </c>
      <c r="F53" s="36" t="s">
        <v>796</v>
      </c>
      <c r="G53" s="36" t="s">
        <v>796</v>
      </c>
      <c r="H53" s="36" t="s">
        <v>796</v>
      </c>
      <c r="I53" s="36" t="s">
        <v>796</v>
      </c>
      <c r="J53" s="36">
        <v>86852</v>
      </c>
      <c r="K53" s="36" t="s">
        <v>796</v>
      </c>
      <c r="L53" s="36" t="s">
        <v>796</v>
      </c>
      <c r="M53" s="36" t="s">
        <v>796</v>
      </c>
      <c r="N53" s="36">
        <v>86852</v>
      </c>
      <c r="O53" s="36">
        <v>31438301</v>
      </c>
      <c r="P53" s="36" t="s">
        <v>796</v>
      </c>
      <c r="Q53" s="36" t="s">
        <v>796</v>
      </c>
      <c r="R53" s="38" t="s">
        <v>78</v>
      </c>
      <c r="S53" s="35"/>
      <c r="T53" s="35"/>
      <c r="U53" s="35"/>
      <c r="V53" s="35"/>
      <c r="W53" s="35"/>
      <c r="X53" s="35"/>
      <c r="Y53" s="35"/>
    </row>
    <row r="54" spans="1:25" s="36" customFormat="1" ht="10.5" customHeight="1" x14ac:dyDescent="0.15">
      <c r="A54" s="448" t="s">
        <v>560</v>
      </c>
      <c r="B54" s="36" t="s">
        <v>796</v>
      </c>
      <c r="C54" s="36" t="s">
        <v>796</v>
      </c>
      <c r="D54" s="36" t="s">
        <v>796</v>
      </c>
      <c r="E54" s="36" t="s">
        <v>796</v>
      </c>
      <c r="F54" s="36" t="s">
        <v>796</v>
      </c>
      <c r="G54" s="36">
        <v>97286</v>
      </c>
      <c r="H54" s="36" t="s">
        <v>796</v>
      </c>
      <c r="I54" s="36">
        <v>97286</v>
      </c>
      <c r="J54" s="36">
        <v>86293</v>
      </c>
      <c r="K54" s="36" t="s">
        <v>796</v>
      </c>
      <c r="L54" s="36" t="s">
        <v>796</v>
      </c>
      <c r="M54" s="36" t="s">
        <v>796</v>
      </c>
      <c r="N54" s="36">
        <v>86293</v>
      </c>
      <c r="O54" s="36">
        <v>31095416</v>
      </c>
      <c r="P54" s="36" t="s">
        <v>796</v>
      </c>
      <c r="Q54" s="36" t="s">
        <v>796</v>
      </c>
      <c r="R54" s="38" t="s">
        <v>79</v>
      </c>
      <c r="S54" s="35"/>
      <c r="T54" s="35"/>
      <c r="U54" s="35"/>
      <c r="V54" s="35"/>
      <c r="W54" s="35"/>
      <c r="X54" s="35"/>
      <c r="Y54" s="35"/>
    </row>
    <row r="55" spans="1:25" s="36" customFormat="1" ht="10.5" customHeight="1" x14ac:dyDescent="0.15">
      <c r="A55" s="448" t="s">
        <v>561</v>
      </c>
      <c r="B55" s="36" t="s">
        <v>796</v>
      </c>
      <c r="C55" s="36" t="s">
        <v>796</v>
      </c>
      <c r="D55" s="36" t="s">
        <v>796</v>
      </c>
      <c r="E55" s="36" t="s">
        <v>796</v>
      </c>
      <c r="F55" s="36" t="s">
        <v>796</v>
      </c>
      <c r="G55" s="36">
        <v>72657</v>
      </c>
      <c r="H55" s="36">
        <v>25192</v>
      </c>
      <c r="I55" s="36">
        <v>47465</v>
      </c>
      <c r="J55" s="36" t="s">
        <v>796</v>
      </c>
      <c r="K55" s="36" t="s">
        <v>796</v>
      </c>
      <c r="L55" s="36" t="s">
        <v>796</v>
      </c>
      <c r="M55" s="36" t="s">
        <v>796</v>
      </c>
      <c r="N55" s="36" t="s">
        <v>796</v>
      </c>
      <c r="O55" s="36">
        <v>33131663</v>
      </c>
      <c r="P55" s="36" t="s">
        <v>796</v>
      </c>
      <c r="Q55" s="36" t="s">
        <v>796</v>
      </c>
      <c r="R55" s="38" t="s">
        <v>80</v>
      </c>
      <c r="S55" s="35"/>
      <c r="T55" s="35"/>
      <c r="U55" s="35"/>
      <c r="V55" s="35"/>
      <c r="W55" s="35"/>
      <c r="X55" s="35"/>
      <c r="Y55" s="35"/>
    </row>
    <row r="56" spans="1:25" s="36" customFormat="1" ht="10.5" customHeight="1" x14ac:dyDescent="0.15">
      <c r="A56" s="448" t="s">
        <v>838</v>
      </c>
      <c r="B56" s="36" t="s">
        <v>796</v>
      </c>
      <c r="C56" s="36" t="s">
        <v>796</v>
      </c>
      <c r="D56" s="36" t="s">
        <v>796</v>
      </c>
      <c r="E56" s="36" t="s">
        <v>796</v>
      </c>
      <c r="F56" s="36" t="s">
        <v>796</v>
      </c>
      <c r="G56" s="36" t="s">
        <v>796</v>
      </c>
      <c r="H56" s="36" t="s">
        <v>796</v>
      </c>
      <c r="I56" s="36" t="s">
        <v>796</v>
      </c>
      <c r="J56" s="36" t="s">
        <v>796</v>
      </c>
      <c r="K56" s="36" t="s">
        <v>796</v>
      </c>
      <c r="L56" s="36" t="s">
        <v>796</v>
      </c>
      <c r="M56" s="36" t="s">
        <v>796</v>
      </c>
      <c r="N56" s="36" t="s">
        <v>796</v>
      </c>
      <c r="O56" s="36">
        <v>35068222</v>
      </c>
      <c r="P56" s="36" t="s">
        <v>796</v>
      </c>
      <c r="Q56" s="36" t="s">
        <v>796</v>
      </c>
      <c r="R56" s="38" t="s">
        <v>839</v>
      </c>
      <c r="S56" s="35"/>
      <c r="T56" s="35"/>
      <c r="U56" s="35"/>
      <c r="V56" s="35"/>
      <c r="W56" s="35"/>
      <c r="X56" s="35"/>
      <c r="Y56" s="35"/>
    </row>
    <row r="57" spans="1:25" s="36" customFormat="1" ht="10.5" customHeight="1" x14ac:dyDescent="0.15">
      <c r="A57" s="464"/>
      <c r="R57" s="38"/>
      <c r="S57" s="35"/>
      <c r="T57" s="35"/>
      <c r="U57" s="35"/>
      <c r="V57" s="35"/>
      <c r="W57" s="35"/>
      <c r="X57" s="35"/>
      <c r="Y57" s="35"/>
    </row>
    <row r="58" spans="1:25" s="36" customFormat="1" ht="10.5" customHeight="1" x14ac:dyDescent="0.15">
      <c r="A58" s="448" t="s">
        <v>840</v>
      </c>
      <c r="B58" s="36" t="s">
        <v>796</v>
      </c>
      <c r="C58" s="36" t="s">
        <v>796</v>
      </c>
      <c r="D58" s="36" t="s">
        <v>796</v>
      </c>
      <c r="E58" s="36" t="s">
        <v>796</v>
      </c>
      <c r="F58" s="36" t="s">
        <v>796</v>
      </c>
      <c r="G58" s="36" t="s">
        <v>796</v>
      </c>
      <c r="H58" s="36" t="s">
        <v>796</v>
      </c>
      <c r="I58" s="36" t="s">
        <v>796</v>
      </c>
      <c r="J58" s="36">
        <v>25660</v>
      </c>
      <c r="K58" s="36" t="s">
        <v>796</v>
      </c>
      <c r="L58" s="36" t="s">
        <v>796</v>
      </c>
      <c r="M58" s="36">
        <v>25660</v>
      </c>
      <c r="N58" s="36" t="s">
        <v>796</v>
      </c>
      <c r="O58" s="36">
        <v>11107105</v>
      </c>
      <c r="P58" s="36" t="s">
        <v>796</v>
      </c>
      <c r="Q58" s="36">
        <v>75389</v>
      </c>
      <c r="R58" s="38" t="s">
        <v>788</v>
      </c>
      <c r="S58" s="35"/>
      <c r="T58" s="35"/>
      <c r="U58" s="35"/>
      <c r="V58" s="35"/>
      <c r="W58" s="35"/>
      <c r="X58" s="35"/>
      <c r="Y58" s="35"/>
    </row>
    <row r="59" spans="1:25" s="36" customFormat="1" ht="10.5" customHeight="1" x14ac:dyDescent="0.15">
      <c r="A59" s="448" t="s">
        <v>562</v>
      </c>
      <c r="B59" s="36" t="s">
        <v>796</v>
      </c>
      <c r="C59" s="36" t="s">
        <v>796</v>
      </c>
      <c r="D59" s="36" t="s">
        <v>796</v>
      </c>
      <c r="E59" s="36" t="s">
        <v>796</v>
      </c>
      <c r="F59" s="36" t="s">
        <v>796</v>
      </c>
      <c r="G59" s="36">
        <v>49826</v>
      </c>
      <c r="H59" s="36" t="s">
        <v>796</v>
      </c>
      <c r="I59" s="36">
        <v>49826</v>
      </c>
      <c r="J59" s="36" t="s">
        <v>796</v>
      </c>
      <c r="K59" s="36" t="s">
        <v>796</v>
      </c>
      <c r="L59" s="36" t="s">
        <v>796</v>
      </c>
      <c r="M59" s="36" t="s">
        <v>796</v>
      </c>
      <c r="N59" s="36" t="s">
        <v>796</v>
      </c>
      <c r="O59" s="36">
        <v>10911567</v>
      </c>
      <c r="P59" s="36" t="s">
        <v>796</v>
      </c>
      <c r="Q59" s="36" t="s">
        <v>796</v>
      </c>
      <c r="R59" s="38" t="s">
        <v>66</v>
      </c>
      <c r="S59" s="35"/>
      <c r="T59" s="35"/>
      <c r="U59" s="35"/>
      <c r="V59" s="35"/>
      <c r="W59" s="35"/>
      <c r="X59" s="35"/>
      <c r="Y59" s="35"/>
    </row>
    <row r="60" spans="1:25" s="36" customFormat="1" ht="10.5" customHeight="1" x14ac:dyDescent="0.15">
      <c r="A60" s="448" t="s">
        <v>563</v>
      </c>
      <c r="B60" s="36" t="s">
        <v>796</v>
      </c>
      <c r="C60" s="36" t="s">
        <v>796</v>
      </c>
      <c r="D60" s="36" t="s">
        <v>796</v>
      </c>
      <c r="E60" s="36" t="s">
        <v>796</v>
      </c>
      <c r="F60" s="36" t="s">
        <v>796</v>
      </c>
      <c r="G60" s="36" t="s">
        <v>796</v>
      </c>
      <c r="H60" s="36" t="s">
        <v>796</v>
      </c>
      <c r="I60" s="36" t="s">
        <v>796</v>
      </c>
      <c r="J60" s="36" t="s">
        <v>796</v>
      </c>
      <c r="K60" s="36" t="s">
        <v>796</v>
      </c>
      <c r="L60" s="36" t="s">
        <v>796</v>
      </c>
      <c r="M60" s="36" t="s">
        <v>796</v>
      </c>
      <c r="N60" s="36" t="s">
        <v>796</v>
      </c>
      <c r="O60" s="36">
        <v>11183458</v>
      </c>
      <c r="P60" s="36" t="s">
        <v>796</v>
      </c>
      <c r="Q60" s="36" t="s">
        <v>796</v>
      </c>
      <c r="R60" s="38" t="s">
        <v>67</v>
      </c>
      <c r="S60" s="35"/>
      <c r="T60" s="35"/>
      <c r="U60" s="35"/>
      <c r="V60" s="35"/>
      <c r="W60" s="35"/>
      <c r="X60" s="35"/>
      <c r="Y60" s="35"/>
    </row>
    <row r="61" spans="1:25" s="36" customFormat="1" ht="10.5" customHeight="1" x14ac:dyDescent="0.15">
      <c r="A61" s="448" t="s">
        <v>564</v>
      </c>
      <c r="B61" s="36" t="s">
        <v>796</v>
      </c>
      <c r="C61" s="36" t="s">
        <v>796</v>
      </c>
      <c r="D61" s="36" t="s">
        <v>796</v>
      </c>
      <c r="E61" s="36" t="s">
        <v>796</v>
      </c>
      <c r="F61" s="36" t="s">
        <v>796</v>
      </c>
      <c r="G61" s="36" t="s">
        <v>796</v>
      </c>
      <c r="H61" s="36" t="s">
        <v>796</v>
      </c>
      <c r="I61" s="36" t="s">
        <v>796</v>
      </c>
      <c r="J61" s="36">
        <v>48904</v>
      </c>
      <c r="K61" s="36" t="s">
        <v>796</v>
      </c>
      <c r="L61" s="36" t="s">
        <v>796</v>
      </c>
      <c r="M61" s="36" t="s">
        <v>796</v>
      </c>
      <c r="N61" s="36">
        <v>48904</v>
      </c>
      <c r="O61" s="36">
        <v>11960233</v>
      </c>
      <c r="P61" s="36" t="s">
        <v>796</v>
      </c>
      <c r="Q61" s="36" t="s">
        <v>796</v>
      </c>
      <c r="R61" s="38" t="s">
        <v>68</v>
      </c>
      <c r="S61" s="35"/>
      <c r="T61" s="35"/>
      <c r="U61" s="35"/>
      <c r="V61" s="35"/>
      <c r="W61" s="35"/>
      <c r="X61" s="35"/>
      <c r="Y61" s="35"/>
    </row>
    <row r="62" spans="1:25" s="36" customFormat="1" ht="10.5" customHeight="1" x14ac:dyDescent="0.15">
      <c r="A62" s="448" t="s">
        <v>565</v>
      </c>
      <c r="B62" s="36" t="s">
        <v>796</v>
      </c>
      <c r="C62" s="36" t="s">
        <v>796</v>
      </c>
      <c r="D62" s="36" t="s">
        <v>796</v>
      </c>
      <c r="E62" s="36" t="s">
        <v>796</v>
      </c>
      <c r="F62" s="36" t="s">
        <v>796</v>
      </c>
      <c r="G62" s="36" t="s">
        <v>796</v>
      </c>
      <c r="H62" s="36" t="s">
        <v>796</v>
      </c>
      <c r="I62" s="36" t="s">
        <v>796</v>
      </c>
      <c r="J62" s="36">
        <v>37948</v>
      </c>
      <c r="K62" s="36" t="s">
        <v>796</v>
      </c>
      <c r="L62" s="36" t="s">
        <v>796</v>
      </c>
      <c r="M62" s="36" t="s">
        <v>796</v>
      </c>
      <c r="N62" s="36">
        <v>37948</v>
      </c>
      <c r="O62" s="36">
        <v>9912173</v>
      </c>
      <c r="P62" s="36" t="s">
        <v>796</v>
      </c>
      <c r="Q62" s="36" t="s">
        <v>796</v>
      </c>
      <c r="R62" s="39" t="s">
        <v>81</v>
      </c>
      <c r="S62" s="35"/>
      <c r="T62" s="35"/>
      <c r="U62" s="35"/>
      <c r="V62" s="35"/>
      <c r="W62" s="35"/>
      <c r="X62" s="35"/>
      <c r="Y62" s="35"/>
    </row>
    <row r="63" spans="1:25" s="36" customFormat="1" ht="10.5" customHeight="1" x14ac:dyDescent="0.15">
      <c r="A63" s="448" t="s">
        <v>566</v>
      </c>
      <c r="B63" s="36" t="s">
        <v>796</v>
      </c>
      <c r="C63" s="36" t="s">
        <v>796</v>
      </c>
      <c r="D63" s="36" t="s">
        <v>796</v>
      </c>
      <c r="E63" s="36" t="s">
        <v>796</v>
      </c>
      <c r="F63" s="36" t="s">
        <v>796</v>
      </c>
      <c r="G63" s="36" t="s">
        <v>796</v>
      </c>
      <c r="H63" s="36" t="s">
        <v>796</v>
      </c>
      <c r="I63" s="36" t="s">
        <v>796</v>
      </c>
      <c r="J63" s="36" t="s">
        <v>796</v>
      </c>
      <c r="K63" s="36" t="s">
        <v>796</v>
      </c>
      <c r="L63" s="36" t="s">
        <v>796</v>
      </c>
      <c r="M63" s="36" t="s">
        <v>796</v>
      </c>
      <c r="N63" s="36" t="s">
        <v>796</v>
      </c>
      <c r="O63" s="36">
        <v>9565895</v>
      </c>
      <c r="P63" s="36" t="s">
        <v>796</v>
      </c>
      <c r="Q63" s="36" t="s">
        <v>796</v>
      </c>
      <c r="R63" s="38" t="s">
        <v>82</v>
      </c>
      <c r="S63" s="35"/>
      <c r="T63" s="35"/>
      <c r="U63" s="35"/>
      <c r="V63" s="35"/>
      <c r="W63" s="35"/>
      <c r="X63" s="35"/>
      <c r="Y63" s="35"/>
    </row>
    <row r="64" spans="1:25" s="36" customFormat="1" ht="10.5" customHeight="1" x14ac:dyDescent="0.15">
      <c r="A64" s="448" t="s">
        <v>567</v>
      </c>
      <c r="B64" s="36" t="s">
        <v>796</v>
      </c>
      <c r="C64" s="36" t="s">
        <v>796</v>
      </c>
      <c r="D64" s="36" t="s">
        <v>796</v>
      </c>
      <c r="E64" s="36" t="s">
        <v>796</v>
      </c>
      <c r="F64" s="36" t="s">
        <v>796</v>
      </c>
      <c r="G64" s="36">
        <v>49821</v>
      </c>
      <c r="H64" s="36" t="s">
        <v>796</v>
      </c>
      <c r="I64" s="36">
        <v>49821</v>
      </c>
      <c r="J64" s="36">
        <v>43445</v>
      </c>
      <c r="K64" s="36" t="s">
        <v>796</v>
      </c>
      <c r="L64" s="36" t="s">
        <v>796</v>
      </c>
      <c r="M64" s="36" t="s">
        <v>796</v>
      </c>
      <c r="N64" s="36">
        <v>43445</v>
      </c>
      <c r="O64" s="36">
        <v>9813010</v>
      </c>
      <c r="P64" s="36" t="s">
        <v>796</v>
      </c>
      <c r="Q64" s="36" t="s">
        <v>796</v>
      </c>
      <c r="R64" s="38" t="s">
        <v>83</v>
      </c>
      <c r="S64" s="35"/>
      <c r="T64" s="35"/>
      <c r="U64" s="35"/>
      <c r="V64" s="35"/>
      <c r="W64" s="35"/>
      <c r="X64" s="35"/>
      <c r="Y64" s="35"/>
    </row>
    <row r="65" spans="1:25" s="36" customFormat="1" ht="10.5" customHeight="1" x14ac:dyDescent="0.15">
      <c r="A65" s="448" t="s">
        <v>568</v>
      </c>
      <c r="B65" s="36" t="s">
        <v>796</v>
      </c>
      <c r="C65" s="36" t="s">
        <v>796</v>
      </c>
      <c r="D65" s="36" t="s">
        <v>796</v>
      </c>
      <c r="E65" s="36" t="s">
        <v>796</v>
      </c>
      <c r="F65" s="36" t="s">
        <v>796</v>
      </c>
      <c r="G65" s="36" t="s">
        <v>796</v>
      </c>
      <c r="H65" s="36" t="s">
        <v>796</v>
      </c>
      <c r="I65" s="36" t="s">
        <v>796</v>
      </c>
      <c r="J65" s="36" t="s">
        <v>796</v>
      </c>
      <c r="K65" s="36" t="s">
        <v>796</v>
      </c>
      <c r="L65" s="36" t="s">
        <v>796</v>
      </c>
      <c r="M65" s="36" t="s">
        <v>796</v>
      </c>
      <c r="N65" s="36" t="s">
        <v>796</v>
      </c>
      <c r="O65" s="36">
        <v>10563735</v>
      </c>
      <c r="P65" s="36" t="s">
        <v>796</v>
      </c>
      <c r="Q65" s="36" t="s">
        <v>796</v>
      </c>
      <c r="R65" s="38" t="s">
        <v>84</v>
      </c>
      <c r="S65" s="35"/>
      <c r="T65" s="35"/>
      <c r="U65" s="35"/>
      <c r="V65" s="35"/>
      <c r="W65" s="35"/>
      <c r="X65" s="35"/>
      <c r="Y65" s="35"/>
    </row>
    <row r="66" spans="1:25" s="36" customFormat="1" ht="10.5" customHeight="1" x14ac:dyDescent="0.15">
      <c r="A66" s="448" t="s">
        <v>569</v>
      </c>
      <c r="B66" s="36" t="s">
        <v>796</v>
      </c>
      <c r="C66" s="36" t="s">
        <v>796</v>
      </c>
      <c r="D66" s="36" t="s">
        <v>796</v>
      </c>
      <c r="E66" s="36" t="s">
        <v>796</v>
      </c>
      <c r="F66" s="36" t="s">
        <v>796</v>
      </c>
      <c r="G66" s="36">
        <v>47465</v>
      </c>
      <c r="H66" s="36" t="s">
        <v>796</v>
      </c>
      <c r="I66" s="36">
        <v>47465</v>
      </c>
      <c r="J66" s="36">
        <v>42848</v>
      </c>
      <c r="K66" s="36" t="s">
        <v>796</v>
      </c>
      <c r="L66" s="36" t="s">
        <v>796</v>
      </c>
      <c r="M66" s="36" t="s">
        <v>796</v>
      </c>
      <c r="N66" s="36">
        <v>42848</v>
      </c>
      <c r="O66" s="36">
        <v>10718671</v>
      </c>
      <c r="P66" s="36" t="s">
        <v>796</v>
      </c>
      <c r="Q66" s="36" t="s">
        <v>796</v>
      </c>
      <c r="R66" s="38" t="s">
        <v>85</v>
      </c>
      <c r="S66" s="35"/>
      <c r="T66" s="35"/>
      <c r="U66" s="35"/>
      <c r="V66" s="35"/>
      <c r="W66" s="35"/>
      <c r="X66" s="35"/>
      <c r="Y66" s="35"/>
    </row>
    <row r="67" spans="1:25" s="36" customFormat="1" ht="10.5" customHeight="1" x14ac:dyDescent="0.15">
      <c r="A67" s="448" t="s">
        <v>570</v>
      </c>
      <c r="B67" s="36" t="s">
        <v>796</v>
      </c>
      <c r="C67" s="36" t="s">
        <v>796</v>
      </c>
      <c r="D67" s="36" t="s">
        <v>796</v>
      </c>
      <c r="E67" s="36" t="s">
        <v>796</v>
      </c>
      <c r="F67" s="36" t="s">
        <v>796</v>
      </c>
      <c r="G67" s="36">
        <v>47465</v>
      </c>
      <c r="H67" s="36" t="s">
        <v>796</v>
      </c>
      <c r="I67" s="36">
        <v>47465</v>
      </c>
      <c r="J67" s="36" t="s">
        <v>796</v>
      </c>
      <c r="K67" s="36" t="s">
        <v>796</v>
      </c>
      <c r="L67" s="36" t="s">
        <v>796</v>
      </c>
      <c r="M67" s="36" t="s">
        <v>796</v>
      </c>
      <c r="N67" s="36" t="s">
        <v>796</v>
      </c>
      <c r="O67" s="36">
        <v>10327122</v>
      </c>
      <c r="P67" s="36" t="s">
        <v>796</v>
      </c>
      <c r="Q67" s="36" t="s">
        <v>796</v>
      </c>
      <c r="R67" s="38" t="s">
        <v>69</v>
      </c>
      <c r="S67" s="35"/>
      <c r="T67" s="35"/>
      <c r="U67" s="35"/>
      <c r="V67" s="35"/>
      <c r="W67" s="35"/>
      <c r="X67" s="35"/>
      <c r="Y67" s="35"/>
    </row>
    <row r="68" spans="1:25" s="36" customFormat="1" ht="10.5" customHeight="1" x14ac:dyDescent="0.15">
      <c r="A68" s="448" t="s">
        <v>571</v>
      </c>
      <c r="B68" s="36" t="s">
        <v>796</v>
      </c>
      <c r="C68" s="36" t="s">
        <v>796</v>
      </c>
      <c r="D68" s="36" t="s">
        <v>796</v>
      </c>
      <c r="E68" s="36" t="s">
        <v>796</v>
      </c>
      <c r="F68" s="36" t="s">
        <v>796</v>
      </c>
      <c r="G68" s="36" t="s">
        <v>796</v>
      </c>
      <c r="H68" s="36" t="s">
        <v>796</v>
      </c>
      <c r="I68" s="36" t="s">
        <v>796</v>
      </c>
      <c r="J68" s="36" t="s">
        <v>796</v>
      </c>
      <c r="K68" s="36" t="s">
        <v>796</v>
      </c>
      <c r="L68" s="36" t="s">
        <v>796</v>
      </c>
      <c r="M68" s="36" t="s">
        <v>796</v>
      </c>
      <c r="N68" s="36" t="s">
        <v>796</v>
      </c>
      <c r="O68" s="36">
        <v>10750151</v>
      </c>
      <c r="P68" s="36" t="s">
        <v>796</v>
      </c>
      <c r="Q68" s="36" t="s">
        <v>796</v>
      </c>
      <c r="R68" s="38" t="s">
        <v>70</v>
      </c>
      <c r="S68" s="35"/>
      <c r="T68" s="35"/>
      <c r="U68" s="35"/>
      <c r="V68" s="35"/>
      <c r="W68" s="35"/>
      <c r="X68" s="35"/>
      <c r="Y68" s="35"/>
    </row>
    <row r="69" spans="1:25" s="36" customFormat="1" ht="10.5" customHeight="1" x14ac:dyDescent="0.15">
      <c r="A69" s="448" t="s">
        <v>572</v>
      </c>
      <c r="B69" s="36" t="s">
        <v>796</v>
      </c>
      <c r="C69" s="36" t="s">
        <v>796</v>
      </c>
      <c r="D69" s="36" t="s">
        <v>796</v>
      </c>
      <c r="E69" s="36" t="s">
        <v>796</v>
      </c>
      <c r="F69" s="36" t="s">
        <v>796</v>
      </c>
      <c r="G69" s="36">
        <v>25192</v>
      </c>
      <c r="H69" s="36">
        <v>25192</v>
      </c>
      <c r="I69" s="36" t="s">
        <v>796</v>
      </c>
      <c r="J69" s="36" t="s">
        <v>796</v>
      </c>
      <c r="K69" s="36" t="s">
        <v>796</v>
      </c>
      <c r="L69" s="36" t="s">
        <v>796</v>
      </c>
      <c r="M69" s="36" t="s">
        <v>796</v>
      </c>
      <c r="N69" s="36" t="s">
        <v>796</v>
      </c>
      <c r="O69" s="36">
        <v>12054390</v>
      </c>
      <c r="P69" s="36" t="s">
        <v>796</v>
      </c>
      <c r="Q69" s="36" t="s">
        <v>796</v>
      </c>
      <c r="R69" s="38" t="s">
        <v>71</v>
      </c>
      <c r="S69" s="35"/>
      <c r="T69" s="35"/>
      <c r="U69" s="35"/>
      <c r="V69" s="35"/>
      <c r="W69" s="35"/>
      <c r="X69" s="35"/>
      <c r="Y69" s="35"/>
    </row>
    <row r="70" spans="1:25" s="36" customFormat="1" ht="10.5" customHeight="1" x14ac:dyDescent="0.15">
      <c r="A70" s="448" t="s">
        <v>841</v>
      </c>
      <c r="B70" s="36" t="s">
        <v>796</v>
      </c>
      <c r="C70" s="36" t="s">
        <v>796</v>
      </c>
      <c r="D70" s="36" t="s">
        <v>796</v>
      </c>
      <c r="E70" s="36" t="s">
        <v>796</v>
      </c>
      <c r="F70" s="36" t="s">
        <v>796</v>
      </c>
      <c r="G70" s="36" t="s">
        <v>796</v>
      </c>
      <c r="H70" s="36" t="s">
        <v>796</v>
      </c>
      <c r="I70" s="36" t="s">
        <v>796</v>
      </c>
      <c r="J70" s="36" t="s">
        <v>796</v>
      </c>
      <c r="K70" s="36" t="s">
        <v>796</v>
      </c>
      <c r="L70" s="36" t="s">
        <v>796</v>
      </c>
      <c r="M70" s="36" t="s">
        <v>796</v>
      </c>
      <c r="N70" s="36" t="s">
        <v>796</v>
      </c>
      <c r="O70" s="36">
        <v>12604335</v>
      </c>
      <c r="P70" s="36" t="s">
        <v>796</v>
      </c>
      <c r="Q70" s="36" t="s">
        <v>796</v>
      </c>
      <c r="R70" s="38" t="s">
        <v>842</v>
      </c>
      <c r="S70" s="35"/>
      <c r="T70" s="35"/>
      <c r="U70" s="35"/>
      <c r="V70" s="35"/>
      <c r="W70" s="35"/>
      <c r="X70" s="35"/>
      <c r="Y70" s="35"/>
    </row>
    <row r="71" spans="1:25" s="36" customFormat="1" ht="10.5" customHeight="1" x14ac:dyDescent="0.15">
      <c r="A71" s="448" t="s">
        <v>573</v>
      </c>
      <c r="B71" s="36" t="s">
        <v>796</v>
      </c>
      <c r="C71" s="36" t="s">
        <v>796</v>
      </c>
      <c r="D71" s="36" t="s">
        <v>796</v>
      </c>
      <c r="E71" s="36" t="s">
        <v>796</v>
      </c>
      <c r="F71" s="36" t="s">
        <v>796</v>
      </c>
      <c r="G71" s="36" t="s">
        <v>796</v>
      </c>
      <c r="H71" s="36" t="s">
        <v>796</v>
      </c>
      <c r="I71" s="36" t="s">
        <v>796</v>
      </c>
      <c r="J71" s="36" t="s">
        <v>796</v>
      </c>
      <c r="K71" s="36" t="s">
        <v>796</v>
      </c>
      <c r="L71" s="36" t="s">
        <v>796</v>
      </c>
      <c r="M71" s="36" t="s">
        <v>796</v>
      </c>
      <c r="N71" s="36" t="s">
        <v>796</v>
      </c>
      <c r="O71" s="36">
        <v>10410382</v>
      </c>
      <c r="P71" s="36" t="s">
        <v>796</v>
      </c>
      <c r="Q71" s="36" t="s">
        <v>796</v>
      </c>
      <c r="R71" s="38" t="s">
        <v>66</v>
      </c>
      <c r="S71" s="35"/>
      <c r="T71" s="35"/>
      <c r="U71" s="35"/>
      <c r="V71" s="35"/>
      <c r="W71" s="35"/>
      <c r="X71" s="35"/>
      <c r="Y71" s="35"/>
    </row>
    <row r="72" spans="1:25" s="36" customFormat="1" ht="10.5" customHeight="1" x14ac:dyDescent="0.15">
      <c r="A72" s="519" t="s">
        <v>574</v>
      </c>
      <c r="B72" s="523" t="s">
        <v>796</v>
      </c>
      <c r="C72" s="524" t="s">
        <v>796</v>
      </c>
      <c r="D72" s="524" t="s">
        <v>796</v>
      </c>
      <c r="E72" s="524" t="s">
        <v>796</v>
      </c>
      <c r="F72" s="524" t="s">
        <v>796</v>
      </c>
      <c r="G72" s="524" t="s">
        <v>796</v>
      </c>
      <c r="H72" s="524" t="s">
        <v>796</v>
      </c>
      <c r="I72" s="524" t="s">
        <v>796</v>
      </c>
      <c r="J72" s="524" t="s">
        <v>796</v>
      </c>
      <c r="K72" s="524" t="s">
        <v>796</v>
      </c>
      <c r="L72" s="524" t="s">
        <v>796</v>
      </c>
      <c r="M72" s="524" t="s">
        <v>796</v>
      </c>
      <c r="N72" s="524" t="s">
        <v>796</v>
      </c>
      <c r="O72" s="524">
        <v>12053505</v>
      </c>
      <c r="P72" s="524" t="s">
        <v>796</v>
      </c>
      <c r="Q72" s="524" t="s">
        <v>796</v>
      </c>
      <c r="R72" s="525" t="s">
        <v>67</v>
      </c>
      <c r="S72" s="35"/>
      <c r="T72" s="35"/>
      <c r="U72" s="35"/>
      <c r="V72" s="35"/>
      <c r="W72" s="35"/>
      <c r="X72" s="35"/>
      <c r="Y72" s="35"/>
    </row>
    <row r="73" spans="1:25" ht="23.25" customHeight="1" x14ac:dyDescent="0.25">
      <c r="I73" s="40" t="s">
        <v>86</v>
      </c>
      <c r="Q73" s="41" t="s">
        <v>843</v>
      </c>
    </row>
    <row r="74" spans="1:25" s="17" customFormat="1" ht="11.25" customHeight="1" x14ac:dyDescent="0.15">
      <c r="A74" s="655"/>
      <c r="B74" s="666" t="s">
        <v>87</v>
      </c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58"/>
      <c r="P74" s="658"/>
      <c r="Q74" s="658"/>
      <c r="R74" s="1003" t="s">
        <v>72</v>
      </c>
      <c r="S74" s="16"/>
      <c r="T74" s="16"/>
      <c r="U74" s="16"/>
      <c r="V74" s="16"/>
      <c r="W74" s="16"/>
      <c r="X74" s="16"/>
      <c r="Y74" s="16"/>
    </row>
    <row r="75" spans="1:25" s="34" customFormat="1" ht="28.5" customHeight="1" x14ac:dyDescent="0.15">
      <c r="A75" s="24" t="s">
        <v>153</v>
      </c>
      <c r="B75" s="659" t="s">
        <v>40</v>
      </c>
      <c r="C75" s="661"/>
      <c r="D75" s="661"/>
      <c r="E75" s="661"/>
      <c r="F75" s="661"/>
      <c r="G75" s="662"/>
      <c r="H75" s="659" t="s">
        <v>121</v>
      </c>
      <c r="I75" s="661"/>
      <c r="J75" s="662"/>
      <c r="K75" s="660" t="s">
        <v>520</v>
      </c>
      <c r="L75" s="659" t="s">
        <v>123</v>
      </c>
      <c r="M75" s="661"/>
      <c r="N75" s="661"/>
      <c r="O75" s="661"/>
      <c r="P75" s="661"/>
      <c r="Q75" s="661"/>
      <c r="R75" s="1004"/>
      <c r="S75" s="13"/>
      <c r="T75" s="13"/>
      <c r="U75" s="13"/>
      <c r="V75" s="13"/>
      <c r="W75" s="13"/>
      <c r="X75" s="13"/>
      <c r="Y75" s="13"/>
    </row>
    <row r="76" spans="1:25" s="34" customFormat="1" ht="28.5" customHeight="1" x14ac:dyDescent="0.15">
      <c r="A76" s="24"/>
      <c r="B76" s="14" t="s">
        <v>29</v>
      </c>
      <c r="C76" s="660" t="s">
        <v>41</v>
      </c>
      <c r="D76" s="660" t="s">
        <v>42</v>
      </c>
      <c r="E76" s="660" t="s">
        <v>851</v>
      </c>
      <c r="F76" s="660" t="s">
        <v>852</v>
      </c>
      <c r="G76" s="660" t="s">
        <v>853</v>
      </c>
      <c r="H76" s="14" t="s">
        <v>30</v>
      </c>
      <c r="I76" s="660" t="s">
        <v>122</v>
      </c>
      <c r="J76" s="660" t="s">
        <v>854</v>
      </c>
      <c r="K76" s="660" t="s">
        <v>521</v>
      </c>
      <c r="L76" s="14" t="s">
        <v>31</v>
      </c>
      <c r="M76" s="660" t="s">
        <v>126</v>
      </c>
      <c r="N76" s="660" t="s">
        <v>127</v>
      </c>
      <c r="O76" s="660" t="s">
        <v>43</v>
      </c>
      <c r="P76" s="660" t="s">
        <v>855</v>
      </c>
      <c r="Q76" s="659" t="s">
        <v>856</v>
      </c>
      <c r="R76" s="1004"/>
      <c r="S76" s="13"/>
      <c r="T76" s="13"/>
      <c r="U76" s="13"/>
      <c r="V76" s="13"/>
      <c r="W76" s="13"/>
      <c r="X76" s="13"/>
      <c r="Y76" s="13"/>
    </row>
    <row r="77" spans="1:25" s="34" customFormat="1" ht="12" customHeight="1" x14ac:dyDescent="0.15">
      <c r="A77" s="526"/>
      <c r="B77" s="15"/>
      <c r="C77" s="15" t="str">
        <f>PROPER("ARAB-L")</f>
        <v>Arab-L</v>
      </c>
      <c r="D77" s="15" t="str">
        <f>PROPER("ARAB-H")</f>
        <v>Arab-H</v>
      </c>
      <c r="E77" s="15" t="str">
        <f>PROPER("ARAB-M")</f>
        <v>Arab-M</v>
      </c>
      <c r="F77" s="15" t="str">
        <f>PROPER("ARAB-E-L")</f>
        <v>Arab-E-L</v>
      </c>
      <c r="G77" s="15" t="str">
        <f>PROPER("ARAB-S-L")</f>
        <v>Arab-S-L</v>
      </c>
      <c r="H77" s="15"/>
      <c r="I77" s="15" t="str">
        <f>PROPER("KUWAIT")</f>
        <v>Kuwait</v>
      </c>
      <c r="J77" s="15" t="str">
        <f>PROPER("KWAIT-SL")</f>
        <v>Kwait-Sl</v>
      </c>
      <c r="K77" s="15" t="str">
        <f>PROPER("KHAFJI")</f>
        <v>Khafji</v>
      </c>
      <c r="L77" s="15"/>
      <c r="M77" s="15" t="str">
        <f>PROPER("QATAR")</f>
        <v>Qatar</v>
      </c>
      <c r="N77" s="15" t="str">
        <f>PROPER("QATAR-M")</f>
        <v>Qatar-M</v>
      </c>
      <c r="O77" s="15" t="str">
        <f>PROPER("A-SHAHEN")</f>
        <v>A-Shahen</v>
      </c>
      <c r="P77" s="15" t="str">
        <f>PROPER("LOWSUL-C")</f>
        <v>Lowsul-C</v>
      </c>
      <c r="Q77" s="522" t="str">
        <f>PROPER("DEOD-F-C")</f>
        <v>Deod-F-C</v>
      </c>
      <c r="R77" s="1005"/>
      <c r="S77" s="13"/>
      <c r="T77" s="13"/>
      <c r="U77" s="13"/>
      <c r="V77" s="13"/>
      <c r="W77" s="13"/>
      <c r="X77" s="13"/>
      <c r="Y77" s="13"/>
    </row>
    <row r="78" spans="1:25" s="36" customFormat="1" ht="10.5" customHeight="1" x14ac:dyDescent="0.15">
      <c r="A78" s="645" t="s">
        <v>831</v>
      </c>
      <c r="B78" s="663">
        <v>56773606</v>
      </c>
      <c r="C78" s="664">
        <v>23045058</v>
      </c>
      <c r="D78" s="664">
        <v>5919709</v>
      </c>
      <c r="E78" s="664">
        <v>2301674</v>
      </c>
      <c r="F78" s="664">
        <v>23320165</v>
      </c>
      <c r="G78" s="664">
        <v>2187000</v>
      </c>
      <c r="H78" s="664">
        <v>13223305</v>
      </c>
      <c r="I78" s="664">
        <v>11363272</v>
      </c>
      <c r="J78" s="664">
        <v>1860033</v>
      </c>
      <c r="K78" s="664">
        <v>197107</v>
      </c>
      <c r="L78" s="664">
        <v>12371792</v>
      </c>
      <c r="M78" s="664">
        <v>4229452</v>
      </c>
      <c r="N78" s="664">
        <v>2610370</v>
      </c>
      <c r="O78" s="664">
        <v>3970725</v>
      </c>
      <c r="P78" s="664">
        <v>1086864</v>
      </c>
      <c r="Q78" s="664">
        <v>474381</v>
      </c>
      <c r="R78" s="665" t="s">
        <v>517</v>
      </c>
      <c r="S78" s="35"/>
      <c r="T78" s="35"/>
      <c r="U78" s="35"/>
      <c r="V78" s="35"/>
      <c r="W78" s="35"/>
      <c r="X78" s="35"/>
      <c r="Y78" s="35"/>
    </row>
    <row r="79" spans="1:25" s="36" customFormat="1" ht="10.5" customHeight="1" x14ac:dyDescent="0.15">
      <c r="A79" s="448" t="s">
        <v>557</v>
      </c>
      <c r="B79" s="36">
        <v>56525615</v>
      </c>
      <c r="C79" s="36">
        <v>21970904</v>
      </c>
      <c r="D79" s="36">
        <v>8259483</v>
      </c>
      <c r="E79" s="36">
        <v>1894831</v>
      </c>
      <c r="F79" s="36">
        <v>22407111</v>
      </c>
      <c r="G79" s="36">
        <v>1993286</v>
      </c>
      <c r="H79" s="36">
        <v>12105867</v>
      </c>
      <c r="I79" s="36">
        <v>11550466</v>
      </c>
      <c r="J79" s="36">
        <v>555401</v>
      </c>
      <c r="K79" s="36">
        <v>465530</v>
      </c>
      <c r="L79" s="36">
        <v>11301078</v>
      </c>
      <c r="M79" s="36">
        <v>3770218</v>
      </c>
      <c r="N79" s="36">
        <v>2082792</v>
      </c>
      <c r="O79" s="36">
        <v>4590851</v>
      </c>
      <c r="P79" s="36">
        <v>702166</v>
      </c>
      <c r="Q79" s="36">
        <v>155051</v>
      </c>
      <c r="R79" s="38" t="s">
        <v>558</v>
      </c>
      <c r="S79" s="35"/>
      <c r="T79" s="35"/>
      <c r="U79" s="35"/>
      <c r="V79" s="35"/>
      <c r="W79" s="35"/>
      <c r="X79" s="35"/>
      <c r="Y79" s="35"/>
    </row>
    <row r="80" spans="1:25" s="36" customFormat="1" ht="10.5" customHeight="1" x14ac:dyDescent="0.15">
      <c r="A80" s="448" t="s">
        <v>682</v>
      </c>
      <c r="B80" s="36">
        <v>60374739</v>
      </c>
      <c r="C80" s="36">
        <v>24606708</v>
      </c>
      <c r="D80" s="36">
        <v>9051551</v>
      </c>
      <c r="E80" s="36">
        <v>1741401</v>
      </c>
      <c r="F80" s="36">
        <v>23205052</v>
      </c>
      <c r="G80" s="36">
        <v>1770027</v>
      </c>
      <c r="H80" s="36">
        <v>12823959</v>
      </c>
      <c r="I80" s="36">
        <v>11536043</v>
      </c>
      <c r="J80" s="36">
        <v>1287916</v>
      </c>
      <c r="K80" s="36">
        <v>496437</v>
      </c>
      <c r="L80" s="36">
        <v>11575819</v>
      </c>
      <c r="M80" s="36">
        <v>4683655</v>
      </c>
      <c r="N80" s="36">
        <v>3173150</v>
      </c>
      <c r="O80" s="36">
        <v>3520597</v>
      </c>
      <c r="P80" s="36">
        <v>40956</v>
      </c>
      <c r="Q80" s="36">
        <v>157461</v>
      </c>
      <c r="R80" s="38" t="s">
        <v>683</v>
      </c>
      <c r="S80" s="35"/>
      <c r="T80" s="35"/>
      <c r="U80" s="35"/>
      <c r="V80" s="35"/>
      <c r="W80" s="35"/>
      <c r="X80" s="35"/>
      <c r="Y80" s="35"/>
    </row>
    <row r="81" spans="1:25" s="36" customFormat="1" ht="10.5" customHeight="1" x14ac:dyDescent="0.15">
      <c r="A81" s="448" t="s">
        <v>784</v>
      </c>
      <c r="B81" s="36">
        <v>59661688</v>
      </c>
      <c r="C81" s="36">
        <v>21015823</v>
      </c>
      <c r="D81" s="36">
        <v>8419649</v>
      </c>
      <c r="E81" s="36">
        <v>1449505</v>
      </c>
      <c r="F81" s="36">
        <v>26611147</v>
      </c>
      <c r="G81" s="36">
        <v>2165564</v>
      </c>
      <c r="H81" s="36">
        <v>12970854</v>
      </c>
      <c r="I81" s="36">
        <v>11055746</v>
      </c>
      <c r="J81" s="36">
        <v>1915108</v>
      </c>
      <c r="K81" s="36">
        <v>655426</v>
      </c>
      <c r="L81" s="36">
        <v>7358833</v>
      </c>
      <c r="M81" s="36">
        <v>3000410</v>
      </c>
      <c r="N81" s="36">
        <v>2478893</v>
      </c>
      <c r="O81" s="36">
        <v>1722412</v>
      </c>
      <c r="P81" s="36">
        <v>39665</v>
      </c>
      <c r="Q81" s="36">
        <v>117453</v>
      </c>
      <c r="R81" s="38" t="s">
        <v>785</v>
      </c>
      <c r="S81" s="35"/>
      <c r="T81" s="35"/>
      <c r="U81" s="35"/>
      <c r="V81" s="35"/>
      <c r="W81" s="35"/>
      <c r="X81" s="35"/>
      <c r="Y81" s="35"/>
    </row>
    <row r="82" spans="1:25" s="36" customFormat="1" ht="10.5" customHeight="1" x14ac:dyDescent="0.15">
      <c r="A82" s="448" t="s">
        <v>832</v>
      </c>
      <c r="B82" s="36">
        <v>53226120</v>
      </c>
      <c r="C82" s="36">
        <v>19662902</v>
      </c>
      <c r="D82" s="36">
        <v>8099887</v>
      </c>
      <c r="E82" s="36">
        <v>2408757</v>
      </c>
      <c r="F82" s="36">
        <v>21219930</v>
      </c>
      <c r="G82" s="36">
        <v>1834644</v>
      </c>
      <c r="H82" s="36">
        <v>8978126</v>
      </c>
      <c r="I82" s="36">
        <v>8538979</v>
      </c>
      <c r="J82" s="36">
        <v>439147</v>
      </c>
      <c r="K82" s="36">
        <v>722786</v>
      </c>
      <c r="L82" s="36">
        <v>5285335</v>
      </c>
      <c r="M82" s="36">
        <v>3038239</v>
      </c>
      <c r="N82" s="36">
        <v>1393087</v>
      </c>
      <c r="O82" s="36">
        <v>774714</v>
      </c>
      <c r="P82" s="36">
        <v>79295</v>
      </c>
      <c r="Q82" s="36" t="s">
        <v>796</v>
      </c>
      <c r="R82" s="38" t="s">
        <v>833</v>
      </c>
      <c r="S82" s="35"/>
      <c r="T82" s="35"/>
      <c r="U82" s="35"/>
      <c r="V82" s="35"/>
      <c r="W82" s="35"/>
      <c r="X82" s="35"/>
      <c r="Y82" s="35"/>
    </row>
    <row r="83" spans="1:25" s="36" customFormat="1" ht="10.5" customHeight="1" x14ac:dyDescent="0.15">
      <c r="A83" s="464"/>
      <c r="R83" s="38"/>
      <c r="S83" s="35"/>
      <c r="T83" s="35"/>
      <c r="U83" s="35"/>
      <c r="V83" s="35"/>
      <c r="W83" s="35"/>
      <c r="X83" s="35"/>
      <c r="Y83" s="35"/>
    </row>
    <row r="84" spans="1:25" s="36" customFormat="1" ht="10.5" customHeight="1" x14ac:dyDescent="0.15">
      <c r="A84" s="448" t="s">
        <v>834</v>
      </c>
      <c r="B84" s="36">
        <v>57049359</v>
      </c>
      <c r="C84" s="36">
        <v>20354411</v>
      </c>
      <c r="D84" s="36">
        <v>7712490</v>
      </c>
      <c r="E84" s="36">
        <v>1511071</v>
      </c>
      <c r="F84" s="36">
        <v>25211329</v>
      </c>
      <c r="G84" s="36">
        <v>2260058</v>
      </c>
      <c r="H84" s="36">
        <v>11818381</v>
      </c>
      <c r="I84" s="36">
        <v>10081553</v>
      </c>
      <c r="J84" s="36">
        <v>1736828</v>
      </c>
      <c r="K84" s="36">
        <v>634018</v>
      </c>
      <c r="L84" s="36">
        <v>6467293</v>
      </c>
      <c r="M84" s="36">
        <v>3264793</v>
      </c>
      <c r="N84" s="36">
        <v>1701316</v>
      </c>
      <c r="O84" s="36">
        <v>1344066</v>
      </c>
      <c r="P84" s="36">
        <v>39665</v>
      </c>
      <c r="Q84" s="36">
        <v>117453</v>
      </c>
      <c r="R84" s="38" t="s">
        <v>786</v>
      </c>
      <c r="S84" s="35"/>
      <c r="T84" s="35"/>
      <c r="U84" s="35"/>
      <c r="V84" s="35"/>
      <c r="W84" s="35"/>
      <c r="X84" s="35"/>
      <c r="Y84" s="35"/>
    </row>
    <row r="85" spans="1:25" s="36" customFormat="1" ht="10.5" customHeight="1" x14ac:dyDescent="0.15">
      <c r="A85" s="448" t="s">
        <v>835</v>
      </c>
      <c r="B85" s="36">
        <v>54677803</v>
      </c>
      <c r="C85" s="36">
        <v>19941551</v>
      </c>
      <c r="D85" s="36">
        <v>9092817</v>
      </c>
      <c r="E85" s="36">
        <v>2983945</v>
      </c>
      <c r="F85" s="36">
        <v>21203355</v>
      </c>
      <c r="G85" s="36">
        <v>1456135</v>
      </c>
      <c r="H85" s="36">
        <v>8668850</v>
      </c>
      <c r="I85" s="36">
        <v>8525143</v>
      </c>
      <c r="J85" s="36">
        <v>143707</v>
      </c>
      <c r="K85" s="36">
        <v>902816</v>
      </c>
      <c r="L85" s="36">
        <v>5632858</v>
      </c>
      <c r="M85" s="36">
        <v>2867175</v>
      </c>
      <c r="N85" s="36">
        <v>1705344</v>
      </c>
      <c r="O85" s="36">
        <v>981044</v>
      </c>
      <c r="P85" s="36">
        <v>79295</v>
      </c>
      <c r="Q85" s="36" t="s">
        <v>796</v>
      </c>
      <c r="R85" s="38" t="s">
        <v>836</v>
      </c>
      <c r="S85" s="35"/>
      <c r="T85" s="35"/>
      <c r="U85" s="35"/>
      <c r="V85" s="35"/>
      <c r="W85" s="35"/>
      <c r="X85" s="35"/>
      <c r="Y85" s="35"/>
    </row>
    <row r="86" spans="1:25" s="36" customFormat="1" ht="10.5" customHeight="1" x14ac:dyDescent="0.15">
      <c r="A86" s="464"/>
      <c r="R86" s="38"/>
      <c r="S86" s="35"/>
      <c r="T86" s="35"/>
      <c r="U86" s="35"/>
      <c r="V86" s="35"/>
      <c r="W86" s="35"/>
      <c r="X86" s="35"/>
      <c r="Y86" s="35"/>
    </row>
    <row r="87" spans="1:25" s="36" customFormat="1" ht="10.5" customHeight="1" x14ac:dyDescent="0.15">
      <c r="A87" s="448" t="s">
        <v>837</v>
      </c>
      <c r="B87" s="36">
        <v>13761474</v>
      </c>
      <c r="C87" s="36">
        <v>5077738</v>
      </c>
      <c r="D87" s="36">
        <v>1560264</v>
      </c>
      <c r="E87" s="36">
        <v>430137</v>
      </c>
      <c r="F87" s="36">
        <v>6147181</v>
      </c>
      <c r="G87" s="36">
        <v>546154</v>
      </c>
      <c r="H87" s="36">
        <v>2517812</v>
      </c>
      <c r="I87" s="36">
        <v>2222372</v>
      </c>
      <c r="J87" s="36">
        <v>295440</v>
      </c>
      <c r="K87" s="36">
        <v>138109</v>
      </c>
      <c r="L87" s="36">
        <v>1286517</v>
      </c>
      <c r="M87" s="36">
        <v>975001</v>
      </c>
      <c r="N87" s="36">
        <v>230082</v>
      </c>
      <c r="O87" s="36">
        <v>81434</v>
      </c>
      <c r="P87" s="36" t="s">
        <v>796</v>
      </c>
      <c r="Q87" s="36" t="s">
        <v>796</v>
      </c>
      <c r="R87" s="38" t="s">
        <v>787</v>
      </c>
      <c r="S87" s="35"/>
      <c r="T87" s="35"/>
      <c r="U87" s="35"/>
      <c r="V87" s="35"/>
      <c r="W87" s="35"/>
      <c r="X87" s="35"/>
      <c r="Y87" s="35"/>
    </row>
    <row r="88" spans="1:25" s="36" customFormat="1" ht="10.5" customHeight="1" x14ac:dyDescent="0.15">
      <c r="A88" s="448" t="s">
        <v>559</v>
      </c>
      <c r="B88" s="36">
        <v>12774741</v>
      </c>
      <c r="C88" s="36">
        <v>4505475</v>
      </c>
      <c r="D88" s="36">
        <v>2150894</v>
      </c>
      <c r="E88" s="36">
        <v>487266</v>
      </c>
      <c r="F88" s="36">
        <v>5079168</v>
      </c>
      <c r="G88" s="36">
        <v>551938</v>
      </c>
      <c r="H88" s="36">
        <v>2440704</v>
      </c>
      <c r="I88" s="36">
        <v>2344734</v>
      </c>
      <c r="J88" s="36">
        <v>95970</v>
      </c>
      <c r="K88" s="36">
        <v>217987</v>
      </c>
      <c r="L88" s="36">
        <v>1261192</v>
      </c>
      <c r="M88" s="36">
        <v>635983</v>
      </c>
      <c r="N88" s="36">
        <v>399191</v>
      </c>
      <c r="O88" s="36">
        <v>226018</v>
      </c>
      <c r="P88" s="36" t="s">
        <v>796</v>
      </c>
      <c r="Q88" s="36" t="s">
        <v>796</v>
      </c>
      <c r="R88" s="38" t="s">
        <v>78</v>
      </c>
      <c r="S88" s="35"/>
      <c r="T88" s="35"/>
      <c r="U88" s="35"/>
      <c r="V88" s="35"/>
      <c r="W88" s="35"/>
      <c r="X88" s="35"/>
      <c r="Y88" s="35"/>
    </row>
    <row r="89" spans="1:25" s="36" customFormat="1" ht="10.5" customHeight="1" x14ac:dyDescent="0.15">
      <c r="A89" s="448" t="s">
        <v>560</v>
      </c>
      <c r="B89" s="36">
        <v>12346132</v>
      </c>
      <c r="C89" s="36">
        <v>4768191</v>
      </c>
      <c r="D89" s="36">
        <v>2162568</v>
      </c>
      <c r="E89" s="36">
        <v>860432</v>
      </c>
      <c r="F89" s="36">
        <v>4184141</v>
      </c>
      <c r="G89" s="36">
        <v>370800</v>
      </c>
      <c r="H89" s="36">
        <v>2076707</v>
      </c>
      <c r="I89" s="36">
        <v>2028970</v>
      </c>
      <c r="J89" s="36">
        <v>47737</v>
      </c>
      <c r="K89" s="36">
        <v>184658</v>
      </c>
      <c r="L89" s="36">
        <v>1223967</v>
      </c>
      <c r="M89" s="36">
        <v>643495</v>
      </c>
      <c r="N89" s="36">
        <v>227651</v>
      </c>
      <c r="O89" s="36">
        <v>312585</v>
      </c>
      <c r="P89" s="36">
        <v>40236</v>
      </c>
      <c r="Q89" s="36" t="s">
        <v>796</v>
      </c>
      <c r="R89" s="38" t="s">
        <v>79</v>
      </c>
      <c r="S89" s="35"/>
      <c r="T89" s="35"/>
      <c r="U89" s="35"/>
      <c r="V89" s="35"/>
      <c r="W89" s="35"/>
      <c r="X89" s="35"/>
      <c r="Y89" s="35"/>
    </row>
    <row r="90" spans="1:25" s="36" customFormat="1" ht="10.5" customHeight="1" x14ac:dyDescent="0.15">
      <c r="A90" s="448" t="s">
        <v>561</v>
      </c>
      <c r="B90" s="36">
        <v>14343773</v>
      </c>
      <c r="C90" s="36">
        <v>5311498</v>
      </c>
      <c r="D90" s="36">
        <v>2226161</v>
      </c>
      <c r="E90" s="36">
        <v>630922</v>
      </c>
      <c r="F90" s="36">
        <v>5809440</v>
      </c>
      <c r="G90" s="36">
        <v>365752</v>
      </c>
      <c r="H90" s="36">
        <v>1942903</v>
      </c>
      <c r="I90" s="36">
        <v>1942903</v>
      </c>
      <c r="J90" s="36" t="s">
        <v>796</v>
      </c>
      <c r="K90" s="36">
        <v>182032</v>
      </c>
      <c r="L90" s="36">
        <v>1513659</v>
      </c>
      <c r="M90" s="36">
        <v>783760</v>
      </c>
      <c r="N90" s="36">
        <v>536163</v>
      </c>
      <c r="O90" s="36">
        <v>154677</v>
      </c>
      <c r="P90" s="36">
        <v>39059</v>
      </c>
      <c r="Q90" s="36" t="s">
        <v>796</v>
      </c>
      <c r="R90" s="38" t="s">
        <v>80</v>
      </c>
      <c r="S90" s="35"/>
      <c r="T90" s="35"/>
      <c r="U90" s="35"/>
      <c r="V90" s="35"/>
      <c r="W90" s="35"/>
      <c r="X90" s="35"/>
      <c r="Y90" s="35"/>
    </row>
    <row r="91" spans="1:25" s="36" customFormat="1" ht="10.5" customHeight="1" x14ac:dyDescent="0.15">
      <c r="A91" s="448" t="s">
        <v>838</v>
      </c>
      <c r="B91" s="36">
        <v>15213157</v>
      </c>
      <c r="C91" s="36">
        <v>5356387</v>
      </c>
      <c r="D91" s="36">
        <v>2553194</v>
      </c>
      <c r="E91" s="36">
        <v>1005325</v>
      </c>
      <c r="F91" s="36">
        <v>6130606</v>
      </c>
      <c r="G91" s="36">
        <v>167645</v>
      </c>
      <c r="H91" s="36">
        <v>2208536</v>
      </c>
      <c r="I91" s="36">
        <v>2208536</v>
      </c>
      <c r="J91" s="36" t="s">
        <v>796</v>
      </c>
      <c r="K91" s="36">
        <v>318139</v>
      </c>
      <c r="L91" s="36">
        <v>1634040</v>
      </c>
      <c r="M91" s="36">
        <v>803937</v>
      </c>
      <c r="N91" s="36">
        <v>542339</v>
      </c>
      <c r="O91" s="36">
        <v>287764</v>
      </c>
      <c r="P91" s="36" t="s">
        <v>796</v>
      </c>
      <c r="Q91" s="36" t="s">
        <v>796</v>
      </c>
      <c r="R91" s="38" t="s">
        <v>839</v>
      </c>
      <c r="S91" s="35"/>
      <c r="T91" s="35"/>
      <c r="U91" s="35"/>
      <c r="V91" s="35"/>
      <c r="W91" s="35"/>
      <c r="X91" s="35"/>
      <c r="Y91" s="35"/>
    </row>
    <row r="92" spans="1:25" s="36" customFormat="1" ht="10.5" customHeight="1" x14ac:dyDescent="0.15">
      <c r="A92" s="464"/>
      <c r="R92" s="38"/>
      <c r="S92" s="35"/>
      <c r="T92" s="35"/>
      <c r="U92" s="35"/>
      <c r="V92" s="35"/>
      <c r="W92" s="35"/>
      <c r="X92" s="35"/>
      <c r="Y92" s="35"/>
    </row>
    <row r="93" spans="1:25" s="36" customFormat="1" ht="10.5" customHeight="1" x14ac:dyDescent="0.15">
      <c r="A93" s="448" t="s">
        <v>840</v>
      </c>
      <c r="B93" s="36">
        <v>4627700</v>
      </c>
      <c r="C93" s="36">
        <v>1835221</v>
      </c>
      <c r="D93" s="36">
        <v>512111</v>
      </c>
      <c r="E93" s="36">
        <v>76318</v>
      </c>
      <c r="F93" s="36">
        <v>2204050</v>
      </c>
      <c r="G93" s="36" t="s">
        <v>796</v>
      </c>
      <c r="H93" s="36">
        <v>891798</v>
      </c>
      <c r="I93" s="36">
        <v>737759</v>
      </c>
      <c r="J93" s="36">
        <v>154039</v>
      </c>
      <c r="K93" s="36" t="s">
        <v>796</v>
      </c>
      <c r="L93" s="36">
        <v>419336</v>
      </c>
      <c r="M93" s="36">
        <v>324459</v>
      </c>
      <c r="N93" s="36">
        <v>94877</v>
      </c>
      <c r="O93" s="36" t="s">
        <v>796</v>
      </c>
      <c r="P93" s="36" t="s">
        <v>796</v>
      </c>
      <c r="Q93" s="36" t="s">
        <v>796</v>
      </c>
      <c r="R93" s="38" t="s">
        <v>788</v>
      </c>
      <c r="S93" s="35"/>
      <c r="T93" s="35"/>
      <c r="U93" s="35"/>
      <c r="V93" s="35"/>
      <c r="W93" s="35"/>
      <c r="X93" s="35"/>
      <c r="Y93" s="35"/>
    </row>
    <row r="94" spans="1:25" s="36" customFormat="1" ht="10.5" customHeight="1" x14ac:dyDescent="0.15">
      <c r="A94" s="448" t="s">
        <v>562</v>
      </c>
      <c r="B94" s="36">
        <v>4291013</v>
      </c>
      <c r="C94" s="36">
        <v>1457087</v>
      </c>
      <c r="D94" s="36">
        <v>500770</v>
      </c>
      <c r="E94" s="36">
        <v>106322</v>
      </c>
      <c r="F94" s="36">
        <v>2040398</v>
      </c>
      <c r="G94" s="36">
        <v>186436</v>
      </c>
      <c r="H94" s="36">
        <v>813060</v>
      </c>
      <c r="I94" s="36">
        <v>765240</v>
      </c>
      <c r="J94" s="36">
        <v>47820</v>
      </c>
      <c r="K94" s="36">
        <v>69977</v>
      </c>
      <c r="L94" s="36">
        <v>619410</v>
      </c>
      <c r="M94" s="36">
        <v>402771</v>
      </c>
      <c r="N94" s="36">
        <v>135205</v>
      </c>
      <c r="O94" s="36">
        <v>81434</v>
      </c>
      <c r="P94" s="36" t="s">
        <v>796</v>
      </c>
      <c r="Q94" s="36" t="s">
        <v>796</v>
      </c>
      <c r="R94" s="38" t="s">
        <v>66</v>
      </c>
      <c r="S94" s="35"/>
      <c r="T94" s="35"/>
      <c r="U94" s="35"/>
      <c r="V94" s="35"/>
      <c r="W94" s="35"/>
      <c r="X94" s="35"/>
      <c r="Y94" s="35"/>
    </row>
    <row r="95" spans="1:25" s="36" customFormat="1" ht="10.5" customHeight="1" x14ac:dyDescent="0.15">
      <c r="A95" s="448" t="s">
        <v>563</v>
      </c>
      <c r="B95" s="36">
        <v>4842761</v>
      </c>
      <c r="C95" s="36">
        <v>1785430</v>
      </c>
      <c r="D95" s="36">
        <v>547383</v>
      </c>
      <c r="E95" s="36">
        <v>247497</v>
      </c>
      <c r="F95" s="36">
        <v>1902733</v>
      </c>
      <c r="G95" s="36">
        <v>359718</v>
      </c>
      <c r="H95" s="36">
        <v>812954</v>
      </c>
      <c r="I95" s="36">
        <v>719373</v>
      </c>
      <c r="J95" s="36">
        <v>93581</v>
      </c>
      <c r="K95" s="36">
        <v>68132</v>
      </c>
      <c r="L95" s="36">
        <v>247771</v>
      </c>
      <c r="M95" s="36">
        <v>247771</v>
      </c>
      <c r="N95" s="36" t="s">
        <v>796</v>
      </c>
      <c r="O95" s="36" t="s">
        <v>796</v>
      </c>
      <c r="P95" s="36" t="s">
        <v>796</v>
      </c>
      <c r="Q95" s="36" t="s">
        <v>796</v>
      </c>
      <c r="R95" s="38" t="s">
        <v>67</v>
      </c>
      <c r="S95" s="35"/>
      <c r="T95" s="35"/>
      <c r="U95" s="35"/>
      <c r="V95" s="35"/>
      <c r="W95" s="35"/>
      <c r="X95" s="35"/>
      <c r="Y95" s="35"/>
    </row>
    <row r="96" spans="1:25" s="36" customFormat="1" ht="10.5" customHeight="1" x14ac:dyDescent="0.15">
      <c r="A96" s="448" t="s">
        <v>564</v>
      </c>
      <c r="B96" s="36">
        <v>4937817</v>
      </c>
      <c r="C96" s="36">
        <v>1823092</v>
      </c>
      <c r="D96" s="36">
        <v>786922</v>
      </c>
      <c r="E96" s="36">
        <v>183105</v>
      </c>
      <c r="F96" s="36">
        <v>2144698</v>
      </c>
      <c r="G96" s="36" t="s">
        <v>796</v>
      </c>
      <c r="H96" s="36">
        <v>748368</v>
      </c>
      <c r="I96" s="36">
        <v>748368</v>
      </c>
      <c r="J96" s="36" t="s">
        <v>796</v>
      </c>
      <c r="K96" s="36">
        <v>73352</v>
      </c>
      <c r="L96" s="36">
        <v>439996</v>
      </c>
      <c r="M96" s="36">
        <v>211935</v>
      </c>
      <c r="N96" s="36">
        <v>77838</v>
      </c>
      <c r="O96" s="36">
        <v>150223</v>
      </c>
      <c r="P96" s="36" t="s">
        <v>796</v>
      </c>
      <c r="Q96" s="36" t="s">
        <v>796</v>
      </c>
      <c r="R96" s="38" t="s">
        <v>68</v>
      </c>
      <c r="S96" s="35"/>
      <c r="T96" s="35"/>
      <c r="U96" s="35"/>
      <c r="V96" s="35"/>
      <c r="W96" s="35"/>
      <c r="X96" s="35"/>
      <c r="Y96" s="35"/>
    </row>
    <row r="97" spans="1:25" s="36" customFormat="1" ht="10.5" customHeight="1" x14ac:dyDescent="0.15">
      <c r="A97" s="448" t="s">
        <v>565</v>
      </c>
      <c r="B97" s="36">
        <v>3737290</v>
      </c>
      <c r="C97" s="36">
        <v>1120594</v>
      </c>
      <c r="D97" s="36">
        <v>641971</v>
      </c>
      <c r="E97" s="36">
        <v>297215</v>
      </c>
      <c r="F97" s="36">
        <v>1491764</v>
      </c>
      <c r="G97" s="36">
        <v>185746</v>
      </c>
      <c r="H97" s="36">
        <v>864755</v>
      </c>
      <c r="I97" s="36">
        <v>816517</v>
      </c>
      <c r="J97" s="36">
        <v>48238</v>
      </c>
      <c r="K97" s="36">
        <v>74714</v>
      </c>
      <c r="L97" s="36">
        <v>433518</v>
      </c>
      <c r="M97" s="36">
        <v>192061</v>
      </c>
      <c r="N97" s="36">
        <v>165662</v>
      </c>
      <c r="O97" s="36">
        <v>75795</v>
      </c>
      <c r="P97" s="36" t="s">
        <v>796</v>
      </c>
      <c r="Q97" s="36" t="s">
        <v>796</v>
      </c>
      <c r="R97" s="39" t="s">
        <v>81</v>
      </c>
      <c r="S97" s="35"/>
      <c r="T97" s="35"/>
      <c r="U97" s="35"/>
      <c r="V97" s="35"/>
      <c r="W97" s="35"/>
      <c r="X97" s="35"/>
      <c r="Y97" s="35"/>
    </row>
    <row r="98" spans="1:25" s="36" customFormat="1" ht="10.5" customHeight="1" x14ac:dyDescent="0.15">
      <c r="A98" s="448" t="s">
        <v>566</v>
      </c>
      <c r="B98" s="36">
        <v>4099634</v>
      </c>
      <c r="C98" s="36">
        <v>1561789</v>
      </c>
      <c r="D98" s="36">
        <v>722001</v>
      </c>
      <c r="E98" s="36">
        <v>6946</v>
      </c>
      <c r="F98" s="36">
        <v>1442706</v>
      </c>
      <c r="G98" s="36">
        <v>366192</v>
      </c>
      <c r="H98" s="36">
        <v>827581</v>
      </c>
      <c r="I98" s="36">
        <v>779849</v>
      </c>
      <c r="J98" s="36">
        <v>47732</v>
      </c>
      <c r="K98" s="36">
        <v>69921</v>
      </c>
      <c r="L98" s="36">
        <v>387678</v>
      </c>
      <c r="M98" s="36">
        <v>231987</v>
      </c>
      <c r="N98" s="36">
        <v>155691</v>
      </c>
      <c r="O98" s="36" t="s">
        <v>796</v>
      </c>
      <c r="P98" s="36" t="s">
        <v>796</v>
      </c>
      <c r="Q98" s="36" t="s">
        <v>796</v>
      </c>
      <c r="R98" s="38" t="s">
        <v>82</v>
      </c>
      <c r="S98" s="35"/>
      <c r="T98" s="35"/>
      <c r="U98" s="35"/>
      <c r="V98" s="35"/>
      <c r="W98" s="35"/>
      <c r="X98" s="35"/>
      <c r="Y98" s="35"/>
    </row>
    <row r="99" spans="1:25" s="36" customFormat="1" ht="10.5" customHeight="1" x14ac:dyDescent="0.15">
      <c r="A99" s="448" t="s">
        <v>567</v>
      </c>
      <c r="B99" s="36">
        <v>3585021</v>
      </c>
      <c r="C99" s="36">
        <v>1451052</v>
      </c>
      <c r="D99" s="36">
        <v>478078</v>
      </c>
      <c r="E99" s="36">
        <v>376395</v>
      </c>
      <c r="F99" s="36">
        <v>1279496</v>
      </c>
      <c r="G99" s="36" t="s">
        <v>796</v>
      </c>
      <c r="H99" s="36">
        <v>791882</v>
      </c>
      <c r="I99" s="36">
        <v>744145</v>
      </c>
      <c r="J99" s="36">
        <v>47737</v>
      </c>
      <c r="K99" s="36">
        <v>74574</v>
      </c>
      <c r="L99" s="36">
        <v>353089</v>
      </c>
      <c r="M99" s="36">
        <v>166022</v>
      </c>
      <c r="N99" s="36">
        <v>109409</v>
      </c>
      <c r="O99" s="36">
        <v>77658</v>
      </c>
      <c r="P99" s="36" t="s">
        <v>796</v>
      </c>
      <c r="Q99" s="36" t="s">
        <v>796</v>
      </c>
      <c r="R99" s="38" t="s">
        <v>83</v>
      </c>
      <c r="S99" s="35"/>
      <c r="T99" s="35"/>
      <c r="U99" s="35"/>
      <c r="V99" s="35"/>
      <c r="W99" s="35"/>
      <c r="X99" s="35"/>
      <c r="Y99" s="35"/>
    </row>
    <row r="100" spans="1:25" s="36" customFormat="1" ht="10.5" customHeight="1" x14ac:dyDescent="0.15">
      <c r="A100" s="448" t="s">
        <v>568</v>
      </c>
      <c r="B100" s="36">
        <v>4319554</v>
      </c>
      <c r="C100" s="36">
        <v>1739503</v>
      </c>
      <c r="D100" s="36">
        <v>734457</v>
      </c>
      <c r="E100" s="36">
        <v>194908</v>
      </c>
      <c r="F100" s="36">
        <v>1465531</v>
      </c>
      <c r="G100" s="36">
        <v>185155</v>
      </c>
      <c r="H100" s="36">
        <v>609998</v>
      </c>
      <c r="I100" s="36">
        <v>609998</v>
      </c>
      <c r="J100" s="36" t="s">
        <v>796</v>
      </c>
      <c r="K100" s="36">
        <v>69897</v>
      </c>
      <c r="L100" s="36">
        <v>361730</v>
      </c>
      <c r="M100" s="36">
        <v>161079</v>
      </c>
      <c r="N100" s="36">
        <v>42631</v>
      </c>
      <c r="O100" s="36">
        <v>158020</v>
      </c>
      <c r="P100" s="36" t="s">
        <v>796</v>
      </c>
      <c r="Q100" s="36" t="s">
        <v>796</v>
      </c>
      <c r="R100" s="38" t="s">
        <v>84</v>
      </c>
      <c r="S100" s="35"/>
      <c r="T100" s="35"/>
      <c r="U100" s="35"/>
      <c r="V100" s="35"/>
      <c r="W100" s="35"/>
      <c r="X100" s="35"/>
      <c r="Y100" s="35"/>
    </row>
    <row r="101" spans="1:25" s="36" customFormat="1" ht="10.5" customHeight="1" x14ac:dyDescent="0.15">
      <c r="A101" s="448" t="s">
        <v>569</v>
      </c>
      <c r="B101" s="36">
        <v>4441557</v>
      </c>
      <c r="C101" s="36">
        <v>1577636</v>
      </c>
      <c r="D101" s="36">
        <v>950033</v>
      </c>
      <c r="E101" s="36">
        <v>289129</v>
      </c>
      <c r="F101" s="36">
        <v>1439114</v>
      </c>
      <c r="G101" s="36">
        <v>185645</v>
      </c>
      <c r="H101" s="36">
        <v>674827</v>
      </c>
      <c r="I101" s="36">
        <v>674827</v>
      </c>
      <c r="J101" s="36" t="s">
        <v>796</v>
      </c>
      <c r="K101" s="36">
        <v>40187</v>
      </c>
      <c r="L101" s="36">
        <v>509148</v>
      </c>
      <c r="M101" s="36">
        <v>316394</v>
      </c>
      <c r="N101" s="36">
        <v>75611</v>
      </c>
      <c r="O101" s="36">
        <v>76907</v>
      </c>
      <c r="P101" s="36">
        <v>40236</v>
      </c>
      <c r="Q101" s="36" t="s">
        <v>796</v>
      </c>
      <c r="R101" s="38" t="s">
        <v>85</v>
      </c>
      <c r="S101" s="35"/>
      <c r="T101" s="35"/>
      <c r="U101" s="35"/>
      <c r="V101" s="35"/>
      <c r="W101" s="35"/>
      <c r="X101" s="35"/>
      <c r="Y101" s="35"/>
    </row>
    <row r="102" spans="1:25" s="36" customFormat="1" ht="10.5" customHeight="1" x14ac:dyDescent="0.15">
      <c r="A102" s="448" t="s">
        <v>570</v>
      </c>
      <c r="B102" s="36">
        <v>4414153</v>
      </c>
      <c r="C102" s="36">
        <v>1652897</v>
      </c>
      <c r="D102" s="36">
        <v>565606</v>
      </c>
      <c r="E102" s="36">
        <v>348902</v>
      </c>
      <c r="F102" s="36">
        <v>1666509</v>
      </c>
      <c r="G102" s="36">
        <v>180239</v>
      </c>
      <c r="H102" s="36">
        <v>324538</v>
      </c>
      <c r="I102" s="36">
        <v>324538</v>
      </c>
      <c r="J102" s="36" t="s">
        <v>796</v>
      </c>
      <c r="K102" s="36">
        <v>111237</v>
      </c>
      <c r="L102" s="36">
        <v>428761</v>
      </c>
      <c r="M102" s="36">
        <v>235760</v>
      </c>
      <c r="N102" s="36">
        <v>153942</v>
      </c>
      <c r="O102" s="36" t="s">
        <v>796</v>
      </c>
      <c r="P102" s="36">
        <v>39059</v>
      </c>
      <c r="Q102" s="36" t="s">
        <v>796</v>
      </c>
      <c r="R102" s="38" t="s">
        <v>69</v>
      </c>
      <c r="S102" s="35"/>
      <c r="T102" s="35"/>
      <c r="U102" s="35"/>
      <c r="V102" s="35"/>
      <c r="W102" s="35"/>
      <c r="X102" s="35"/>
      <c r="Y102" s="35"/>
    </row>
    <row r="103" spans="1:25" s="36" customFormat="1" ht="10.5" customHeight="1" x14ac:dyDescent="0.15">
      <c r="A103" s="448" t="s">
        <v>571</v>
      </c>
      <c r="B103" s="36">
        <v>4999981</v>
      </c>
      <c r="C103" s="36">
        <v>1886745</v>
      </c>
      <c r="D103" s="36">
        <v>705461</v>
      </c>
      <c r="E103" s="36">
        <v>141535</v>
      </c>
      <c r="F103" s="36">
        <v>2266240</v>
      </c>
      <c r="G103" s="36" t="s">
        <v>796</v>
      </c>
      <c r="H103" s="36">
        <v>824316</v>
      </c>
      <c r="I103" s="36">
        <v>824316</v>
      </c>
      <c r="J103" s="36" t="s">
        <v>796</v>
      </c>
      <c r="K103" s="36">
        <v>70795</v>
      </c>
      <c r="L103" s="36">
        <v>543451</v>
      </c>
      <c r="M103" s="36">
        <v>234196</v>
      </c>
      <c r="N103" s="36">
        <v>154578</v>
      </c>
      <c r="O103" s="36">
        <v>154677</v>
      </c>
      <c r="P103" s="36" t="s">
        <v>796</v>
      </c>
      <c r="Q103" s="36" t="s">
        <v>796</v>
      </c>
      <c r="R103" s="38" t="s">
        <v>70</v>
      </c>
      <c r="S103" s="35"/>
      <c r="T103" s="35"/>
      <c r="U103" s="35"/>
      <c r="V103" s="35"/>
      <c r="W103" s="35"/>
      <c r="X103" s="35"/>
      <c r="Y103" s="35"/>
    </row>
    <row r="104" spans="1:25" s="36" customFormat="1" ht="10.5" customHeight="1" x14ac:dyDescent="0.15">
      <c r="A104" s="448" t="s">
        <v>572</v>
      </c>
      <c r="B104" s="36">
        <v>4929639</v>
      </c>
      <c r="C104" s="36">
        <v>1771856</v>
      </c>
      <c r="D104" s="36">
        <v>955094</v>
      </c>
      <c r="E104" s="36">
        <v>140485</v>
      </c>
      <c r="F104" s="36">
        <v>1876691</v>
      </c>
      <c r="G104" s="36">
        <v>185513</v>
      </c>
      <c r="H104" s="36">
        <v>794049</v>
      </c>
      <c r="I104" s="36">
        <v>794049</v>
      </c>
      <c r="J104" s="36" t="s">
        <v>796</v>
      </c>
      <c r="K104" s="36" t="s">
        <v>796</v>
      </c>
      <c r="L104" s="36">
        <v>541447</v>
      </c>
      <c r="M104" s="36">
        <v>313804</v>
      </c>
      <c r="N104" s="36">
        <v>227643</v>
      </c>
      <c r="O104" s="36" t="s">
        <v>796</v>
      </c>
      <c r="P104" s="36" t="s">
        <v>796</v>
      </c>
      <c r="Q104" s="36" t="s">
        <v>796</v>
      </c>
      <c r="R104" s="38" t="s">
        <v>71</v>
      </c>
      <c r="S104" s="35"/>
      <c r="T104" s="35"/>
      <c r="U104" s="35"/>
      <c r="V104" s="35"/>
      <c r="W104" s="35"/>
      <c r="X104" s="35"/>
      <c r="Y104" s="35"/>
    </row>
    <row r="105" spans="1:25" s="36" customFormat="1" ht="10.5" customHeight="1" x14ac:dyDescent="0.15">
      <c r="A105" s="448" t="s">
        <v>841</v>
      </c>
      <c r="B105" s="36">
        <v>5396888</v>
      </c>
      <c r="C105" s="36">
        <v>1504699</v>
      </c>
      <c r="D105" s="36">
        <v>910970</v>
      </c>
      <c r="E105" s="36">
        <v>339479</v>
      </c>
      <c r="F105" s="36">
        <v>2641740</v>
      </c>
      <c r="G105" s="36" t="s">
        <v>796</v>
      </c>
      <c r="H105" s="36">
        <v>770431</v>
      </c>
      <c r="I105" s="36">
        <v>770431</v>
      </c>
      <c r="J105" s="36" t="s">
        <v>796</v>
      </c>
      <c r="K105" s="36">
        <v>171370</v>
      </c>
      <c r="L105" s="36">
        <v>470080</v>
      </c>
      <c r="M105" s="36">
        <v>394502</v>
      </c>
      <c r="N105" s="36">
        <v>75578</v>
      </c>
      <c r="O105" s="36" t="s">
        <v>796</v>
      </c>
      <c r="P105" s="36" t="s">
        <v>796</v>
      </c>
      <c r="Q105" s="36" t="s">
        <v>796</v>
      </c>
      <c r="R105" s="38" t="s">
        <v>842</v>
      </c>
      <c r="S105" s="35"/>
      <c r="T105" s="35"/>
      <c r="U105" s="35"/>
      <c r="V105" s="35"/>
      <c r="W105" s="35"/>
      <c r="X105" s="35"/>
      <c r="Y105" s="35"/>
    </row>
    <row r="106" spans="1:25" s="36" customFormat="1" ht="10.5" customHeight="1" x14ac:dyDescent="0.15">
      <c r="A106" s="448" t="s">
        <v>573</v>
      </c>
      <c r="B106" s="36">
        <v>4905638</v>
      </c>
      <c r="C106" s="36">
        <v>2184274</v>
      </c>
      <c r="D106" s="36">
        <v>748229</v>
      </c>
      <c r="E106" s="36">
        <v>325928</v>
      </c>
      <c r="F106" s="36">
        <v>1647207</v>
      </c>
      <c r="G106" s="36" t="s">
        <v>796</v>
      </c>
      <c r="H106" s="36">
        <v>606658</v>
      </c>
      <c r="I106" s="36">
        <v>606658</v>
      </c>
      <c r="J106" s="36" t="s">
        <v>796</v>
      </c>
      <c r="K106" s="36">
        <v>74470</v>
      </c>
      <c r="L106" s="36">
        <v>477651</v>
      </c>
      <c r="M106" s="36">
        <v>243400</v>
      </c>
      <c r="N106" s="36">
        <v>155327</v>
      </c>
      <c r="O106" s="36">
        <v>78924</v>
      </c>
      <c r="P106" s="36" t="s">
        <v>796</v>
      </c>
      <c r="Q106" s="36" t="s">
        <v>796</v>
      </c>
      <c r="R106" s="38" t="s">
        <v>66</v>
      </c>
      <c r="S106" s="35"/>
      <c r="T106" s="35"/>
      <c r="U106" s="35"/>
      <c r="V106" s="35"/>
      <c r="W106" s="35"/>
      <c r="X106" s="35"/>
      <c r="Y106" s="35"/>
    </row>
    <row r="107" spans="1:25" s="36" customFormat="1" ht="10.5" customHeight="1" x14ac:dyDescent="0.15">
      <c r="A107" s="519" t="s">
        <v>574</v>
      </c>
      <c r="B107" s="523">
        <v>4910631</v>
      </c>
      <c r="C107" s="524">
        <v>1667414</v>
      </c>
      <c r="D107" s="524">
        <v>893995</v>
      </c>
      <c r="E107" s="524">
        <v>339918</v>
      </c>
      <c r="F107" s="524">
        <v>1841659</v>
      </c>
      <c r="G107" s="524">
        <v>167645</v>
      </c>
      <c r="H107" s="524">
        <v>831447</v>
      </c>
      <c r="I107" s="524">
        <v>831447</v>
      </c>
      <c r="J107" s="524" t="s">
        <v>796</v>
      </c>
      <c r="K107" s="524">
        <v>72299</v>
      </c>
      <c r="L107" s="524">
        <v>686309</v>
      </c>
      <c r="M107" s="524">
        <v>166035</v>
      </c>
      <c r="N107" s="524">
        <v>311434</v>
      </c>
      <c r="O107" s="524">
        <v>208840</v>
      </c>
      <c r="P107" s="524" t="s">
        <v>796</v>
      </c>
      <c r="Q107" s="524" t="s">
        <v>796</v>
      </c>
      <c r="R107" s="525" t="s">
        <v>67</v>
      </c>
      <c r="S107" s="35"/>
      <c r="T107" s="35"/>
      <c r="U107" s="35"/>
      <c r="V107" s="35"/>
      <c r="W107" s="35"/>
      <c r="X107" s="35"/>
      <c r="Y107" s="35"/>
    </row>
    <row r="108" spans="1:25" ht="23.25" customHeight="1" x14ac:dyDescent="0.25">
      <c r="I108" s="40" t="s">
        <v>86</v>
      </c>
    </row>
    <row r="109" spans="1:25" s="17" customFormat="1" ht="11.25" customHeight="1" x14ac:dyDescent="0.15">
      <c r="A109" s="655"/>
      <c r="B109" s="666" t="s">
        <v>87</v>
      </c>
      <c r="C109" s="658"/>
      <c r="D109" s="658"/>
      <c r="E109" s="658"/>
      <c r="F109" s="658"/>
      <c r="G109" s="658"/>
      <c r="H109" s="658"/>
      <c r="I109" s="658"/>
      <c r="J109" s="658"/>
      <c r="K109" s="658"/>
      <c r="L109" s="655"/>
      <c r="M109" s="657"/>
      <c r="N109" s="658"/>
      <c r="O109" s="658"/>
      <c r="P109" s="658"/>
      <c r="Q109" s="658"/>
      <c r="R109" s="1003" t="s">
        <v>72</v>
      </c>
      <c r="S109" s="16"/>
      <c r="T109" s="16"/>
      <c r="U109" s="16"/>
      <c r="V109" s="16"/>
      <c r="W109" s="16"/>
      <c r="X109" s="16"/>
      <c r="Y109" s="16"/>
    </row>
    <row r="110" spans="1:25" s="34" customFormat="1" ht="28.5" customHeight="1" x14ac:dyDescent="0.15">
      <c r="A110" s="24" t="s">
        <v>153</v>
      </c>
      <c r="B110" s="659" t="s">
        <v>124</v>
      </c>
      <c r="C110" s="661"/>
      <c r="D110" s="662"/>
      <c r="E110" s="659" t="s">
        <v>125</v>
      </c>
      <c r="F110" s="661"/>
      <c r="G110" s="661"/>
      <c r="H110" s="661"/>
      <c r="I110" s="661"/>
      <c r="J110" s="661"/>
      <c r="K110" s="661"/>
      <c r="L110" s="662"/>
      <c r="M110" s="14" t="s">
        <v>89</v>
      </c>
      <c r="N110" s="660" t="s">
        <v>857</v>
      </c>
      <c r="O110" s="659" t="s">
        <v>136</v>
      </c>
      <c r="P110" s="661"/>
      <c r="Q110" s="661"/>
      <c r="R110" s="1004"/>
      <c r="S110" s="13"/>
      <c r="T110" s="13"/>
      <c r="U110" s="13"/>
      <c r="V110" s="13"/>
      <c r="W110" s="13"/>
      <c r="X110" s="13"/>
      <c r="Y110" s="13"/>
    </row>
    <row r="111" spans="1:25" s="34" customFormat="1" ht="28.5" customHeight="1" x14ac:dyDescent="0.15">
      <c r="A111" s="24"/>
      <c r="B111" s="14" t="s">
        <v>32</v>
      </c>
      <c r="C111" s="660" t="s">
        <v>128</v>
      </c>
      <c r="D111" s="660" t="s">
        <v>157</v>
      </c>
      <c r="E111" s="14" t="s">
        <v>129</v>
      </c>
      <c r="F111" s="660" t="s">
        <v>130</v>
      </c>
      <c r="G111" s="660" t="s">
        <v>132</v>
      </c>
      <c r="H111" s="660" t="s">
        <v>858</v>
      </c>
      <c r="I111" s="660" t="s">
        <v>133</v>
      </c>
      <c r="J111" s="660" t="s">
        <v>134</v>
      </c>
      <c r="K111" s="660" t="s">
        <v>387</v>
      </c>
      <c r="L111" s="660" t="s">
        <v>395</v>
      </c>
      <c r="M111" s="14" t="s">
        <v>94</v>
      </c>
      <c r="N111" s="660" t="s">
        <v>135</v>
      </c>
      <c r="O111" s="14" t="s">
        <v>58</v>
      </c>
      <c r="P111" s="660" t="s">
        <v>138</v>
      </c>
      <c r="Q111" s="659" t="s">
        <v>139</v>
      </c>
      <c r="R111" s="1004"/>
      <c r="S111" s="13"/>
      <c r="T111" s="13"/>
      <c r="U111" s="13"/>
      <c r="V111" s="13"/>
      <c r="W111" s="13"/>
      <c r="X111" s="13"/>
      <c r="Y111" s="13"/>
    </row>
    <row r="112" spans="1:25" s="34" customFormat="1" ht="12" customHeight="1" x14ac:dyDescent="0.15">
      <c r="A112" s="526"/>
      <c r="B112" s="15"/>
      <c r="C112" s="15" t="str">
        <f>PROPER("OMAN")</f>
        <v>Oman</v>
      </c>
      <c r="D112" s="15" t="str">
        <f>PROPER("WESTBUKH")</f>
        <v>Westbukh</v>
      </c>
      <c r="E112" s="15"/>
      <c r="F112" s="15" t="str">
        <f>PROPER("MURBAN")</f>
        <v>Murban</v>
      </c>
      <c r="G112" s="15" t="str">
        <f>PROPER("DUBAI")</f>
        <v>Dubai</v>
      </c>
      <c r="H112" s="15" t="str">
        <f>PROPER("SHARJA-C")</f>
        <v>Sharja-C</v>
      </c>
      <c r="I112" s="15" t="str">
        <f>PROPER("U-ZAKUM")</f>
        <v>U-Zakum</v>
      </c>
      <c r="J112" s="15" t="str">
        <f>PROPER("DAS")</f>
        <v>Das</v>
      </c>
      <c r="K112" s="15" t="str">
        <f>PROPER("MUBARRAZ")</f>
        <v>Mubarraz</v>
      </c>
      <c r="L112" s="15" t="str">
        <f>PROPER("UMM-LULU")</f>
        <v>Umm-Lulu</v>
      </c>
      <c r="M112" s="15"/>
      <c r="N112" s="15" t="str">
        <f>PROPER("FORTIES")</f>
        <v>Forties</v>
      </c>
      <c r="O112" s="15"/>
      <c r="P112" s="15" t="str">
        <f>PROPER("SOKOL")</f>
        <v>Sokol</v>
      </c>
      <c r="Q112" s="522" t="str">
        <f>PROPER("ESPO-B")</f>
        <v>Espo-B</v>
      </c>
      <c r="R112" s="1005"/>
      <c r="S112" s="13"/>
      <c r="T112" s="13"/>
      <c r="U112" s="13"/>
      <c r="V112" s="13"/>
      <c r="W112" s="13"/>
      <c r="X112" s="13"/>
      <c r="Y112" s="13"/>
    </row>
    <row r="113" spans="1:25" s="36" customFormat="1" ht="10.5" customHeight="1" x14ac:dyDescent="0.15">
      <c r="A113" s="645" t="s">
        <v>831</v>
      </c>
      <c r="B113" s="663">
        <v>668065</v>
      </c>
      <c r="C113" s="664">
        <v>668065</v>
      </c>
      <c r="D113" s="664" t="s">
        <v>796</v>
      </c>
      <c r="E113" s="664">
        <v>46298758</v>
      </c>
      <c r="F113" s="664">
        <v>18924462</v>
      </c>
      <c r="G113" s="664">
        <v>1426156</v>
      </c>
      <c r="H113" s="664" t="s">
        <v>796</v>
      </c>
      <c r="I113" s="664">
        <v>6887720</v>
      </c>
      <c r="J113" s="664">
        <v>16584724</v>
      </c>
      <c r="K113" s="664">
        <v>1929409</v>
      </c>
      <c r="L113" s="664">
        <v>546287</v>
      </c>
      <c r="M113" s="664">
        <v>4942885</v>
      </c>
      <c r="N113" s="664" t="s">
        <v>796</v>
      </c>
      <c r="O113" s="664">
        <v>4942885</v>
      </c>
      <c r="P113" s="664">
        <v>2012019</v>
      </c>
      <c r="Q113" s="664">
        <v>2241690</v>
      </c>
      <c r="R113" s="665" t="s">
        <v>517</v>
      </c>
      <c r="S113" s="35"/>
      <c r="T113" s="35"/>
      <c r="U113" s="35"/>
      <c r="V113" s="35"/>
      <c r="W113" s="35"/>
      <c r="X113" s="35"/>
      <c r="Y113" s="35"/>
    </row>
    <row r="114" spans="1:25" s="36" customFormat="1" ht="10.5" customHeight="1" x14ac:dyDescent="0.15">
      <c r="A114" s="448" t="s">
        <v>557</v>
      </c>
      <c r="B114" s="36">
        <v>825144</v>
      </c>
      <c r="C114" s="36">
        <v>774331</v>
      </c>
      <c r="D114" s="36">
        <v>50813</v>
      </c>
      <c r="E114" s="36">
        <v>50636882</v>
      </c>
      <c r="F114" s="36">
        <v>26829061</v>
      </c>
      <c r="G114" s="36">
        <v>951338</v>
      </c>
      <c r="H114" s="36">
        <v>37026</v>
      </c>
      <c r="I114" s="36">
        <v>4907013</v>
      </c>
      <c r="J114" s="36">
        <v>14742070</v>
      </c>
      <c r="K114" s="36">
        <v>1893490</v>
      </c>
      <c r="L114" s="36">
        <v>1276884</v>
      </c>
      <c r="M114" s="36">
        <v>5183041</v>
      </c>
      <c r="N114" s="36">
        <v>10</v>
      </c>
      <c r="O114" s="36">
        <v>5183031</v>
      </c>
      <c r="P114" s="36">
        <v>1797812</v>
      </c>
      <c r="Q114" s="36">
        <v>2932700</v>
      </c>
      <c r="R114" s="38" t="s">
        <v>558</v>
      </c>
      <c r="S114" s="35"/>
      <c r="T114" s="35"/>
      <c r="U114" s="35"/>
      <c r="V114" s="35"/>
      <c r="W114" s="35"/>
      <c r="X114" s="35"/>
      <c r="Y114" s="35"/>
    </row>
    <row r="115" spans="1:25" s="36" customFormat="1" ht="10.5" customHeight="1" x14ac:dyDescent="0.15">
      <c r="A115" s="448" t="s">
        <v>682</v>
      </c>
      <c r="B115" s="36">
        <v>1775320</v>
      </c>
      <c r="C115" s="36">
        <v>1775320</v>
      </c>
      <c r="D115" s="36" t="s">
        <v>796</v>
      </c>
      <c r="E115" s="36">
        <v>60196846</v>
      </c>
      <c r="F115" s="36">
        <v>29806500</v>
      </c>
      <c r="G115" s="36">
        <v>1000220</v>
      </c>
      <c r="H115" s="36" t="s">
        <v>796</v>
      </c>
      <c r="I115" s="36">
        <v>8696476</v>
      </c>
      <c r="J115" s="36">
        <v>17446434</v>
      </c>
      <c r="K115" s="36">
        <v>1677941</v>
      </c>
      <c r="L115" s="36">
        <v>1569275</v>
      </c>
      <c r="M115" s="36">
        <v>2062879</v>
      </c>
      <c r="N115" s="36" t="s">
        <v>796</v>
      </c>
      <c r="O115" s="36">
        <v>2062879</v>
      </c>
      <c r="P115" s="36">
        <v>560379</v>
      </c>
      <c r="Q115" s="36">
        <v>1174561</v>
      </c>
      <c r="R115" s="38" t="s">
        <v>683</v>
      </c>
      <c r="S115" s="35"/>
      <c r="T115" s="35"/>
      <c r="U115" s="35"/>
      <c r="V115" s="35"/>
      <c r="W115" s="35"/>
      <c r="X115" s="35"/>
      <c r="Y115" s="35"/>
    </row>
    <row r="116" spans="1:25" s="36" customFormat="1" ht="10.5" customHeight="1" x14ac:dyDescent="0.15">
      <c r="A116" s="448" t="s">
        <v>784</v>
      </c>
      <c r="B116" s="36">
        <v>1749174</v>
      </c>
      <c r="C116" s="36">
        <v>1749174</v>
      </c>
      <c r="D116" s="36" t="s">
        <v>796</v>
      </c>
      <c r="E116" s="36">
        <v>57535001</v>
      </c>
      <c r="F116" s="36">
        <v>29903586</v>
      </c>
      <c r="G116" s="36">
        <v>820559</v>
      </c>
      <c r="H116" s="36" t="s">
        <v>796</v>
      </c>
      <c r="I116" s="36">
        <v>4467968</v>
      </c>
      <c r="J116" s="36">
        <v>19076482</v>
      </c>
      <c r="K116" s="36">
        <v>1611032</v>
      </c>
      <c r="L116" s="36">
        <v>1655374</v>
      </c>
      <c r="M116" s="36">
        <v>118876</v>
      </c>
      <c r="N116" s="36" t="s">
        <v>796</v>
      </c>
      <c r="O116" s="36">
        <v>118876</v>
      </c>
      <c r="P116" s="36" t="s">
        <v>796</v>
      </c>
      <c r="Q116" s="36" t="s">
        <v>796</v>
      </c>
      <c r="R116" s="38" t="s">
        <v>785</v>
      </c>
      <c r="S116" s="35"/>
      <c r="T116" s="35"/>
      <c r="U116" s="35"/>
      <c r="V116" s="35"/>
      <c r="W116" s="35"/>
      <c r="X116" s="35"/>
      <c r="Y116" s="35"/>
    </row>
    <row r="117" spans="1:25" s="36" customFormat="1" ht="10.5" customHeight="1" x14ac:dyDescent="0.15">
      <c r="A117" s="448" t="s">
        <v>832</v>
      </c>
      <c r="B117" s="36">
        <v>784067</v>
      </c>
      <c r="C117" s="36">
        <v>784067</v>
      </c>
      <c r="D117" s="36" t="s">
        <v>796</v>
      </c>
      <c r="E117" s="36">
        <v>59795687</v>
      </c>
      <c r="F117" s="36">
        <v>32266996</v>
      </c>
      <c r="G117" s="36">
        <v>158240</v>
      </c>
      <c r="H117" s="36" t="s">
        <v>796</v>
      </c>
      <c r="I117" s="36">
        <v>2535524</v>
      </c>
      <c r="J117" s="36">
        <v>22257456</v>
      </c>
      <c r="K117" s="36">
        <v>1725325</v>
      </c>
      <c r="L117" s="36">
        <v>852146</v>
      </c>
      <c r="M117" s="36" t="s">
        <v>796</v>
      </c>
      <c r="N117" s="36" t="s">
        <v>796</v>
      </c>
      <c r="O117" s="36" t="s">
        <v>796</v>
      </c>
      <c r="P117" s="36" t="s">
        <v>796</v>
      </c>
      <c r="Q117" s="36" t="s">
        <v>796</v>
      </c>
      <c r="R117" s="38" t="s">
        <v>833</v>
      </c>
      <c r="S117" s="35"/>
      <c r="T117" s="35"/>
      <c r="U117" s="35"/>
      <c r="V117" s="35"/>
      <c r="W117" s="35"/>
      <c r="X117" s="35"/>
      <c r="Y117" s="35"/>
    </row>
    <row r="118" spans="1:25" s="36" customFormat="1" ht="10.5" customHeight="1" x14ac:dyDescent="0.15">
      <c r="A118" s="464"/>
      <c r="R118" s="38"/>
      <c r="S118" s="35"/>
      <c r="T118" s="35"/>
      <c r="U118" s="35"/>
      <c r="V118" s="35"/>
      <c r="W118" s="35"/>
      <c r="X118" s="35"/>
      <c r="Y118" s="35"/>
    </row>
    <row r="119" spans="1:25" s="36" customFormat="1" ht="10.5" customHeight="1" x14ac:dyDescent="0.15">
      <c r="A119" s="448" t="s">
        <v>834</v>
      </c>
      <c r="B119" s="36">
        <v>1590180</v>
      </c>
      <c r="C119" s="36">
        <v>1590180</v>
      </c>
      <c r="D119" s="36" t="s">
        <v>796</v>
      </c>
      <c r="E119" s="36">
        <v>59221947</v>
      </c>
      <c r="F119" s="36">
        <v>30327814</v>
      </c>
      <c r="G119" s="36">
        <v>632833</v>
      </c>
      <c r="H119" s="36" t="s">
        <v>796</v>
      </c>
      <c r="I119" s="36">
        <v>3893323</v>
      </c>
      <c r="J119" s="36">
        <v>21072515</v>
      </c>
      <c r="K119" s="36">
        <v>1721341</v>
      </c>
      <c r="L119" s="36">
        <v>1574121</v>
      </c>
      <c r="M119" s="36" t="s">
        <v>796</v>
      </c>
      <c r="N119" s="36" t="s">
        <v>796</v>
      </c>
      <c r="O119" s="36" t="s">
        <v>796</v>
      </c>
      <c r="P119" s="36" t="s">
        <v>796</v>
      </c>
      <c r="Q119" s="36" t="s">
        <v>796</v>
      </c>
      <c r="R119" s="38" t="s">
        <v>786</v>
      </c>
      <c r="S119" s="35"/>
      <c r="T119" s="35"/>
      <c r="U119" s="35"/>
      <c r="V119" s="35"/>
      <c r="W119" s="35"/>
      <c r="X119" s="35"/>
      <c r="Y119" s="35"/>
    </row>
    <row r="120" spans="1:25" s="36" customFormat="1" ht="10.5" customHeight="1" x14ac:dyDescent="0.15">
      <c r="A120" s="448" t="s">
        <v>835</v>
      </c>
      <c r="B120" s="36">
        <v>1370994</v>
      </c>
      <c r="C120" s="36">
        <v>1370994</v>
      </c>
      <c r="D120" s="36" t="s">
        <v>796</v>
      </c>
      <c r="E120" s="36">
        <v>59480281</v>
      </c>
      <c r="F120" s="36">
        <v>32758245</v>
      </c>
      <c r="G120" s="36">
        <v>396195</v>
      </c>
      <c r="H120" s="36" t="s">
        <v>796</v>
      </c>
      <c r="I120" s="36">
        <v>2097362</v>
      </c>
      <c r="J120" s="36">
        <v>21858166</v>
      </c>
      <c r="K120" s="36">
        <v>1763966</v>
      </c>
      <c r="L120" s="36">
        <v>606347</v>
      </c>
      <c r="M120" s="36" t="s">
        <v>796</v>
      </c>
      <c r="N120" s="36" t="s">
        <v>796</v>
      </c>
      <c r="O120" s="36" t="s">
        <v>796</v>
      </c>
      <c r="P120" s="36" t="s">
        <v>796</v>
      </c>
      <c r="Q120" s="36" t="s">
        <v>796</v>
      </c>
      <c r="R120" s="38" t="s">
        <v>836</v>
      </c>
      <c r="S120" s="35"/>
      <c r="T120" s="35"/>
      <c r="U120" s="35"/>
      <c r="V120" s="35"/>
      <c r="W120" s="35"/>
      <c r="X120" s="35"/>
      <c r="Y120" s="35"/>
    </row>
    <row r="121" spans="1:25" s="36" customFormat="1" ht="10.5" customHeight="1" x14ac:dyDescent="0.15">
      <c r="A121" s="464"/>
      <c r="R121" s="38"/>
      <c r="S121" s="35"/>
      <c r="T121" s="35"/>
      <c r="U121" s="35"/>
      <c r="V121" s="35"/>
      <c r="W121" s="35"/>
      <c r="X121" s="35"/>
      <c r="Y121" s="35"/>
    </row>
    <row r="122" spans="1:25" s="36" customFormat="1" ht="10.5" customHeight="1" x14ac:dyDescent="0.15">
      <c r="A122" s="448" t="s">
        <v>837</v>
      </c>
      <c r="B122" s="36">
        <v>237553</v>
      </c>
      <c r="C122" s="36">
        <v>237553</v>
      </c>
      <c r="D122" s="36" t="s">
        <v>796</v>
      </c>
      <c r="E122" s="36">
        <v>15185276</v>
      </c>
      <c r="F122" s="36">
        <v>7281177</v>
      </c>
      <c r="G122" s="36">
        <v>79164</v>
      </c>
      <c r="H122" s="36" t="s">
        <v>796</v>
      </c>
      <c r="I122" s="36">
        <v>908110</v>
      </c>
      <c r="J122" s="36">
        <v>6044000</v>
      </c>
      <c r="K122" s="36">
        <v>516841</v>
      </c>
      <c r="L122" s="36">
        <v>355984</v>
      </c>
      <c r="M122" s="36" t="s">
        <v>796</v>
      </c>
      <c r="N122" s="36" t="s">
        <v>796</v>
      </c>
      <c r="O122" s="36" t="s">
        <v>796</v>
      </c>
      <c r="P122" s="36" t="s">
        <v>796</v>
      </c>
      <c r="Q122" s="36" t="s">
        <v>796</v>
      </c>
      <c r="R122" s="38" t="s">
        <v>787</v>
      </c>
      <c r="S122" s="35"/>
      <c r="T122" s="35"/>
      <c r="U122" s="35"/>
      <c r="V122" s="35"/>
      <c r="W122" s="35"/>
      <c r="X122" s="35"/>
      <c r="Y122" s="35"/>
    </row>
    <row r="123" spans="1:25" s="36" customFormat="1" ht="10.5" customHeight="1" x14ac:dyDescent="0.15">
      <c r="A123" s="448" t="s">
        <v>559</v>
      </c>
      <c r="B123" s="36">
        <v>158013</v>
      </c>
      <c r="C123" s="36">
        <v>158013</v>
      </c>
      <c r="D123" s="36" t="s">
        <v>796</v>
      </c>
      <c r="E123" s="36">
        <v>14585664</v>
      </c>
      <c r="F123" s="36">
        <v>8560098</v>
      </c>
      <c r="G123" s="36" t="s">
        <v>796</v>
      </c>
      <c r="H123" s="36" t="s">
        <v>796</v>
      </c>
      <c r="I123" s="36">
        <v>649191</v>
      </c>
      <c r="J123" s="36">
        <v>4910443</v>
      </c>
      <c r="K123" s="36">
        <v>395400</v>
      </c>
      <c r="L123" s="36">
        <v>70532</v>
      </c>
      <c r="M123" s="36" t="s">
        <v>796</v>
      </c>
      <c r="N123" s="36" t="s">
        <v>796</v>
      </c>
      <c r="O123" s="36" t="s">
        <v>796</v>
      </c>
      <c r="P123" s="36" t="s">
        <v>796</v>
      </c>
      <c r="Q123" s="36" t="s">
        <v>796</v>
      </c>
      <c r="R123" s="38" t="s">
        <v>78</v>
      </c>
      <c r="S123" s="35"/>
      <c r="T123" s="35"/>
      <c r="U123" s="35"/>
      <c r="V123" s="35"/>
      <c r="W123" s="35"/>
      <c r="X123" s="35"/>
      <c r="Y123" s="35"/>
    </row>
    <row r="124" spans="1:25" s="36" customFormat="1" ht="10.5" customHeight="1" x14ac:dyDescent="0.15">
      <c r="A124" s="448" t="s">
        <v>560</v>
      </c>
      <c r="B124" s="36">
        <v>309306</v>
      </c>
      <c r="C124" s="36">
        <v>309306</v>
      </c>
      <c r="D124" s="36" t="s">
        <v>796</v>
      </c>
      <c r="E124" s="36">
        <v>14954646</v>
      </c>
      <c r="F124" s="36">
        <v>8315022</v>
      </c>
      <c r="G124" s="36" t="s">
        <v>796</v>
      </c>
      <c r="H124" s="36" t="s">
        <v>796</v>
      </c>
      <c r="I124" s="36">
        <v>569453</v>
      </c>
      <c r="J124" s="36">
        <v>5559767</v>
      </c>
      <c r="K124" s="36">
        <v>400533</v>
      </c>
      <c r="L124" s="36">
        <v>109871</v>
      </c>
      <c r="M124" s="36" t="s">
        <v>796</v>
      </c>
      <c r="N124" s="36" t="s">
        <v>796</v>
      </c>
      <c r="O124" s="36" t="s">
        <v>796</v>
      </c>
      <c r="P124" s="36" t="s">
        <v>796</v>
      </c>
      <c r="Q124" s="36" t="s">
        <v>796</v>
      </c>
      <c r="R124" s="38" t="s">
        <v>79</v>
      </c>
      <c r="S124" s="35"/>
      <c r="T124" s="35"/>
      <c r="U124" s="35"/>
      <c r="V124" s="35"/>
      <c r="W124" s="35"/>
      <c r="X124" s="35"/>
      <c r="Y124" s="35"/>
    </row>
    <row r="125" spans="1:25" s="36" customFormat="1" ht="10.5" customHeight="1" x14ac:dyDescent="0.15">
      <c r="A125" s="448" t="s">
        <v>561</v>
      </c>
      <c r="B125" s="36">
        <v>79195</v>
      </c>
      <c r="C125" s="36">
        <v>79195</v>
      </c>
      <c r="D125" s="36" t="s">
        <v>796</v>
      </c>
      <c r="E125" s="36">
        <v>15070101</v>
      </c>
      <c r="F125" s="36">
        <v>8110699</v>
      </c>
      <c r="G125" s="36">
        <v>79076</v>
      </c>
      <c r="H125" s="36" t="s">
        <v>796</v>
      </c>
      <c r="I125" s="36">
        <v>408770</v>
      </c>
      <c r="J125" s="36">
        <v>5743246</v>
      </c>
      <c r="K125" s="36">
        <v>412551</v>
      </c>
      <c r="L125" s="36">
        <v>315759</v>
      </c>
      <c r="M125" s="36" t="s">
        <v>796</v>
      </c>
      <c r="N125" s="36" t="s">
        <v>796</v>
      </c>
      <c r="O125" s="36" t="s">
        <v>796</v>
      </c>
      <c r="P125" s="36" t="s">
        <v>796</v>
      </c>
      <c r="Q125" s="36" t="s">
        <v>796</v>
      </c>
      <c r="R125" s="38" t="s">
        <v>80</v>
      </c>
      <c r="S125" s="35"/>
      <c r="T125" s="35"/>
      <c r="U125" s="35"/>
      <c r="V125" s="35"/>
      <c r="W125" s="35"/>
      <c r="X125" s="35"/>
      <c r="Y125" s="35"/>
    </row>
    <row r="126" spans="1:25" s="36" customFormat="1" ht="10.5" customHeight="1" x14ac:dyDescent="0.15">
      <c r="A126" s="448" t="s">
        <v>838</v>
      </c>
      <c r="B126" s="36">
        <v>824480</v>
      </c>
      <c r="C126" s="36">
        <v>824480</v>
      </c>
      <c r="D126" s="36" t="s">
        <v>796</v>
      </c>
      <c r="E126" s="36">
        <v>14869870</v>
      </c>
      <c r="F126" s="36">
        <v>7772426</v>
      </c>
      <c r="G126" s="36">
        <v>317119</v>
      </c>
      <c r="H126" s="36" t="s">
        <v>796</v>
      </c>
      <c r="I126" s="36">
        <v>469948</v>
      </c>
      <c r="J126" s="36">
        <v>5644710</v>
      </c>
      <c r="K126" s="36">
        <v>555482</v>
      </c>
      <c r="L126" s="36">
        <v>110185</v>
      </c>
      <c r="M126" s="36" t="s">
        <v>796</v>
      </c>
      <c r="N126" s="36" t="s">
        <v>796</v>
      </c>
      <c r="O126" s="36" t="s">
        <v>796</v>
      </c>
      <c r="P126" s="36" t="s">
        <v>796</v>
      </c>
      <c r="Q126" s="36" t="s">
        <v>796</v>
      </c>
      <c r="R126" s="38" t="s">
        <v>839</v>
      </c>
      <c r="S126" s="35"/>
      <c r="T126" s="35"/>
      <c r="U126" s="35"/>
      <c r="V126" s="35"/>
      <c r="W126" s="35"/>
      <c r="X126" s="35"/>
      <c r="Y126" s="35"/>
    </row>
    <row r="127" spans="1:25" s="36" customFormat="1" ht="10.5" customHeight="1" x14ac:dyDescent="0.15">
      <c r="A127" s="464"/>
      <c r="R127" s="38"/>
      <c r="S127" s="35"/>
      <c r="T127" s="35"/>
      <c r="U127" s="35"/>
      <c r="V127" s="35"/>
      <c r="W127" s="35"/>
      <c r="X127" s="35"/>
      <c r="Y127" s="35"/>
    </row>
    <row r="128" spans="1:25" s="36" customFormat="1" ht="10.5" customHeight="1" x14ac:dyDescent="0.15">
      <c r="A128" s="448" t="s">
        <v>840</v>
      </c>
      <c r="B128" s="36">
        <v>79124</v>
      </c>
      <c r="C128" s="36">
        <v>79124</v>
      </c>
      <c r="D128" s="36" t="s">
        <v>796</v>
      </c>
      <c r="E128" s="36">
        <v>5013758</v>
      </c>
      <c r="F128" s="36">
        <v>2068665</v>
      </c>
      <c r="G128" s="36">
        <v>79164</v>
      </c>
      <c r="H128" s="36" t="s">
        <v>796</v>
      </c>
      <c r="I128" s="36">
        <v>480687</v>
      </c>
      <c r="J128" s="36">
        <v>2110206</v>
      </c>
      <c r="K128" s="36">
        <v>244981</v>
      </c>
      <c r="L128" s="36">
        <v>30055</v>
      </c>
      <c r="M128" s="36" t="s">
        <v>796</v>
      </c>
      <c r="N128" s="36" t="s">
        <v>796</v>
      </c>
      <c r="O128" s="36" t="s">
        <v>796</v>
      </c>
      <c r="P128" s="36" t="s">
        <v>796</v>
      </c>
      <c r="Q128" s="36" t="s">
        <v>796</v>
      </c>
      <c r="R128" s="38" t="s">
        <v>788</v>
      </c>
      <c r="S128" s="35"/>
      <c r="T128" s="35"/>
      <c r="U128" s="35"/>
      <c r="V128" s="35"/>
      <c r="W128" s="35"/>
      <c r="X128" s="35"/>
      <c r="Y128" s="35"/>
    </row>
    <row r="129" spans="1:25" s="36" customFormat="1" ht="10.5" customHeight="1" x14ac:dyDescent="0.15">
      <c r="A129" s="448" t="s">
        <v>562</v>
      </c>
      <c r="B129" s="36">
        <v>148659</v>
      </c>
      <c r="C129" s="36">
        <v>148659</v>
      </c>
      <c r="D129" s="36" t="s">
        <v>796</v>
      </c>
      <c r="E129" s="36">
        <v>4969448</v>
      </c>
      <c r="F129" s="36">
        <v>2784093</v>
      </c>
      <c r="G129" s="36" t="s">
        <v>796</v>
      </c>
      <c r="H129" s="36" t="s">
        <v>796</v>
      </c>
      <c r="I129" s="36">
        <v>174081</v>
      </c>
      <c r="J129" s="36">
        <v>1762334</v>
      </c>
      <c r="K129" s="36">
        <v>69194</v>
      </c>
      <c r="L129" s="36">
        <v>179746</v>
      </c>
      <c r="M129" s="36" t="s">
        <v>796</v>
      </c>
      <c r="N129" s="36" t="s">
        <v>796</v>
      </c>
      <c r="O129" s="36" t="s">
        <v>796</v>
      </c>
      <c r="P129" s="36" t="s">
        <v>796</v>
      </c>
      <c r="Q129" s="36" t="s">
        <v>796</v>
      </c>
      <c r="R129" s="38" t="s">
        <v>66</v>
      </c>
      <c r="S129" s="35"/>
      <c r="T129" s="35"/>
      <c r="U129" s="35"/>
      <c r="V129" s="35"/>
      <c r="W129" s="35"/>
      <c r="X129" s="35"/>
      <c r="Y129" s="35"/>
    </row>
    <row r="130" spans="1:25" s="36" customFormat="1" ht="10.5" customHeight="1" x14ac:dyDescent="0.15">
      <c r="A130" s="448" t="s">
        <v>563</v>
      </c>
      <c r="B130" s="36">
        <v>9770</v>
      </c>
      <c r="C130" s="36">
        <v>9770</v>
      </c>
      <c r="D130" s="36" t="s">
        <v>796</v>
      </c>
      <c r="E130" s="36">
        <v>5202070</v>
      </c>
      <c r="F130" s="36">
        <v>2428419</v>
      </c>
      <c r="G130" s="36" t="s">
        <v>796</v>
      </c>
      <c r="H130" s="36" t="s">
        <v>796</v>
      </c>
      <c r="I130" s="36">
        <v>253342</v>
      </c>
      <c r="J130" s="36">
        <v>2171460</v>
      </c>
      <c r="K130" s="36">
        <v>202666</v>
      </c>
      <c r="L130" s="36">
        <v>146183</v>
      </c>
      <c r="M130" s="36" t="s">
        <v>796</v>
      </c>
      <c r="N130" s="36" t="s">
        <v>796</v>
      </c>
      <c r="O130" s="36" t="s">
        <v>796</v>
      </c>
      <c r="P130" s="36" t="s">
        <v>796</v>
      </c>
      <c r="Q130" s="36" t="s">
        <v>796</v>
      </c>
      <c r="R130" s="38" t="s">
        <v>67</v>
      </c>
      <c r="S130" s="35"/>
      <c r="T130" s="35"/>
      <c r="U130" s="35"/>
      <c r="V130" s="35"/>
      <c r="W130" s="35"/>
      <c r="X130" s="35"/>
      <c r="Y130" s="35"/>
    </row>
    <row r="131" spans="1:25" s="36" customFormat="1" ht="10.5" customHeight="1" x14ac:dyDescent="0.15">
      <c r="A131" s="448" t="s">
        <v>564</v>
      </c>
      <c r="B131" s="36">
        <v>78999</v>
      </c>
      <c r="C131" s="36">
        <v>78999</v>
      </c>
      <c r="D131" s="36" t="s">
        <v>796</v>
      </c>
      <c r="E131" s="36">
        <v>5681701</v>
      </c>
      <c r="F131" s="36">
        <v>3182651</v>
      </c>
      <c r="G131" s="36" t="s">
        <v>796</v>
      </c>
      <c r="H131" s="36" t="s">
        <v>796</v>
      </c>
      <c r="I131" s="36">
        <v>327076</v>
      </c>
      <c r="J131" s="36">
        <v>2135804</v>
      </c>
      <c r="K131" s="36">
        <v>21782</v>
      </c>
      <c r="L131" s="36">
        <v>14388</v>
      </c>
      <c r="M131" s="36" t="s">
        <v>796</v>
      </c>
      <c r="N131" s="36" t="s">
        <v>796</v>
      </c>
      <c r="O131" s="36" t="s">
        <v>796</v>
      </c>
      <c r="P131" s="36" t="s">
        <v>796</v>
      </c>
      <c r="Q131" s="36" t="s">
        <v>796</v>
      </c>
      <c r="R131" s="38" t="s">
        <v>68</v>
      </c>
      <c r="S131" s="35"/>
      <c r="T131" s="35"/>
      <c r="U131" s="35"/>
      <c r="V131" s="35"/>
      <c r="W131" s="35"/>
      <c r="X131" s="35"/>
      <c r="Y131" s="35"/>
    </row>
    <row r="132" spans="1:25" s="36" customFormat="1" ht="10.5" customHeight="1" x14ac:dyDescent="0.15">
      <c r="A132" s="448" t="s">
        <v>565</v>
      </c>
      <c r="B132" s="36" t="s">
        <v>796</v>
      </c>
      <c r="C132" s="36" t="s">
        <v>796</v>
      </c>
      <c r="D132" s="36" t="s">
        <v>796</v>
      </c>
      <c r="E132" s="36">
        <v>4801896</v>
      </c>
      <c r="F132" s="36">
        <v>2747568</v>
      </c>
      <c r="G132" s="36" t="s">
        <v>796</v>
      </c>
      <c r="H132" s="36" t="s">
        <v>796</v>
      </c>
      <c r="I132" s="36">
        <v>159766</v>
      </c>
      <c r="J132" s="36">
        <v>1655166</v>
      </c>
      <c r="K132" s="36">
        <v>230364</v>
      </c>
      <c r="L132" s="36">
        <v>9032</v>
      </c>
      <c r="M132" s="36" t="s">
        <v>796</v>
      </c>
      <c r="N132" s="36" t="s">
        <v>796</v>
      </c>
      <c r="O132" s="36" t="s">
        <v>796</v>
      </c>
      <c r="P132" s="36" t="s">
        <v>796</v>
      </c>
      <c r="Q132" s="36" t="s">
        <v>796</v>
      </c>
      <c r="R132" s="39" t="s">
        <v>81</v>
      </c>
      <c r="S132" s="35"/>
      <c r="T132" s="35"/>
      <c r="U132" s="35"/>
      <c r="V132" s="35"/>
      <c r="W132" s="35"/>
      <c r="X132" s="35"/>
      <c r="Y132" s="35"/>
    </row>
    <row r="133" spans="1:25" s="36" customFormat="1" ht="10.5" customHeight="1" x14ac:dyDescent="0.15">
      <c r="A133" s="448" t="s">
        <v>566</v>
      </c>
      <c r="B133" s="36">
        <v>79014</v>
      </c>
      <c r="C133" s="36">
        <v>79014</v>
      </c>
      <c r="D133" s="36" t="s">
        <v>796</v>
      </c>
      <c r="E133" s="36">
        <v>4102067</v>
      </c>
      <c r="F133" s="36">
        <v>2629879</v>
      </c>
      <c r="G133" s="36" t="s">
        <v>796</v>
      </c>
      <c r="H133" s="36" t="s">
        <v>796</v>
      </c>
      <c r="I133" s="36">
        <v>162349</v>
      </c>
      <c r="J133" s="36">
        <v>1119473</v>
      </c>
      <c r="K133" s="36">
        <v>143254</v>
      </c>
      <c r="L133" s="36">
        <v>47112</v>
      </c>
      <c r="M133" s="36" t="s">
        <v>796</v>
      </c>
      <c r="N133" s="36" t="s">
        <v>796</v>
      </c>
      <c r="O133" s="36" t="s">
        <v>796</v>
      </c>
      <c r="P133" s="36" t="s">
        <v>796</v>
      </c>
      <c r="Q133" s="36" t="s">
        <v>796</v>
      </c>
      <c r="R133" s="38" t="s">
        <v>82</v>
      </c>
      <c r="S133" s="35"/>
      <c r="T133" s="35"/>
      <c r="U133" s="35"/>
      <c r="V133" s="35"/>
      <c r="W133" s="35"/>
      <c r="X133" s="35"/>
      <c r="Y133" s="35"/>
    </row>
    <row r="134" spans="1:25" s="36" customFormat="1" ht="10.5" customHeight="1" x14ac:dyDescent="0.15">
      <c r="A134" s="448" t="s">
        <v>567</v>
      </c>
      <c r="B134" s="36">
        <v>75376</v>
      </c>
      <c r="C134" s="36">
        <v>75376</v>
      </c>
      <c r="D134" s="36" t="s">
        <v>796</v>
      </c>
      <c r="E134" s="36">
        <v>4933068</v>
      </c>
      <c r="F134" s="36">
        <v>2857499</v>
      </c>
      <c r="G134" s="36" t="s">
        <v>796</v>
      </c>
      <c r="H134" s="36" t="s">
        <v>796</v>
      </c>
      <c r="I134" s="36">
        <v>158904</v>
      </c>
      <c r="J134" s="36">
        <v>1773767</v>
      </c>
      <c r="K134" s="36">
        <v>56498</v>
      </c>
      <c r="L134" s="36">
        <v>86400</v>
      </c>
      <c r="M134" s="36" t="s">
        <v>796</v>
      </c>
      <c r="N134" s="36" t="s">
        <v>796</v>
      </c>
      <c r="O134" s="36" t="s">
        <v>796</v>
      </c>
      <c r="P134" s="36" t="s">
        <v>796</v>
      </c>
      <c r="Q134" s="36" t="s">
        <v>796</v>
      </c>
      <c r="R134" s="38" t="s">
        <v>83</v>
      </c>
      <c r="S134" s="35"/>
      <c r="T134" s="35"/>
      <c r="U134" s="35"/>
      <c r="V134" s="35"/>
      <c r="W134" s="35"/>
      <c r="X134" s="35"/>
      <c r="Y134" s="35"/>
    </row>
    <row r="135" spans="1:25" s="36" customFormat="1" ht="10.5" customHeight="1" x14ac:dyDescent="0.15">
      <c r="A135" s="448" t="s">
        <v>568</v>
      </c>
      <c r="B135" s="36">
        <v>154777</v>
      </c>
      <c r="C135" s="36">
        <v>154777</v>
      </c>
      <c r="D135" s="36" t="s">
        <v>796</v>
      </c>
      <c r="E135" s="36">
        <v>5047779</v>
      </c>
      <c r="F135" s="36">
        <v>3038277</v>
      </c>
      <c r="G135" s="36" t="s">
        <v>796</v>
      </c>
      <c r="H135" s="36" t="s">
        <v>796</v>
      </c>
      <c r="I135" s="36">
        <v>160392</v>
      </c>
      <c r="J135" s="36">
        <v>1612396</v>
      </c>
      <c r="K135" s="36">
        <v>213243</v>
      </c>
      <c r="L135" s="36">
        <v>23471</v>
      </c>
      <c r="M135" s="36" t="s">
        <v>796</v>
      </c>
      <c r="N135" s="36" t="s">
        <v>796</v>
      </c>
      <c r="O135" s="36" t="s">
        <v>796</v>
      </c>
      <c r="P135" s="36" t="s">
        <v>796</v>
      </c>
      <c r="Q135" s="36" t="s">
        <v>796</v>
      </c>
      <c r="R135" s="38" t="s">
        <v>84</v>
      </c>
      <c r="S135" s="35"/>
      <c r="T135" s="35"/>
      <c r="U135" s="35"/>
      <c r="V135" s="35"/>
      <c r="W135" s="35"/>
      <c r="X135" s="35"/>
      <c r="Y135" s="35"/>
    </row>
    <row r="136" spans="1:25" s="36" customFormat="1" ht="10.5" customHeight="1" x14ac:dyDescent="0.15">
      <c r="A136" s="448" t="s">
        <v>569</v>
      </c>
      <c r="B136" s="36">
        <v>79153</v>
      </c>
      <c r="C136" s="36">
        <v>79153</v>
      </c>
      <c r="D136" s="36" t="s">
        <v>796</v>
      </c>
      <c r="E136" s="36">
        <v>4973799</v>
      </c>
      <c r="F136" s="36">
        <v>2419246</v>
      </c>
      <c r="G136" s="36" t="s">
        <v>796</v>
      </c>
      <c r="H136" s="36" t="s">
        <v>796</v>
      </c>
      <c r="I136" s="36">
        <v>250157</v>
      </c>
      <c r="J136" s="36">
        <v>2173604</v>
      </c>
      <c r="K136" s="36">
        <v>130792</v>
      </c>
      <c r="L136" s="36" t="s">
        <v>796</v>
      </c>
      <c r="M136" s="36" t="s">
        <v>796</v>
      </c>
      <c r="N136" s="36" t="s">
        <v>796</v>
      </c>
      <c r="O136" s="36" t="s">
        <v>796</v>
      </c>
      <c r="P136" s="36" t="s">
        <v>796</v>
      </c>
      <c r="Q136" s="36" t="s">
        <v>796</v>
      </c>
      <c r="R136" s="38" t="s">
        <v>85</v>
      </c>
      <c r="S136" s="35"/>
      <c r="T136" s="35"/>
      <c r="U136" s="35"/>
      <c r="V136" s="35"/>
      <c r="W136" s="35"/>
      <c r="X136" s="35"/>
      <c r="Y136" s="35"/>
    </row>
    <row r="137" spans="1:25" s="36" customFormat="1" ht="10.5" customHeight="1" x14ac:dyDescent="0.15">
      <c r="A137" s="448" t="s">
        <v>570</v>
      </c>
      <c r="B137" s="36" t="s">
        <v>796</v>
      </c>
      <c r="C137" s="36" t="s">
        <v>796</v>
      </c>
      <c r="D137" s="36" t="s">
        <v>796</v>
      </c>
      <c r="E137" s="36">
        <v>5048433</v>
      </c>
      <c r="F137" s="36">
        <v>2538643</v>
      </c>
      <c r="G137" s="36" t="s">
        <v>796</v>
      </c>
      <c r="H137" s="36" t="s">
        <v>796</v>
      </c>
      <c r="I137" s="36">
        <v>156261</v>
      </c>
      <c r="J137" s="36">
        <v>2052833</v>
      </c>
      <c r="K137" s="36">
        <v>143189</v>
      </c>
      <c r="L137" s="36">
        <v>157507</v>
      </c>
      <c r="M137" s="36" t="s">
        <v>796</v>
      </c>
      <c r="N137" s="36" t="s">
        <v>796</v>
      </c>
      <c r="O137" s="36" t="s">
        <v>796</v>
      </c>
      <c r="P137" s="36" t="s">
        <v>796</v>
      </c>
      <c r="Q137" s="36" t="s">
        <v>796</v>
      </c>
      <c r="R137" s="38" t="s">
        <v>69</v>
      </c>
      <c r="S137" s="35"/>
      <c r="T137" s="35"/>
      <c r="U137" s="35"/>
      <c r="V137" s="35"/>
      <c r="W137" s="35"/>
      <c r="X137" s="35"/>
      <c r="Y137" s="35"/>
    </row>
    <row r="138" spans="1:25" s="36" customFormat="1" ht="10.5" customHeight="1" x14ac:dyDescent="0.15">
      <c r="A138" s="448" t="s">
        <v>571</v>
      </c>
      <c r="B138" s="36" t="s">
        <v>796</v>
      </c>
      <c r="C138" s="36" t="s">
        <v>796</v>
      </c>
      <c r="D138" s="36" t="s">
        <v>796</v>
      </c>
      <c r="E138" s="36">
        <v>4311608</v>
      </c>
      <c r="F138" s="36">
        <v>2050359</v>
      </c>
      <c r="G138" s="36" t="s">
        <v>796</v>
      </c>
      <c r="H138" s="36" t="s">
        <v>796</v>
      </c>
      <c r="I138" s="36">
        <v>176562</v>
      </c>
      <c r="J138" s="36">
        <v>1897136</v>
      </c>
      <c r="K138" s="36">
        <v>126184</v>
      </c>
      <c r="L138" s="36">
        <v>61367</v>
      </c>
      <c r="M138" s="36" t="s">
        <v>796</v>
      </c>
      <c r="N138" s="36" t="s">
        <v>796</v>
      </c>
      <c r="O138" s="36" t="s">
        <v>796</v>
      </c>
      <c r="P138" s="36" t="s">
        <v>796</v>
      </c>
      <c r="Q138" s="36" t="s">
        <v>796</v>
      </c>
      <c r="R138" s="38" t="s">
        <v>70</v>
      </c>
      <c r="S138" s="35"/>
      <c r="T138" s="35"/>
      <c r="U138" s="35"/>
      <c r="V138" s="35"/>
      <c r="W138" s="35"/>
      <c r="X138" s="35"/>
      <c r="Y138" s="35"/>
    </row>
    <row r="139" spans="1:25" s="36" customFormat="1" ht="10.5" customHeight="1" x14ac:dyDescent="0.15">
      <c r="A139" s="448" t="s">
        <v>572</v>
      </c>
      <c r="B139" s="36">
        <v>79195</v>
      </c>
      <c r="C139" s="36">
        <v>79195</v>
      </c>
      <c r="D139" s="36" t="s">
        <v>796</v>
      </c>
      <c r="E139" s="36">
        <v>5710060</v>
      </c>
      <c r="F139" s="36">
        <v>3521697</v>
      </c>
      <c r="G139" s="36">
        <v>79076</v>
      </c>
      <c r="H139" s="36" t="s">
        <v>796</v>
      </c>
      <c r="I139" s="36">
        <v>75947</v>
      </c>
      <c r="J139" s="36">
        <v>1793277</v>
      </c>
      <c r="K139" s="36">
        <v>143178</v>
      </c>
      <c r="L139" s="36">
        <v>96885</v>
      </c>
      <c r="M139" s="36" t="s">
        <v>796</v>
      </c>
      <c r="N139" s="36" t="s">
        <v>796</v>
      </c>
      <c r="O139" s="36" t="s">
        <v>796</v>
      </c>
      <c r="P139" s="36" t="s">
        <v>796</v>
      </c>
      <c r="Q139" s="36" t="s">
        <v>796</v>
      </c>
      <c r="R139" s="38" t="s">
        <v>71</v>
      </c>
      <c r="S139" s="35"/>
      <c r="T139" s="35"/>
      <c r="U139" s="35"/>
      <c r="V139" s="35"/>
      <c r="W139" s="35"/>
      <c r="X139" s="35"/>
      <c r="Y139" s="35"/>
    </row>
    <row r="140" spans="1:25" s="36" customFormat="1" ht="10.5" customHeight="1" x14ac:dyDescent="0.15">
      <c r="A140" s="448" t="s">
        <v>841</v>
      </c>
      <c r="B140" s="36">
        <v>190119</v>
      </c>
      <c r="C140" s="36">
        <v>190119</v>
      </c>
      <c r="D140" s="36" t="s">
        <v>796</v>
      </c>
      <c r="E140" s="36">
        <v>5605447</v>
      </c>
      <c r="F140" s="36">
        <v>3142544</v>
      </c>
      <c r="G140" s="36">
        <v>79414</v>
      </c>
      <c r="H140" s="36" t="s">
        <v>796</v>
      </c>
      <c r="I140" s="36">
        <v>154675</v>
      </c>
      <c r="J140" s="36">
        <v>1954303</v>
      </c>
      <c r="K140" s="36">
        <v>274511</v>
      </c>
      <c r="L140" s="36" t="s">
        <v>796</v>
      </c>
      <c r="M140" s="36" t="s">
        <v>796</v>
      </c>
      <c r="N140" s="36" t="s">
        <v>796</v>
      </c>
      <c r="O140" s="36" t="s">
        <v>796</v>
      </c>
      <c r="P140" s="36" t="s">
        <v>796</v>
      </c>
      <c r="Q140" s="36" t="s">
        <v>796</v>
      </c>
      <c r="R140" s="38" t="s">
        <v>842</v>
      </c>
      <c r="S140" s="35"/>
      <c r="T140" s="35"/>
      <c r="U140" s="35"/>
      <c r="V140" s="35"/>
      <c r="W140" s="35"/>
      <c r="X140" s="35"/>
      <c r="Y140" s="35"/>
    </row>
    <row r="141" spans="1:25" s="36" customFormat="1" ht="10.5" customHeight="1" x14ac:dyDescent="0.15">
      <c r="A141" s="448" t="s">
        <v>573</v>
      </c>
      <c r="B141" s="36">
        <v>238427</v>
      </c>
      <c r="C141" s="36">
        <v>238427</v>
      </c>
      <c r="D141" s="36" t="s">
        <v>796</v>
      </c>
      <c r="E141" s="36">
        <v>4107538</v>
      </c>
      <c r="F141" s="36">
        <v>2115097</v>
      </c>
      <c r="G141" s="36">
        <v>79127</v>
      </c>
      <c r="H141" s="36" t="s">
        <v>796</v>
      </c>
      <c r="I141" s="36">
        <v>240069</v>
      </c>
      <c r="J141" s="36">
        <v>1542890</v>
      </c>
      <c r="K141" s="36">
        <v>130355</v>
      </c>
      <c r="L141" s="36" t="s">
        <v>796</v>
      </c>
      <c r="M141" s="36" t="s">
        <v>796</v>
      </c>
      <c r="N141" s="36" t="s">
        <v>796</v>
      </c>
      <c r="O141" s="36" t="s">
        <v>796</v>
      </c>
      <c r="P141" s="36" t="s">
        <v>796</v>
      </c>
      <c r="Q141" s="36" t="s">
        <v>796</v>
      </c>
      <c r="R141" s="38" t="s">
        <v>66</v>
      </c>
      <c r="S141" s="35"/>
      <c r="T141" s="35"/>
      <c r="U141" s="35"/>
      <c r="V141" s="35"/>
      <c r="W141" s="35"/>
      <c r="X141" s="35"/>
      <c r="Y141" s="35"/>
    </row>
    <row r="142" spans="1:25" s="36" customFormat="1" ht="10.5" customHeight="1" x14ac:dyDescent="0.15">
      <c r="A142" s="519" t="s">
        <v>574</v>
      </c>
      <c r="B142" s="523">
        <v>395934</v>
      </c>
      <c r="C142" s="524">
        <v>395934</v>
      </c>
      <c r="D142" s="524" t="s">
        <v>796</v>
      </c>
      <c r="E142" s="524">
        <v>5156885</v>
      </c>
      <c r="F142" s="524">
        <v>2514785</v>
      </c>
      <c r="G142" s="524">
        <v>158578</v>
      </c>
      <c r="H142" s="524" t="s">
        <v>796</v>
      </c>
      <c r="I142" s="524">
        <v>75204</v>
      </c>
      <c r="J142" s="524">
        <v>2147517</v>
      </c>
      <c r="K142" s="524">
        <v>150616</v>
      </c>
      <c r="L142" s="524">
        <v>110185</v>
      </c>
      <c r="M142" s="524" t="s">
        <v>796</v>
      </c>
      <c r="N142" s="524" t="s">
        <v>796</v>
      </c>
      <c r="O142" s="524" t="s">
        <v>796</v>
      </c>
      <c r="P142" s="524" t="s">
        <v>796</v>
      </c>
      <c r="Q142" s="524" t="s">
        <v>796</v>
      </c>
      <c r="R142" s="525" t="s">
        <v>67</v>
      </c>
      <c r="S142" s="35"/>
      <c r="T142" s="35"/>
      <c r="U142" s="35"/>
      <c r="V142" s="35"/>
      <c r="W142" s="35"/>
      <c r="X142" s="35"/>
      <c r="Y142" s="35"/>
    </row>
    <row r="143" spans="1:25" ht="23.25" customHeight="1" x14ac:dyDescent="0.25">
      <c r="I143" s="40" t="s">
        <v>86</v>
      </c>
      <c r="Q143" s="41" t="s">
        <v>843</v>
      </c>
    </row>
    <row r="144" spans="1:25" s="17" customFormat="1" ht="11.25" customHeight="1" x14ac:dyDescent="0.15">
      <c r="A144" s="655"/>
      <c r="B144" s="667" t="s">
        <v>859</v>
      </c>
      <c r="C144" s="657"/>
      <c r="D144" s="658"/>
      <c r="E144" s="658"/>
      <c r="F144" s="658"/>
      <c r="G144" s="658"/>
      <c r="H144" s="658"/>
      <c r="I144" s="658"/>
      <c r="J144" s="655"/>
      <c r="K144" s="657"/>
      <c r="L144" s="658"/>
      <c r="M144" s="658"/>
      <c r="N144" s="658"/>
      <c r="O144" s="658"/>
      <c r="P144" s="658"/>
      <c r="Q144" s="658"/>
      <c r="R144" s="1003" t="s">
        <v>72</v>
      </c>
      <c r="S144" s="16"/>
      <c r="T144" s="16"/>
      <c r="U144" s="16"/>
      <c r="V144" s="16"/>
      <c r="W144" s="16"/>
      <c r="X144" s="16"/>
      <c r="Y144" s="16"/>
    </row>
    <row r="145" spans="1:25" s="34" customFormat="1" ht="28.5" customHeight="1" x14ac:dyDescent="0.15">
      <c r="A145" s="24" t="s">
        <v>153</v>
      </c>
      <c r="B145" s="668" t="s">
        <v>860</v>
      </c>
      <c r="C145" s="14" t="s">
        <v>91</v>
      </c>
      <c r="D145" s="660" t="s">
        <v>435</v>
      </c>
      <c r="E145" s="669" t="s">
        <v>861</v>
      </c>
      <c r="F145" s="661"/>
      <c r="G145" s="661"/>
      <c r="H145" s="661"/>
      <c r="I145" s="661"/>
      <c r="J145" s="662"/>
      <c r="K145" s="14" t="s">
        <v>92</v>
      </c>
      <c r="L145" s="659" t="s">
        <v>137</v>
      </c>
      <c r="M145" s="661"/>
      <c r="N145" s="662"/>
      <c r="O145" s="660" t="s">
        <v>862</v>
      </c>
      <c r="P145" s="659" t="s">
        <v>143</v>
      </c>
      <c r="Q145" s="661"/>
      <c r="R145" s="1004"/>
      <c r="S145" s="13"/>
      <c r="T145" s="13"/>
      <c r="U145" s="13"/>
      <c r="V145" s="13"/>
      <c r="W145" s="13"/>
      <c r="X145" s="13"/>
      <c r="Y145" s="13"/>
    </row>
    <row r="146" spans="1:25" s="34" customFormat="1" ht="28.5" customHeight="1" x14ac:dyDescent="0.15">
      <c r="A146" s="24"/>
      <c r="B146" s="660" t="s">
        <v>140</v>
      </c>
      <c r="C146" s="14" t="s">
        <v>141</v>
      </c>
      <c r="D146" s="660" t="s">
        <v>436</v>
      </c>
      <c r="E146" s="14" t="s">
        <v>56</v>
      </c>
      <c r="F146" s="660" t="s">
        <v>388</v>
      </c>
      <c r="G146" s="660" t="s">
        <v>156</v>
      </c>
      <c r="H146" s="660" t="s">
        <v>389</v>
      </c>
      <c r="I146" s="660" t="s">
        <v>863</v>
      </c>
      <c r="J146" s="660" t="s">
        <v>864</v>
      </c>
      <c r="K146" s="14" t="s">
        <v>97</v>
      </c>
      <c r="L146" s="14" t="s">
        <v>60</v>
      </c>
      <c r="M146" s="660" t="s">
        <v>142</v>
      </c>
      <c r="N146" s="660" t="s">
        <v>146</v>
      </c>
      <c r="O146" s="660" t="s">
        <v>790</v>
      </c>
      <c r="P146" s="14" t="s">
        <v>20</v>
      </c>
      <c r="Q146" s="659" t="s">
        <v>147</v>
      </c>
      <c r="R146" s="1004"/>
      <c r="S146" s="13"/>
      <c r="T146" s="13"/>
      <c r="U146" s="13"/>
      <c r="V146" s="13"/>
      <c r="W146" s="13"/>
      <c r="X146" s="13"/>
      <c r="Y146" s="13"/>
    </row>
    <row r="147" spans="1:25" s="34" customFormat="1" ht="12" customHeight="1" x14ac:dyDescent="0.15">
      <c r="A147" s="526"/>
      <c r="B147" s="15" t="str">
        <f>PROPER("SAKHAL-B")</f>
        <v>Sakhal-B</v>
      </c>
      <c r="C147" s="15"/>
      <c r="D147" s="15" t="str">
        <f>PROPER("COLDLAKE")</f>
        <v>Coldlake</v>
      </c>
      <c r="E147" s="15"/>
      <c r="F147" s="15" t="str">
        <f>PROPER("WTIM")</f>
        <v>Wtim</v>
      </c>
      <c r="G147" s="15" t="str">
        <f>PROPER("EGL-FORD")</f>
        <v>Egl-Ford</v>
      </c>
      <c r="H147" s="15" t="str">
        <f>PROPER("MARS")</f>
        <v>Mars</v>
      </c>
      <c r="I147" s="15" t="str">
        <f>PROPER("WTL")</f>
        <v>Wtl</v>
      </c>
      <c r="J147" s="15" t="str">
        <f>PROPER("UTICA-C")</f>
        <v>Utica-C</v>
      </c>
      <c r="K147" s="15"/>
      <c r="L147" s="15"/>
      <c r="M147" s="15" t="str">
        <f>PROPER("ISTHMUS")</f>
        <v>Isthmus</v>
      </c>
      <c r="N147" s="15" t="str">
        <f>PROPER("MAYA")</f>
        <v>Maya</v>
      </c>
      <c r="O147" s="15" t="str">
        <f>PROPER("MARES-B")</f>
        <v>Mares-B</v>
      </c>
      <c r="P147" s="15"/>
      <c r="Q147" s="522" t="str">
        <f>PROPER("ORIENTE")</f>
        <v>Oriente</v>
      </c>
      <c r="R147" s="1005"/>
      <c r="S147" s="13"/>
      <c r="T147" s="13"/>
      <c r="U147" s="13"/>
      <c r="V147" s="13"/>
      <c r="W147" s="13"/>
      <c r="X147" s="13"/>
      <c r="Y147" s="13"/>
    </row>
    <row r="148" spans="1:25" s="36" customFormat="1" ht="10.5" customHeight="1" x14ac:dyDescent="0.15">
      <c r="A148" s="645" t="s">
        <v>831</v>
      </c>
      <c r="B148" s="663">
        <v>689176</v>
      </c>
      <c r="C148" s="664">
        <v>1094794</v>
      </c>
      <c r="D148" s="664" t="s">
        <v>796</v>
      </c>
      <c r="E148" s="664">
        <v>1094794</v>
      </c>
      <c r="F148" s="664">
        <v>712543</v>
      </c>
      <c r="G148" s="664" t="s">
        <v>796</v>
      </c>
      <c r="H148" s="664">
        <v>240225</v>
      </c>
      <c r="I148" s="664" t="s">
        <v>796</v>
      </c>
      <c r="J148" s="664">
        <v>142026</v>
      </c>
      <c r="K148" s="664">
        <v>2530556</v>
      </c>
      <c r="L148" s="664">
        <v>81102</v>
      </c>
      <c r="M148" s="664" t="s">
        <v>796</v>
      </c>
      <c r="N148" s="664">
        <v>81102</v>
      </c>
      <c r="O148" s="664" t="s">
        <v>796</v>
      </c>
      <c r="P148" s="664">
        <v>2449454</v>
      </c>
      <c r="Q148" s="664">
        <v>58385</v>
      </c>
      <c r="R148" s="665" t="s">
        <v>517</v>
      </c>
      <c r="S148" s="35"/>
      <c r="T148" s="35"/>
      <c r="U148" s="35"/>
      <c r="V148" s="35"/>
      <c r="W148" s="35"/>
      <c r="X148" s="35"/>
      <c r="Y148" s="35"/>
    </row>
    <row r="149" spans="1:25" s="36" customFormat="1" ht="10.5" customHeight="1" x14ac:dyDescent="0.15">
      <c r="A149" s="448" t="s">
        <v>557</v>
      </c>
      <c r="B149" s="36">
        <v>452519</v>
      </c>
      <c r="C149" s="36">
        <v>469328</v>
      </c>
      <c r="D149" s="36" t="s">
        <v>796</v>
      </c>
      <c r="E149" s="36">
        <v>469328</v>
      </c>
      <c r="F149" s="36">
        <v>82295</v>
      </c>
      <c r="G149" s="36">
        <v>223881</v>
      </c>
      <c r="H149" s="36">
        <v>163092</v>
      </c>
      <c r="I149" s="36">
        <v>60</v>
      </c>
      <c r="J149" s="36" t="s">
        <v>796</v>
      </c>
      <c r="K149" s="36">
        <v>2444840</v>
      </c>
      <c r="L149" s="36">
        <v>114870</v>
      </c>
      <c r="M149" s="36">
        <v>114870</v>
      </c>
      <c r="N149" s="36" t="s">
        <v>796</v>
      </c>
      <c r="O149" s="36" t="s">
        <v>796</v>
      </c>
      <c r="P149" s="36">
        <v>2329652</v>
      </c>
      <c r="Q149" s="36">
        <v>189111</v>
      </c>
      <c r="R149" s="38" t="s">
        <v>558</v>
      </c>
      <c r="S149" s="35"/>
      <c r="T149" s="35"/>
      <c r="U149" s="35"/>
      <c r="V149" s="35"/>
      <c r="W149" s="35"/>
      <c r="X149" s="35"/>
      <c r="Y149" s="35"/>
    </row>
    <row r="150" spans="1:25" s="36" customFormat="1" ht="10.5" customHeight="1" x14ac:dyDescent="0.15">
      <c r="A150" s="448" t="s">
        <v>682</v>
      </c>
      <c r="B150" s="36">
        <v>327939</v>
      </c>
      <c r="C150" s="36">
        <v>1592968</v>
      </c>
      <c r="D150" s="36" t="s">
        <v>796</v>
      </c>
      <c r="E150" s="36">
        <v>1592968</v>
      </c>
      <c r="F150" s="36">
        <v>595702</v>
      </c>
      <c r="G150" s="36" t="s">
        <v>796</v>
      </c>
      <c r="H150" s="36">
        <v>427613</v>
      </c>
      <c r="I150" s="36">
        <v>569653</v>
      </c>
      <c r="J150" s="36" t="s">
        <v>796</v>
      </c>
      <c r="K150" s="36">
        <v>3616062</v>
      </c>
      <c r="L150" s="36">
        <v>650033</v>
      </c>
      <c r="M150" s="36">
        <v>650033</v>
      </c>
      <c r="N150" s="36" t="s">
        <v>796</v>
      </c>
      <c r="O150" s="36" t="s">
        <v>796</v>
      </c>
      <c r="P150" s="36">
        <v>2966029</v>
      </c>
      <c r="Q150" s="36">
        <v>156602</v>
      </c>
      <c r="R150" s="38" t="s">
        <v>683</v>
      </c>
      <c r="S150" s="35"/>
      <c r="T150" s="35"/>
      <c r="U150" s="35"/>
      <c r="V150" s="35"/>
      <c r="W150" s="35"/>
      <c r="X150" s="35"/>
      <c r="Y150" s="35"/>
    </row>
    <row r="151" spans="1:25" s="36" customFormat="1" ht="10.5" customHeight="1" x14ac:dyDescent="0.15">
      <c r="A151" s="448" t="s">
        <v>784</v>
      </c>
      <c r="B151" s="36">
        <v>118876</v>
      </c>
      <c r="C151" s="36">
        <v>3102976</v>
      </c>
      <c r="D151" s="36" t="s">
        <v>796</v>
      </c>
      <c r="E151" s="36">
        <v>3102976</v>
      </c>
      <c r="F151" s="36">
        <v>1455476</v>
      </c>
      <c r="G151" s="36" t="s">
        <v>796</v>
      </c>
      <c r="H151" s="36">
        <v>865856</v>
      </c>
      <c r="I151" s="36">
        <v>781644</v>
      </c>
      <c r="J151" s="36" t="s">
        <v>796</v>
      </c>
      <c r="K151" s="36">
        <v>2269621</v>
      </c>
      <c r="L151" s="36">
        <v>126257</v>
      </c>
      <c r="M151" s="36">
        <v>126257</v>
      </c>
      <c r="N151" s="36" t="s">
        <v>796</v>
      </c>
      <c r="O151" s="36">
        <v>31701</v>
      </c>
      <c r="P151" s="36">
        <v>2111663</v>
      </c>
      <c r="Q151" s="36">
        <v>173220</v>
      </c>
      <c r="R151" s="38" t="s">
        <v>785</v>
      </c>
      <c r="S151" s="35"/>
      <c r="T151" s="35"/>
      <c r="U151" s="35"/>
      <c r="V151" s="35"/>
      <c r="W151" s="35"/>
      <c r="X151" s="35"/>
      <c r="Y151" s="35"/>
    </row>
    <row r="152" spans="1:25" s="36" customFormat="1" ht="10.5" customHeight="1" x14ac:dyDescent="0.15">
      <c r="A152" s="448" t="s">
        <v>832</v>
      </c>
      <c r="B152" s="36" t="s">
        <v>796</v>
      </c>
      <c r="C152" s="36">
        <v>3342148</v>
      </c>
      <c r="D152" s="36">
        <v>41977</v>
      </c>
      <c r="E152" s="36">
        <v>3300171</v>
      </c>
      <c r="F152" s="36">
        <v>2523104</v>
      </c>
      <c r="G152" s="36" t="s">
        <v>796</v>
      </c>
      <c r="H152" s="36">
        <v>283495</v>
      </c>
      <c r="I152" s="36">
        <v>493572</v>
      </c>
      <c r="J152" s="36" t="s">
        <v>796</v>
      </c>
      <c r="K152" s="36">
        <v>1676854</v>
      </c>
      <c r="L152" s="36" t="s">
        <v>796</v>
      </c>
      <c r="M152" s="36" t="s">
        <v>796</v>
      </c>
      <c r="N152" s="36" t="s">
        <v>796</v>
      </c>
      <c r="O152" s="36" t="s">
        <v>796</v>
      </c>
      <c r="P152" s="36">
        <v>1676854</v>
      </c>
      <c r="Q152" s="36">
        <v>127170</v>
      </c>
      <c r="R152" s="38" t="s">
        <v>833</v>
      </c>
      <c r="S152" s="35"/>
      <c r="T152" s="35"/>
      <c r="U152" s="35"/>
      <c r="V152" s="35"/>
      <c r="W152" s="35"/>
      <c r="X152" s="35"/>
      <c r="Y152" s="35"/>
    </row>
    <row r="153" spans="1:25" s="36" customFormat="1" ht="10.5" customHeight="1" x14ac:dyDescent="0.15">
      <c r="A153" s="464"/>
      <c r="R153" s="38"/>
      <c r="S153" s="35"/>
      <c r="T153" s="35"/>
      <c r="U153" s="35"/>
      <c r="V153" s="35"/>
      <c r="W153" s="35"/>
      <c r="X153" s="35"/>
      <c r="Y153" s="35"/>
    </row>
    <row r="154" spans="1:25" s="36" customFormat="1" ht="10.5" customHeight="1" x14ac:dyDescent="0.15">
      <c r="A154" s="448" t="s">
        <v>834</v>
      </c>
      <c r="B154" s="36" t="s">
        <v>796</v>
      </c>
      <c r="C154" s="36">
        <v>3656826</v>
      </c>
      <c r="D154" s="36" t="s">
        <v>796</v>
      </c>
      <c r="E154" s="36">
        <v>3656826</v>
      </c>
      <c r="F154" s="36">
        <v>1969292</v>
      </c>
      <c r="G154" s="36" t="s">
        <v>796</v>
      </c>
      <c r="H154" s="36">
        <v>708144</v>
      </c>
      <c r="I154" s="36">
        <v>979390</v>
      </c>
      <c r="J154" s="36" t="s">
        <v>796</v>
      </c>
      <c r="K154" s="36">
        <v>2375463</v>
      </c>
      <c r="L154" s="36">
        <v>126257</v>
      </c>
      <c r="M154" s="36">
        <v>126257</v>
      </c>
      <c r="N154" s="36" t="s">
        <v>796</v>
      </c>
      <c r="O154" s="36">
        <v>31701</v>
      </c>
      <c r="P154" s="36">
        <v>2217505</v>
      </c>
      <c r="Q154" s="36">
        <v>173220</v>
      </c>
      <c r="R154" s="38" t="s">
        <v>786</v>
      </c>
      <c r="S154" s="35"/>
      <c r="T154" s="35"/>
      <c r="U154" s="35"/>
      <c r="V154" s="35"/>
      <c r="W154" s="35"/>
      <c r="X154" s="35"/>
      <c r="Y154" s="35"/>
    </row>
    <row r="155" spans="1:25" s="36" customFormat="1" ht="10.5" customHeight="1" x14ac:dyDescent="0.15">
      <c r="A155" s="448" t="s">
        <v>835</v>
      </c>
      <c r="B155" s="36" t="s">
        <v>796</v>
      </c>
      <c r="C155" s="36">
        <v>2740760</v>
      </c>
      <c r="D155" s="36">
        <v>129353</v>
      </c>
      <c r="E155" s="36">
        <v>2611407</v>
      </c>
      <c r="F155" s="36">
        <v>1907531</v>
      </c>
      <c r="G155" s="36" t="s">
        <v>796</v>
      </c>
      <c r="H155" s="36">
        <v>174518</v>
      </c>
      <c r="I155" s="36">
        <v>529358</v>
      </c>
      <c r="J155" s="36" t="s">
        <v>796</v>
      </c>
      <c r="K155" s="36">
        <v>1654304</v>
      </c>
      <c r="L155" s="36" t="s">
        <v>796</v>
      </c>
      <c r="M155" s="36" t="s">
        <v>796</v>
      </c>
      <c r="N155" s="36" t="s">
        <v>796</v>
      </c>
      <c r="O155" s="36" t="s">
        <v>796</v>
      </c>
      <c r="P155" s="36">
        <v>1654304</v>
      </c>
      <c r="Q155" s="36">
        <v>127170</v>
      </c>
      <c r="R155" s="38" t="s">
        <v>836</v>
      </c>
      <c r="S155" s="35"/>
      <c r="T155" s="35"/>
      <c r="U155" s="35"/>
      <c r="V155" s="35"/>
      <c r="W155" s="35"/>
      <c r="X155" s="35"/>
      <c r="Y155" s="35"/>
    </row>
    <row r="156" spans="1:25" s="36" customFormat="1" ht="10.5" customHeight="1" x14ac:dyDescent="0.15">
      <c r="A156" s="464"/>
      <c r="R156" s="38"/>
      <c r="S156" s="35"/>
      <c r="T156" s="35"/>
      <c r="U156" s="35"/>
      <c r="V156" s="35"/>
      <c r="W156" s="35"/>
      <c r="X156" s="35"/>
      <c r="Y156" s="35"/>
    </row>
    <row r="157" spans="1:25" s="36" customFormat="1" ht="10.5" customHeight="1" x14ac:dyDescent="0.15">
      <c r="A157" s="448" t="s">
        <v>837</v>
      </c>
      <c r="B157" s="36" t="s">
        <v>796</v>
      </c>
      <c r="C157" s="36">
        <v>1247822</v>
      </c>
      <c r="D157" s="36" t="s">
        <v>796</v>
      </c>
      <c r="E157" s="36">
        <v>1247822</v>
      </c>
      <c r="F157" s="36">
        <v>766581</v>
      </c>
      <c r="G157" s="36" t="s">
        <v>796</v>
      </c>
      <c r="H157" s="36">
        <v>283495</v>
      </c>
      <c r="I157" s="36">
        <v>197746</v>
      </c>
      <c r="J157" s="36" t="s">
        <v>796</v>
      </c>
      <c r="K157" s="36">
        <v>413913</v>
      </c>
      <c r="L157" s="36" t="s">
        <v>796</v>
      </c>
      <c r="M157" s="36" t="s">
        <v>796</v>
      </c>
      <c r="N157" s="36" t="s">
        <v>796</v>
      </c>
      <c r="O157" s="36" t="s">
        <v>796</v>
      </c>
      <c r="P157" s="36">
        <v>413913</v>
      </c>
      <c r="Q157" s="36" t="s">
        <v>796</v>
      </c>
      <c r="R157" s="38" t="s">
        <v>787</v>
      </c>
      <c r="S157" s="35"/>
      <c r="T157" s="35"/>
      <c r="U157" s="35"/>
      <c r="V157" s="35"/>
      <c r="W157" s="35"/>
      <c r="X157" s="35"/>
      <c r="Y157" s="35"/>
    </row>
    <row r="158" spans="1:25" s="36" customFormat="1" ht="10.5" customHeight="1" x14ac:dyDescent="0.15">
      <c r="A158" s="448" t="s">
        <v>559</v>
      </c>
      <c r="B158" s="36" t="s">
        <v>796</v>
      </c>
      <c r="C158" s="36">
        <v>674802</v>
      </c>
      <c r="D158" s="36" t="s">
        <v>796</v>
      </c>
      <c r="E158" s="36">
        <v>674802</v>
      </c>
      <c r="F158" s="36">
        <v>643204</v>
      </c>
      <c r="G158" s="36" t="s">
        <v>796</v>
      </c>
      <c r="H158" s="36" t="s">
        <v>796</v>
      </c>
      <c r="I158" s="36">
        <v>31598</v>
      </c>
      <c r="J158" s="36" t="s">
        <v>796</v>
      </c>
      <c r="K158" s="36">
        <v>453492</v>
      </c>
      <c r="L158" s="36" t="s">
        <v>796</v>
      </c>
      <c r="M158" s="36" t="s">
        <v>796</v>
      </c>
      <c r="N158" s="36" t="s">
        <v>796</v>
      </c>
      <c r="O158" s="36" t="s">
        <v>796</v>
      </c>
      <c r="P158" s="36">
        <v>453492</v>
      </c>
      <c r="Q158" s="36">
        <v>63670</v>
      </c>
      <c r="R158" s="38" t="s">
        <v>78</v>
      </c>
      <c r="S158" s="35"/>
      <c r="T158" s="35"/>
      <c r="U158" s="35"/>
      <c r="V158" s="35"/>
      <c r="W158" s="35"/>
      <c r="X158" s="35"/>
      <c r="Y158" s="35"/>
    </row>
    <row r="159" spans="1:25" s="36" customFormat="1" ht="10.5" customHeight="1" x14ac:dyDescent="0.15">
      <c r="A159" s="448" t="s">
        <v>560</v>
      </c>
      <c r="B159" s="36" t="s">
        <v>796</v>
      </c>
      <c r="C159" s="36">
        <v>1037244</v>
      </c>
      <c r="D159" s="36">
        <v>41977</v>
      </c>
      <c r="E159" s="36">
        <v>995267</v>
      </c>
      <c r="F159" s="36">
        <v>731039</v>
      </c>
      <c r="G159" s="36" t="s">
        <v>796</v>
      </c>
      <c r="H159" s="36" t="s">
        <v>796</v>
      </c>
      <c r="I159" s="36">
        <v>264228</v>
      </c>
      <c r="J159" s="36" t="s">
        <v>796</v>
      </c>
      <c r="K159" s="36">
        <v>283775</v>
      </c>
      <c r="L159" s="36" t="s">
        <v>796</v>
      </c>
      <c r="M159" s="36" t="s">
        <v>796</v>
      </c>
      <c r="N159" s="36" t="s">
        <v>796</v>
      </c>
      <c r="O159" s="36" t="s">
        <v>796</v>
      </c>
      <c r="P159" s="36">
        <v>283775</v>
      </c>
      <c r="Q159" s="36" t="s">
        <v>796</v>
      </c>
      <c r="R159" s="38" t="s">
        <v>79</v>
      </c>
      <c r="S159" s="35"/>
      <c r="T159" s="35"/>
      <c r="U159" s="35"/>
      <c r="V159" s="35"/>
      <c r="W159" s="35"/>
      <c r="X159" s="35"/>
      <c r="Y159" s="35"/>
    </row>
    <row r="160" spans="1:25" s="36" customFormat="1" ht="10.5" customHeight="1" x14ac:dyDescent="0.15">
      <c r="A160" s="448" t="s">
        <v>561</v>
      </c>
      <c r="B160" s="36" t="s">
        <v>796</v>
      </c>
      <c r="C160" s="36">
        <v>382280</v>
      </c>
      <c r="D160" s="36" t="s">
        <v>796</v>
      </c>
      <c r="E160" s="36">
        <v>382280</v>
      </c>
      <c r="F160" s="36">
        <v>382280</v>
      </c>
      <c r="G160" s="36" t="s">
        <v>796</v>
      </c>
      <c r="H160" s="36" t="s">
        <v>796</v>
      </c>
      <c r="I160" s="36" t="s">
        <v>796</v>
      </c>
      <c r="J160" s="36" t="s">
        <v>796</v>
      </c>
      <c r="K160" s="36">
        <v>525674</v>
      </c>
      <c r="L160" s="36" t="s">
        <v>796</v>
      </c>
      <c r="M160" s="36" t="s">
        <v>796</v>
      </c>
      <c r="N160" s="36" t="s">
        <v>796</v>
      </c>
      <c r="O160" s="36" t="s">
        <v>796</v>
      </c>
      <c r="P160" s="36">
        <v>525674</v>
      </c>
      <c r="Q160" s="36">
        <v>63500</v>
      </c>
      <c r="R160" s="38" t="s">
        <v>80</v>
      </c>
      <c r="S160" s="35"/>
      <c r="T160" s="35"/>
      <c r="U160" s="35"/>
      <c r="V160" s="35"/>
      <c r="W160" s="35"/>
      <c r="X160" s="35"/>
      <c r="Y160" s="35"/>
    </row>
    <row r="161" spans="1:25" s="36" customFormat="1" ht="10.5" customHeight="1" x14ac:dyDescent="0.15">
      <c r="A161" s="448" t="s">
        <v>838</v>
      </c>
      <c r="B161" s="36" t="s">
        <v>796</v>
      </c>
      <c r="C161" s="36">
        <v>646434</v>
      </c>
      <c r="D161" s="36">
        <v>87376</v>
      </c>
      <c r="E161" s="36">
        <v>559058</v>
      </c>
      <c r="F161" s="36">
        <v>151008</v>
      </c>
      <c r="G161" s="36" t="s">
        <v>796</v>
      </c>
      <c r="H161" s="36">
        <v>174518</v>
      </c>
      <c r="I161" s="36">
        <v>233532</v>
      </c>
      <c r="J161" s="36" t="s">
        <v>796</v>
      </c>
      <c r="K161" s="36">
        <v>391363</v>
      </c>
      <c r="L161" s="36" t="s">
        <v>796</v>
      </c>
      <c r="M161" s="36" t="s">
        <v>796</v>
      </c>
      <c r="N161" s="36" t="s">
        <v>796</v>
      </c>
      <c r="O161" s="36" t="s">
        <v>796</v>
      </c>
      <c r="P161" s="36">
        <v>391363</v>
      </c>
      <c r="Q161" s="36" t="s">
        <v>796</v>
      </c>
      <c r="R161" s="38" t="s">
        <v>839</v>
      </c>
      <c r="S161" s="35"/>
      <c r="T161" s="35"/>
      <c r="U161" s="35"/>
      <c r="V161" s="35"/>
      <c r="W161" s="35"/>
      <c r="X161" s="35"/>
      <c r="Y161" s="35"/>
    </row>
    <row r="162" spans="1:25" s="36" customFormat="1" ht="10.5" customHeight="1" x14ac:dyDescent="0.15">
      <c r="A162" s="464"/>
      <c r="R162" s="38"/>
      <c r="S162" s="35"/>
      <c r="T162" s="35"/>
      <c r="U162" s="35"/>
      <c r="V162" s="35"/>
      <c r="W162" s="35"/>
      <c r="X162" s="35"/>
      <c r="Y162" s="35"/>
    </row>
    <row r="163" spans="1:25" s="36" customFormat="1" ht="10.5" customHeight="1" x14ac:dyDescent="0.15">
      <c r="A163" s="448" t="s">
        <v>840</v>
      </c>
      <c r="B163" s="36" t="s">
        <v>796</v>
      </c>
      <c r="C163" s="36">
        <v>643568</v>
      </c>
      <c r="D163" s="36" t="s">
        <v>796</v>
      </c>
      <c r="E163" s="36">
        <v>643568</v>
      </c>
      <c r="F163" s="36">
        <v>316030</v>
      </c>
      <c r="G163" s="36" t="s">
        <v>796</v>
      </c>
      <c r="H163" s="36">
        <v>129792</v>
      </c>
      <c r="I163" s="36">
        <v>197746</v>
      </c>
      <c r="J163" s="36" t="s">
        <v>796</v>
      </c>
      <c r="K163" s="36">
        <v>110258</v>
      </c>
      <c r="L163" s="36" t="s">
        <v>796</v>
      </c>
      <c r="M163" s="36" t="s">
        <v>796</v>
      </c>
      <c r="N163" s="36" t="s">
        <v>796</v>
      </c>
      <c r="O163" s="36" t="s">
        <v>796</v>
      </c>
      <c r="P163" s="36">
        <v>110258</v>
      </c>
      <c r="Q163" s="36" t="s">
        <v>796</v>
      </c>
      <c r="R163" s="38" t="s">
        <v>788</v>
      </c>
      <c r="S163" s="35"/>
      <c r="T163" s="35"/>
      <c r="U163" s="35"/>
      <c r="V163" s="35"/>
      <c r="W163" s="35"/>
      <c r="X163" s="35"/>
      <c r="Y163" s="35"/>
    </row>
    <row r="164" spans="1:25" s="36" customFormat="1" ht="10.5" customHeight="1" x14ac:dyDescent="0.15">
      <c r="A164" s="448" t="s">
        <v>562</v>
      </c>
      <c r="B164" s="36" t="s">
        <v>796</v>
      </c>
      <c r="C164" s="36">
        <v>124912</v>
      </c>
      <c r="D164" s="36" t="s">
        <v>796</v>
      </c>
      <c r="E164" s="36">
        <v>124912</v>
      </c>
      <c r="F164" s="36">
        <v>124912</v>
      </c>
      <c r="G164" s="36" t="s">
        <v>796</v>
      </c>
      <c r="H164" s="36" t="s">
        <v>796</v>
      </c>
      <c r="I164" s="36" t="s">
        <v>796</v>
      </c>
      <c r="J164" s="36" t="s">
        <v>796</v>
      </c>
      <c r="K164" s="36">
        <v>192366</v>
      </c>
      <c r="L164" s="36" t="s">
        <v>796</v>
      </c>
      <c r="M164" s="36" t="s">
        <v>796</v>
      </c>
      <c r="N164" s="36" t="s">
        <v>796</v>
      </c>
      <c r="O164" s="36" t="s">
        <v>796</v>
      </c>
      <c r="P164" s="36">
        <v>192366</v>
      </c>
      <c r="Q164" s="36" t="s">
        <v>796</v>
      </c>
      <c r="R164" s="38" t="s">
        <v>66</v>
      </c>
      <c r="S164" s="35"/>
      <c r="T164" s="35"/>
      <c r="U164" s="35"/>
      <c r="V164" s="35"/>
      <c r="W164" s="35"/>
      <c r="X164" s="35"/>
      <c r="Y164" s="35"/>
    </row>
    <row r="165" spans="1:25" s="36" customFormat="1" ht="10.5" customHeight="1" x14ac:dyDescent="0.15">
      <c r="A165" s="448" t="s">
        <v>563</v>
      </c>
      <c r="B165" s="36" t="s">
        <v>796</v>
      </c>
      <c r="C165" s="36">
        <v>479342</v>
      </c>
      <c r="D165" s="36" t="s">
        <v>796</v>
      </c>
      <c r="E165" s="36">
        <v>479342</v>
      </c>
      <c r="F165" s="36">
        <v>325639</v>
      </c>
      <c r="G165" s="36" t="s">
        <v>796</v>
      </c>
      <c r="H165" s="36">
        <v>153703</v>
      </c>
      <c r="I165" s="36" t="s">
        <v>796</v>
      </c>
      <c r="J165" s="36" t="s">
        <v>796</v>
      </c>
      <c r="K165" s="36">
        <v>111289</v>
      </c>
      <c r="L165" s="36" t="s">
        <v>796</v>
      </c>
      <c r="M165" s="36" t="s">
        <v>796</v>
      </c>
      <c r="N165" s="36" t="s">
        <v>796</v>
      </c>
      <c r="O165" s="36" t="s">
        <v>796</v>
      </c>
      <c r="P165" s="36">
        <v>111289</v>
      </c>
      <c r="Q165" s="36" t="s">
        <v>796</v>
      </c>
      <c r="R165" s="38" t="s">
        <v>67</v>
      </c>
      <c r="S165" s="35"/>
      <c r="T165" s="35"/>
      <c r="U165" s="35"/>
      <c r="V165" s="35"/>
      <c r="W165" s="35"/>
      <c r="X165" s="35"/>
      <c r="Y165" s="35"/>
    </row>
    <row r="166" spans="1:25" s="36" customFormat="1" ht="10.5" customHeight="1" x14ac:dyDescent="0.15">
      <c r="A166" s="448" t="s">
        <v>564</v>
      </c>
      <c r="B166" s="36" t="s">
        <v>796</v>
      </c>
      <c r="C166" s="36">
        <v>204363</v>
      </c>
      <c r="D166" s="36" t="s">
        <v>796</v>
      </c>
      <c r="E166" s="36">
        <v>204363</v>
      </c>
      <c r="F166" s="36">
        <v>172765</v>
      </c>
      <c r="G166" s="36" t="s">
        <v>796</v>
      </c>
      <c r="H166" s="36" t="s">
        <v>796</v>
      </c>
      <c r="I166" s="36">
        <v>31598</v>
      </c>
      <c r="J166" s="36" t="s">
        <v>796</v>
      </c>
      <c r="K166" s="36">
        <v>198686</v>
      </c>
      <c r="L166" s="36" t="s">
        <v>796</v>
      </c>
      <c r="M166" s="36" t="s">
        <v>796</v>
      </c>
      <c r="N166" s="36" t="s">
        <v>796</v>
      </c>
      <c r="O166" s="36" t="s">
        <v>796</v>
      </c>
      <c r="P166" s="36">
        <v>198686</v>
      </c>
      <c r="Q166" s="36" t="s">
        <v>796</v>
      </c>
      <c r="R166" s="38" t="s">
        <v>68</v>
      </c>
      <c r="S166" s="35"/>
      <c r="T166" s="35"/>
      <c r="U166" s="35"/>
      <c r="V166" s="35"/>
      <c r="W166" s="35"/>
      <c r="X166" s="35"/>
      <c r="Y166" s="35"/>
    </row>
    <row r="167" spans="1:25" s="36" customFormat="1" ht="10.5" customHeight="1" x14ac:dyDescent="0.15">
      <c r="A167" s="448" t="s">
        <v>565</v>
      </c>
      <c r="B167" s="36" t="s">
        <v>796</v>
      </c>
      <c r="C167" s="36">
        <v>332757</v>
      </c>
      <c r="D167" s="36" t="s">
        <v>796</v>
      </c>
      <c r="E167" s="36">
        <v>332757</v>
      </c>
      <c r="F167" s="36">
        <v>332757</v>
      </c>
      <c r="G167" s="36" t="s">
        <v>796</v>
      </c>
      <c r="H167" s="36" t="s">
        <v>796</v>
      </c>
      <c r="I167" s="36" t="s">
        <v>796</v>
      </c>
      <c r="J167" s="36" t="s">
        <v>796</v>
      </c>
      <c r="K167" s="36">
        <v>97223</v>
      </c>
      <c r="L167" s="36" t="s">
        <v>796</v>
      </c>
      <c r="M167" s="36" t="s">
        <v>796</v>
      </c>
      <c r="N167" s="36" t="s">
        <v>796</v>
      </c>
      <c r="O167" s="36" t="s">
        <v>796</v>
      </c>
      <c r="P167" s="36">
        <v>97223</v>
      </c>
      <c r="Q167" s="36" t="s">
        <v>796</v>
      </c>
      <c r="R167" s="39" t="s">
        <v>81</v>
      </c>
      <c r="S167" s="35"/>
      <c r="T167" s="35"/>
      <c r="U167" s="35"/>
      <c r="V167" s="35"/>
      <c r="W167" s="35"/>
      <c r="X167" s="35"/>
      <c r="Y167" s="35"/>
    </row>
    <row r="168" spans="1:25" s="36" customFormat="1" ht="10.5" customHeight="1" x14ac:dyDescent="0.15">
      <c r="A168" s="448" t="s">
        <v>566</v>
      </c>
      <c r="B168" s="36" t="s">
        <v>796</v>
      </c>
      <c r="C168" s="36">
        <v>137682</v>
      </c>
      <c r="D168" s="36" t="s">
        <v>796</v>
      </c>
      <c r="E168" s="36">
        <v>137682</v>
      </c>
      <c r="F168" s="36">
        <v>137682</v>
      </c>
      <c r="G168" s="36" t="s">
        <v>796</v>
      </c>
      <c r="H168" s="36" t="s">
        <v>796</v>
      </c>
      <c r="I168" s="36" t="s">
        <v>796</v>
      </c>
      <c r="J168" s="36" t="s">
        <v>796</v>
      </c>
      <c r="K168" s="36">
        <v>157583</v>
      </c>
      <c r="L168" s="36" t="s">
        <v>796</v>
      </c>
      <c r="M168" s="36" t="s">
        <v>796</v>
      </c>
      <c r="N168" s="36" t="s">
        <v>796</v>
      </c>
      <c r="O168" s="36" t="s">
        <v>796</v>
      </c>
      <c r="P168" s="36">
        <v>157583</v>
      </c>
      <c r="Q168" s="36">
        <v>63670</v>
      </c>
      <c r="R168" s="38" t="s">
        <v>82</v>
      </c>
      <c r="S168" s="35"/>
      <c r="T168" s="35"/>
      <c r="U168" s="35"/>
      <c r="V168" s="35"/>
      <c r="W168" s="35"/>
      <c r="X168" s="35"/>
      <c r="Y168" s="35"/>
    </row>
    <row r="169" spans="1:25" s="36" customFormat="1" ht="10.5" customHeight="1" x14ac:dyDescent="0.15">
      <c r="A169" s="448" t="s">
        <v>567</v>
      </c>
      <c r="B169" s="36" t="s">
        <v>796</v>
      </c>
      <c r="C169" s="36">
        <v>16136</v>
      </c>
      <c r="D169" s="36" t="s">
        <v>796</v>
      </c>
      <c r="E169" s="36">
        <v>16136</v>
      </c>
      <c r="F169" s="36">
        <v>16136</v>
      </c>
      <c r="G169" s="36" t="s">
        <v>796</v>
      </c>
      <c r="H169" s="36" t="s">
        <v>796</v>
      </c>
      <c r="I169" s="36" t="s">
        <v>796</v>
      </c>
      <c r="J169" s="36" t="s">
        <v>796</v>
      </c>
      <c r="K169" s="36">
        <v>95411</v>
      </c>
      <c r="L169" s="36" t="s">
        <v>796</v>
      </c>
      <c r="M169" s="36" t="s">
        <v>796</v>
      </c>
      <c r="N169" s="36" t="s">
        <v>796</v>
      </c>
      <c r="O169" s="36" t="s">
        <v>796</v>
      </c>
      <c r="P169" s="36">
        <v>95411</v>
      </c>
      <c r="Q169" s="36" t="s">
        <v>796</v>
      </c>
      <c r="R169" s="38" t="s">
        <v>83</v>
      </c>
      <c r="S169" s="35"/>
      <c r="T169" s="35"/>
      <c r="U169" s="35"/>
      <c r="V169" s="35"/>
      <c r="W169" s="35"/>
      <c r="X169" s="35"/>
      <c r="Y169" s="35"/>
    </row>
    <row r="170" spans="1:25" s="36" customFormat="1" ht="10.5" customHeight="1" x14ac:dyDescent="0.15">
      <c r="A170" s="448" t="s">
        <v>568</v>
      </c>
      <c r="B170" s="36" t="s">
        <v>796</v>
      </c>
      <c r="C170" s="36">
        <v>368576</v>
      </c>
      <c r="D170" s="36" t="s">
        <v>796</v>
      </c>
      <c r="E170" s="36">
        <v>368576</v>
      </c>
      <c r="F170" s="36">
        <v>273518</v>
      </c>
      <c r="G170" s="36" t="s">
        <v>796</v>
      </c>
      <c r="H170" s="36" t="s">
        <v>796</v>
      </c>
      <c r="I170" s="36">
        <v>95058</v>
      </c>
      <c r="J170" s="36" t="s">
        <v>796</v>
      </c>
      <c r="K170" s="36">
        <v>94381</v>
      </c>
      <c r="L170" s="36" t="s">
        <v>796</v>
      </c>
      <c r="M170" s="36" t="s">
        <v>796</v>
      </c>
      <c r="N170" s="36" t="s">
        <v>796</v>
      </c>
      <c r="O170" s="36" t="s">
        <v>796</v>
      </c>
      <c r="P170" s="36">
        <v>94381</v>
      </c>
      <c r="Q170" s="36" t="s">
        <v>796</v>
      </c>
      <c r="R170" s="38" t="s">
        <v>84</v>
      </c>
      <c r="S170" s="35"/>
      <c r="T170" s="35"/>
      <c r="U170" s="35"/>
      <c r="V170" s="35"/>
      <c r="W170" s="35"/>
      <c r="X170" s="35"/>
      <c r="Y170" s="35"/>
    </row>
    <row r="171" spans="1:25" s="36" customFormat="1" ht="10.5" customHeight="1" x14ac:dyDescent="0.15">
      <c r="A171" s="448" t="s">
        <v>569</v>
      </c>
      <c r="B171" s="36" t="s">
        <v>796</v>
      </c>
      <c r="C171" s="36">
        <v>652532</v>
      </c>
      <c r="D171" s="36">
        <v>41977</v>
      </c>
      <c r="E171" s="36">
        <v>610555</v>
      </c>
      <c r="F171" s="36">
        <v>441385</v>
      </c>
      <c r="G171" s="36" t="s">
        <v>796</v>
      </c>
      <c r="H171" s="36" t="s">
        <v>796</v>
      </c>
      <c r="I171" s="36">
        <v>169170</v>
      </c>
      <c r="J171" s="36" t="s">
        <v>796</v>
      </c>
      <c r="K171" s="36">
        <v>93983</v>
      </c>
      <c r="L171" s="36" t="s">
        <v>796</v>
      </c>
      <c r="M171" s="36" t="s">
        <v>796</v>
      </c>
      <c r="N171" s="36" t="s">
        <v>796</v>
      </c>
      <c r="O171" s="36" t="s">
        <v>796</v>
      </c>
      <c r="P171" s="36">
        <v>93983</v>
      </c>
      <c r="Q171" s="36" t="s">
        <v>796</v>
      </c>
      <c r="R171" s="38" t="s">
        <v>85</v>
      </c>
      <c r="S171" s="35"/>
      <c r="T171" s="35"/>
      <c r="U171" s="35"/>
      <c r="V171" s="35"/>
      <c r="W171" s="35"/>
      <c r="X171" s="35"/>
      <c r="Y171" s="35"/>
    </row>
    <row r="172" spans="1:25" s="36" customFormat="1" ht="10.5" customHeight="1" x14ac:dyDescent="0.15">
      <c r="A172" s="448" t="s">
        <v>570</v>
      </c>
      <c r="B172" s="36" t="s">
        <v>796</v>
      </c>
      <c r="C172" s="36">
        <v>19858</v>
      </c>
      <c r="D172" s="36" t="s">
        <v>796</v>
      </c>
      <c r="E172" s="36">
        <v>19858</v>
      </c>
      <c r="F172" s="36">
        <v>19858</v>
      </c>
      <c r="G172" s="36" t="s">
        <v>796</v>
      </c>
      <c r="H172" s="36" t="s">
        <v>796</v>
      </c>
      <c r="I172" s="36" t="s">
        <v>796</v>
      </c>
      <c r="J172" s="36" t="s">
        <v>796</v>
      </c>
      <c r="K172" s="36">
        <v>97310</v>
      </c>
      <c r="L172" s="36" t="s">
        <v>796</v>
      </c>
      <c r="M172" s="36" t="s">
        <v>796</v>
      </c>
      <c r="N172" s="36" t="s">
        <v>796</v>
      </c>
      <c r="O172" s="36" t="s">
        <v>796</v>
      </c>
      <c r="P172" s="36">
        <v>97310</v>
      </c>
      <c r="Q172" s="36" t="s">
        <v>796</v>
      </c>
      <c r="R172" s="38" t="s">
        <v>69</v>
      </c>
      <c r="S172" s="35"/>
      <c r="T172" s="35"/>
      <c r="U172" s="35"/>
      <c r="V172" s="35"/>
      <c r="W172" s="35"/>
      <c r="X172" s="35"/>
      <c r="Y172" s="35"/>
    </row>
    <row r="173" spans="1:25" s="36" customFormat="1" ht="10.5" customHeight="1" x14ac:dyDescent="0.15">
      <c r="A173" s="448" t="s">
        <v>571</v>
      </c>
      <c r="B173" s="36" t="s">
        <v>796</v>
      </c>
      <c r="C173" s="36">
        <v>195859</v>
      </c>
      <c r="D173" s="36" t="s">
        <v>796</v>
      </c>
      <c r="E173" s="36">
        <v>195859</v>
      </c>
      <c r="F173" s="36">
        <v>195859</v>
      </c>
      <c r="G173" s="36" t="s">
        <v>796</v>
      </c>
      <c r="H173" s="36" t="s">
        <v>796</v>
      </c>
      <c r="I173" s="36" t="s">
        <v>796</v>
      </c>
      <c r="J173" s="36" t="s">
        <v>796</v>
      </c>
      <c r="K173" s="36">
        <v>206987</v>
      </c>
      <c r="L173" s="36" t="s">
        <v>796</v>
      </c>
      <c r="M173" s="36" t="s">
        <v>796</v>
      </c>
      <c r="N173" s="36" t="s">
        <v>796</v>
      </c>
      <c r="O173" s="36" t="s">
        <v>796</v>
      </c>
      <c r="P173" s="36">
        <v>206987</v>
      </c>
      <c r="Q173" s="36" t="s">
        <v>796</v>
      </c>
      <c r="R173" s="38" t="s">
        <v>70</v>
      </c>
      <c r="S173" s="35"/>
      <c r="T173" s="35"/>
      <c r="U173" s="35"/>
      <c r="V173" s="35"/>
      <c r="W173" s="35"/>
      <c r="X173" s="35"/>
      <c r="Y173" s="35"/>
    </row>
    <row r="174" spans="1:25" s="36" customFormat="1" ht="10.5" customHeight="1" x14ac:dyDescent="0.15">
      <c r="A174" s="448" t="s">
        <v>572</v>
      </c>
      <c r="B174" s="36" t="s">
        <v>796</v>
      </c>
      <c r="C174" s="36">
        <v>166563</v>
      </c>
      <c r="D174" s="36" t="s">
        <v>796</v>
      </c>
      <c r="E174" s="36">
        <v>166563</v>
      </c>
      <c r="F174" s="36">
        <v>166563</v>
      </c>
      <c r="G174" s="36" t="s">
        <v>796</v>
      </c>
      <c r="H174" s="36" t="s">
        <v>796</v>
      </c>
      <c r="I174" s="36" t="s">
        <v>796</v>
      </c>
      <c r="J174" s="36" t="s">
        <v>796</v>
      </c>
      <c r="K174" s="36">
        <v>221377</v>
      </c>
      <c r="L174" s="36" t="s">
        <v>796</v>
      </c>
      <c r="M174" s="36" t="s">
        <v>796</v>
      </c>
      <c r="N174" s="36" t="s">
        <v>796</v>
      </c>
      <c r="O174" s="36" t="s">
        <v>796</v>
      </c>
      <c r="P174" s="36">
        <v>221377</v>
      </c>
      <c r="Q174" s="36">
        <v>63500</v>
      </c>
      <c r="R174" s="38" t="s">
        <v>71</v>
      </c>
      <c r="S174" s="35"/>
      <c r="T174" s="35"/>
      <c r="U174" s="35"/>
      <c r="V174" s="35"/>
      <c r="W174" s="35"/>
      <c r="X174" s="35"/>
      <c r="Y174" s="35"/>
    </row>
    <row r="175" spans="1:25" s="36" customFormat="1" ht="10.5" customHeight="1" x14ac:dyDescent="0.15">
      <c r="A175" s="448" t="s">
        <v>841</v>
      </c>
      <c r="B175" s="36" t="s">
        <v>796</v>
      </c>
      <c r="C175" s="36">
        <v>341239</v>
      </c>
      <c r="D175" s="36" t="s">
        <v>796</v>
      </c>
      <c r="E175" s="36">
        <v>341239</v>
      </c>
      <c r="F175" s="36" t="s">
        <v>796</v>
      </c>
      <c r="G175" s="36" t="s">
        <v>796</v>
      </c>
      <c r="H175" s="36">
        <v>174518</v>
      </c>
      <c r="I175" s="36">
        <v>166721</v>
      </c>
      <c r="J175" s="36" t="s">
        <v>796</v>
      </c>
      <c r="K175" s="36">
        <v>191489</v>
      </c>
      <c r="L175" s="36" t="s">
        <v>796</v>
      </c>
      <c r="M175" s="36" t="s">
        <v>796</v>
      </c>
      <c r="N175" s="36" t="s">
        <v>796</v>
      </c>
      <c r="O175" s="36" t="s">
        <v>796</v>
      </c>
      <c r="P175" s="36">
        <v>191489</v>
      </c>
      <c r="Q175" s="36" t="s">
        <v>796</v>
      </c>
      <c r="R175" s="38" t="s">
        <v>842</v>
      </c>
      <c r="S175" s="35"/>
      <c r="T175" s="35"/>
      <c r="U175" s="35"/>
      <c r="V175" s="35"/>
      <c r="W175" s="35"/>
      <c r="X175" s="35"/>
      <c r="Y175" s="35"/>
    </row>
    <row r="176" spans="1:25" s="36" customFormat="1" ht="10.5" customHeight="1" x14ac:dyDescent="0.15">
      <c r="A176" s="448" t="s">
        <v>573</v>
      </c>
      <c r="B176" s="36" t="s">
        <v>796</v>
      </c>
      <c r="C176" s="36">
        <v>87376</v>
      </c>
      <c r="D176" s="36">
        <v>87376</v>
      </c>
      <c r="E176" s="36" t="s">
        <v>796</v>
      </c>
      <c r="F176" s="36" t="s">
        <v>796</v>
      </c>
      <c r="G176" s="36" t="s">
        <v>796</v>
      </c>
      <c r="H176" s="36" t="s">
        <v>796</v>
      </c>
      <c r="I176" s="36" t="s">
        <v>796</v>
      </c>
      <c r="J176" s="36" t="s">
        <v>796</v>
      </c>
      <c r="K176" s="36">
        <v>94689</v>
      </c>
      <c r="L176" s="36" t="s">
        <v>796</v>
      </c>
      <c r="M176" s="36" t="s">
        <v>796</v>
      </c>
      <c r="N176" s="36" t="s">
        <v>796</v>
      </c>
      <c r="O176" s="36" t="s">
        <v>796</v>
      </c>
      <c r="P176" s="36">
        <v>94689</v>
      </c>
      <c r="Q176" s="36" t="s">
        <v>796</v>
      </c>
      <c r="R176" s="38" t="s">
        <v>66</v>
      </c>
      <c r="S176" s="35"/>
      <c r="T176" s="35"/>
      <c r="U176" s="35"/>
      <c r="V176" s="35"/>
      <c r="W176" s="35"/>
      <c r="X176" s="35"/>
      <c r="Y176" s="35"/>
    </row>
    <row r="177" spans="1:25" s="36" customFormat="1" ht="10.5" customHeight="1" x14ac:dyDescent="0.15">
      <c r="A177" s="519" t="s">
        <v>574</v>
      </c>
      <c r="B177" s="523" t="s">
        <v>796</v>
      </c>
      <c r="C177" s="524">
        <v>217819</v>
      </c>
      <c r="D177" s="524" t="s">
        <v>796</v>
      </c>
      <c r="E177" s="524">
        <v>217819</v>
      </c>
      <c r="F177" s="524">
        <v>151008</v>
      </c>
      <c r="G177" s="524" t="s">
        <v>796</v>
      </c>
      <c r="H177" s="524" t="s">
        <v>796</v>
      </c>
      <c r="I177" s="524">
        <v>66811</v>
      </c>
      <c r="J177" s="524" t="s">
        <v>796</v>
      </c>
      <c r="K177" s="524">
        <v>105185</v>
      </c>
      <c r="L177" s="524" t="s">
        <v>796</v>
      </c>
      <c r="M177" s="524" t="s">
        <v>796</v>
      </c>
      <c r="N177" s="524" t="s">
        <v>796</v>
      </c>
      <c r="O177" s="524" t="s">
        <v>796</v>
      </c>
      <c r="P177" s="524">
        <v>105185</v>
      </c>
      <c r="Q177" s="524" t="s">
        <v>796</v>
      </c>
      <c r="R177" s="525" t="s">
        <v>67</v>
      </c>
      <c r="S177" s="35"/>
      <c r="T177" s="35"/>
      <c r="U177" s="35"/>
      <c r="V177" s="35"/>
      <c r="W177" s="35"/>
      <c r="X177" s="35"/>
      <c r="Y177" s="35"/>
    </row>
    <row r="178" spans="1:25" ht="23.25" customHeight="1" x14ac:dyDescent="0.25">
      <c r="I178" s="40" t="s">
        <v>86</v>
      </c>
    </row>
    <row r="179" spans="1:25" s="17" customFormat="1" ht="11.25" customHeight="1" x14ac:dyDescent="0.15">
      <c r="A179" s="655"/>
      <c r="B179" s="666" t="s">
        <v>865</v>
      </c>
      <c r="C179" s="658"/>
      <c r="D179" s="658"/>
      <c r="E179" s="655"/>
      <c r="F179" s="657"/>
      <c r="G179" s="658"/>
      <c r="H179" s="658"/>
      <c r="I179" s="658"/>
      <c r="J179" s="658"/>
      <c r="K179" s="658"/>
      <c r="L179" s="658"/>
      <c r="M179" s="655"/>
      <c r="N179" s="657"/>
      <c r="O179" s="658"/>
      <c r="P179" s="658"/>
      <c r="Q179" s="658"/>
      <c r="R179" s="1003" t="s">
        <v>72</v>
      </c>
      <c r="S179" s="16"/>
      <c r="T179" s="16"/>
      <c r="U179" s="16"/>
      <c r="V179" s="16"/>
      <c r="W179" s="16"/>
      <c r="X179" s="16"/>
      <c r="Y179" s="16"/>
    </row>
    <row r="180" spans="1:25" s="34" customFormat="1" ht="28.5" customHeight="1" x14ac:dyDescent="0.15">
      <c r="A180" s="24" t="s">
        <v>153</v>
      </c>
      <c r="B180" s="668" t="s">
        <v>866</v>
      </c>
      <c r="C180" s="659" t="s">
        <v>579</v>
      </c>
      <c r="D180" s="661"/>
      <c r="E180" s="662"/>
      <c r="F180" s="14" t="s">
        <v>144</v>
      </c>
      <c r="G180" s="660" t="s">
        <v>145</v>
      </c>
      <c r="H180" s="659" t="s">
        <v>437</v>
      </c>
      <c r="I180" s="661"/>
      <c r="J180" s="662"/>
      <c r="K180" s="660" t="s">
        <v>522</v>
      </c>
      <c r="L180" s="660" t="s">
        <v>791</v>
      </c>
      <c r="M180" s="660" t="s">
        <v>390</v>
      </c>
      <c r="N180" s="14" t="s">
        <v>101</v>
      </c>
      <c r="O180" s="659" t="s">
        <v>150</v>
      </c>
      <c r="P180" s="661"/>
      <c r="Q180" s="661"/>
      <c r="R180" s="1004"/>
      <c r="S180" s="13"/>
      <c r="T180" s="13"/>
      <c r="U180" s="13"/>
      <c r="V180" s="13"/>
      <c r="W180" s="13"/>
      <c r="X180" s="13"/>
      <c r="Y180" s="13"/>
    </row>
    <row r="181" spans="1:25" s="34" customFormat="1" ht="28.5" customHeight="1" x14ac:dyDescent="0.15">
      <c r="A181" s="24"/>
      <c r="B181" s="660" t="s">
        <v>148</v>
      </c>
      <c r="C181" s="14" t="s">
        <v>576</v>
      </c>
      <c r="D181" s="660" t="s">
        <v>580</v>
      </c>
      <c r="E181" s="660" t="s">
        <v>581</v>
      </c>
      <c r="F181" s="14" t="s">
        <v>21</v>
      </c>
      <c r="G181" s="660" t="s">
        <v>149</v>
      </c>
      <c r="H181" s="14" t="s">
        <v>103</v>
      </c>
      <c r="I181" s="660" t="s">
        <v>438</v>
      </c>
      <c r="J181" s="660" t="s">
        <v>439</v>
      </c>
      <c r="K181" s="660" t="s">
        <v>44</v>
      </c>
      <c r="L181" s="660" t="s">
        <v>396</v>
      </c>
      <c r="M181" s="660" t="s">
        <v>867</v>
      </c>
      <c r="N181" s="14" t="s">
        <v>45</v>
      </c>
      <c r="O181" s="14" t="s">
        <v>46</v>
      </c>
      <c r="P181" s="660" t="s">
        <v>868</v>
      </c>
      <c r="Q181" s="659" t="s">
        <v>151</v>
      </c>
      <c r="R181" s="1004"/>
      <c r="S181" s="13"/>
      <c r="T181" s="13"/>
      <c r="U181" s="13"/>
      <c r="V181" s="13"/>
      <c r="W181" s="13"/>
      <c r="X181" s="13"/>
      <c r="Y181" s="13"/>
    </row>
    <row r="182" spans="1:25" s="34" customFormat="1" ht="12" customHeight="1" x14ac:dyDescent="0.15">
      <c r="A182" s="526"/>
      <c r="B182" s="15" t="str">
        <f>PROPER("NAPO")</f>
        <v>Napo</v>
      </c>
      <c r="C182" s="15"/>
      <c r="D182" s="15" t="str">
        <f>PROPER("BUZIOS")</f>
        <v>Buzios</v>
      </c>
      <c r="E182" s="15" t="str">
        <f>PROPER("TUPI")</f>
        <v>Tupi</v>
      </c>
      <c r="F182" s="15"/>
      <c r="G182" s="15" t="str">
        <f>PROPER("SAHARA-B")</f>
        <v>Sahara-B</v>
      </c>
      <c r="H182" s="15"/>
      <c r="I182" s="15" t="str">
        <f>PROPER("AMNA")</f>
        <v>Amna</v>
      </c>
      <c r="J182" s="15" t="str">
        <f>PROPER("BU-ATTFL")</f>
        <v>Bu-Attfl</v>
      </c>
      <c r="K182" s="15" t="str">
        <f>PROPER("NILE")</f>
        <v>Nile</v>
      </c>
      <c r="L182" s="15" t="str">
        <f>PROPER("OLOMBEND")</f>
        <v>Olombend</v>
      </c>
      <c r="M182" s="15" t="str">
        <f>PROPER("TEMANE-C")</f>
        <v>Temane-C</v>
      </c>
      <c r="N182" s="15"/>
      <c r="O182" s="15"/>
      <c r="P182" s="15" t="str">
        <f>PROPER("N･W･S-C")</f>
        <v>N･W･S-C</v>
      </c>
      <c r="Q182" s="522" t="str">
        <f>PROPER("WANDOO")</f>
        <v>Wandoo</v>
      </c>
      <c r="R182" s="1005"/>
      <c r="S182" s="13"/>
      <c r="T182" s="13"/>
      <c r="U182" s="13"/>
      <c r="V182" s="13"/>
      <c r="W182" s="13"/>
      <c r="X182" s="13"/>
      <c r="Y182" s="13"/>
    </row>
    <row r="183" spans="1:25" s="36" customFormat="1" ht="10.5" customHeight="1" x14ac:dyDescent="0.15">
      <c r="A183" s="645" t="s">
        <v>831</v>
      </c>
      <c r="B183" s="663">
        <v>2391069</v>
      </c>
      <c r="C183" s="664" t="s">
        <v>796</v>
      </c>
      <c r="D183" s="664" t="s">
        <v>796</v>
      </c>
      <c r="E183" s="664" t="s">
        <v>796</v>
      </c>
      <c r="F183" s="664">
        <v>421459</v>
      </c>
      <c r="G183" s="664">
        <v>369843</v>
      </c>
      <c r="H183" s="664">
        <v>51616</v>
      </c>
      <c r="I183" s="664">
        <v>26414</v>
      </c>
      <c r="J183" s="664">
        <v>25202</v>
      </c>
      <c r="K183" s="664" t="s">
        <v>796</v>
      </c>
      <c r="L183" s="664" t="s">
        <v>796</v>
      </c>
      <c r="M183" s="664" t="s">
        <v>796</v>
      </c>
      <c r="N183" s="664">
        <v>359911</v>
      </c>
      <c r="O183" s="664">
        <v>313145</v>
      </c>
      <c r="P183" s="664" t="s">
        <v>796</v>
      </c>
      <c r="Q183" s="664">
        <v>210750</v>
      </c>
      <c r="R183" s="665" t="s">
        <v>517</v>
      </c>
      <c r="S183" s="35"/>
      <c r="T183" s="35"/>
      <c r="U183" s="35"/>
      <c r="V183" s="35"/>
      <c r="W183" s="35"/>
      <c r="X183" s="35"/>
      <c r="Y183" s="35"/>
    </row>
    <row r="184" spans="1:25" s="36" customFormat="1" ht="10.5" customHeight="1" x14ac:dyDescent="0.15">
      <c r="A184" s="448" t="s">
        <v>557</v>
      </c>
      <c r="B184" s="36">
        <v>2140541</v>
      </c>
      <c r="C184" s="36">
        <v>318</v>
      </c>
      <c r="D184" s="36">
        <v>157</v>
      </c>
      <c r="E184" s="36">
        <v>161</v>
      </c>
      <c r="F184" s="36">
        <v>752667</v>
      </c>
      <c r="G184" s="36">
        <v>498527</v>
      </c>
      <c r="H184" s="36">
        <v>67609</v>
      </c>
      <c r="I184" s="36" t="s">
        <v>796</v>
      </c>
      <c r="J184" s="36">
        <v>67609</v>
      </c>
      <c r="K184" s="36">
        <v>151524</v>
      </c>
      <c r="L184" s="36" t="s">
        <v>796</v>
      </c>
      <c r="M184" s="36">
        <v>35007</v>
      </c>
      <c r="N184" s="36">
        <v>333763</v>
      </c>
      <c r="O184" s="36">
        <v>259648</v>
      </c>
      <c r="P184" s="36" t="s">
        <v>796</v>
      </c>
      <c r="Q184" s="36">
        <v>208293</v>
      </c>
      <c r="R184" s="38" t="s">
        <v>558</v>
      </c>
      <c r="S184" s="35"/>
      <c r="T184" s="35"/>
      <c r="U184" s="35"/>
      <c r="V184" s="35"/>
      <c r="W184" s="35"/>
      <c r="X184" s="35"/>
      <c r="Y184" s="35"/>
    </row>
    <row r="185" spans="1:25" s="36" customFormat="1" ht="10.5" customHeight="1" x14ac:dyDescent="0.15">
      <c r="A185" s="448" t="s">
        <v>682</v>
      </c>
      <c r="B185" s="36">
        <v>2809427</v>
      </c>
      <c r="C185" s="36" t="s">
        <v>796</v>
      </c>
      <c r="D185" s="36" t="s">
        <v>796</v>
      </c>
      <c r="E185" s="36" t="s">
        <v>796</v>
      </c>
      <c r="F185" s="36">
        <v>342064</v>
      </c>
      <c r="G185" s="36">
        <v>86900</v>
      </c>
      <c r="H185" s="36" t="s">
        <v>796</v>
      </c>
      <c r="I185" s="36" t="s">
        <v>796</v>
      </c>
      <c r="J185" s="36" t="s">
        <v>796</v>
      </c>
      <c r="K185" s="36">
        <v>97200</v>
      </c>
      <c r="L185" s="36">
        <v>157964</v>
      </c>
      <c r="M185" s="36" t="s">
        <v>796</v>
      </c>
      <c r="N185" s="36">
        <v>393846</v>
      </c>
      <c r="O185" s="36">
        <v>363482</v>
      </c>
      <c r="P185" s="36">
        <v>48240</v>
      </c>
      <c r="Q185" s="36">
        <v>250251</v>
      </c>
      <c r="R185" s="38" t="s">
        <v>683</v>
      </c>
      <c r="S185" s="35"/>
      <c r="T185" s="35"/>
      <c r="U185" s="35"/>
      <c r="V185" s="35"/>
      <c r="W185" s="35"/>
      <c r="X185" s="35"/>
      <c r="Y185" s="35"/>
    </row>
    <row r="186" spans="1:25" s="36" customFormat="1" ht="10.5" customHeight="1" x14ac:dyDescent="0.15">
      <c r="A186" s="448" t="s">
        <v>784</v>
      </c>
      <c r="B186" s="36">
        <v>1938443</v>
      </c>
      <c r="C186" s="36" t="s">
        <v>796</v>
      </c>
      <c r="D186" s="36" t="s">
        <v>796</v>
      </c>
      <c r="E186" s="36" t="s">
        <v>796</v>
      </c>
      <c r="F186" s="36">
        <v>24826</v>
      </c>
      <c r="G186" s="36" t="s">
        <v>796</v>
      </c>
      <c r="H186" s="36" t="s">
        <v>796</v>
      </c>
      <c r="I186" s="36" t="s">
        <v>796</v>
      </c>
      <c r="J186" s="36" t="s">
        <v>796</v>
      </c>
      <c r="K186" s="36">
        <v>24826</v>
      </c>
      <c r="L186" s="36" t="s">
        <v>796</v>
      </c>
      <c r="M186" s="36" t="s">
        <v>796</v>
      </c>
      <c r="N186" s="36">
        <v>620923</v>
      </c>
      <c r="O186" s="36">
        <v>620923</v>
      </c>
      <c r="P186" s="36" t="s">
        <v>796</v>
      </c>
      <c r="Q186" s="36">
        <v>53820</v>
      </c>
      <c r="R186" s="38" t="s">
        <v>785</v>
      </c>
      <c r="S186" s="35"/>
      <c r="T186" s="35"/>
      <c r="U186" s="35"/>
      <c r="V186" s="35"/>
      <c r="W186" s="35"/>
      <c r="X186" s="35"/>
      <c r="Y186" s="35"/>
    </row>
    <row r="187" spans="1:25" s="36" customFormat="1" ht="10.5" customHeight="1" x14ac:dyDescent="0.15">
      <c r="A187" s="448" t="s">
        <v>832</v>
      </c>
      <c r="B187" s="36">
        <v>1549684</v>
      </c>
      <c r="C187" s="36" t="s">
        <v>796</v>
      </c>
      <c r="D187" s="36" t="s">
        <v>796</v>
      </c>
      <c r="E187" s="36" t="s">
        <v>796</v>
      </c>
      <c r="F187" s="36">
        <v>16189</v>
      </c>
      <c r="G187" s="36" t="s">
        <v>796</v>
      </c>
      <c r="H187" s="36" t="s">
        <v>796</v>
      </c>
      <c r="I187" s="36" t="s">
        <v>796</v>
      </c>
      <c r="J187" s="36" t="s">
        <v>796</v>
      </c>
      <c r="K187" s="36">
        <v>16189</v>
      </c>
      <c r="L187" s="36" t="s">
        <v>796</v>
      </c>
      <c r="M187" s="36" t="s">
        <v>796</v>
      </c>
      <c r="N187" s="36">
        <v>440816</v>
      </c>
      <c r="O187" s="36">
        <v>440816</v>
      </c>
      <c r="P187" s="36">
        <v>48521</v>
      </c>
      <c r="Q187" s="36">
        <v>167363</v>
      </c>
      <c r="R187" s="38" t="s">
        <v>833</v>
      </c>
      <c r="S187" s="35"/>
      <c r="T187" s="35"/>
      <c r="U187" s="35"/>
      <c r="V187" s="35"/>
      <c r="W187" s="35"/>
      <c r="X187" s="35"/>
      <c r="Y187" s="35"/>
    </row>
    <row r="188" spans="1:25" s="36" customFormat="1" ht="10.5" customHeight="1" x14ac:dyDescent="0.15">
      <c r="A188" s="464"/>
      <c r="R188" s="38"/>
      <c r="S188" s="35"/>
      <c r="T188" s="35"/>
      <c r="U188" s="35"/>
      <c r="V188" s="35"/>
      <c r="W188" s="35"/>
      <c r="X188" s="35"/>
      <c r="Y188" s="35"/>
    </row>
    <row r="189" spans="1:25" s="36" customFormat="1" ht="10.5" customHeight="1" x14ac:dyDescent="0.15">
      <c r="A189" s="448" t="s">
        <v>834</v>
      </c>
      <c r="B189" s="36">
        <v>2044285</v>
      </c>
      <c r="C189" s="36" t="s">
        <v>796</v>
      </c>
      <c r="D189" s="36" t="s">
        <v>796</v>
      </c>
      <c r="E189" s="36" t="s">
        <v>796</v>
      </c>
      <c r="F189" s="36">
        <v>24826</v>
      </c>
      <c r="G189" s="36" t="s">
        <v>796</v>
      </c>
      <c r="H189" s="36" t="s">
        <v>796</v>
      </c>
      <c r="I189" s="36" t="s">
        <v>796</v>
      </c>
      <c r="J189" s="36" t="s">
        <v>796</v>
      </c>
      <c r="K189" s="36">
        <v>24826</v>
      </c>
      <c r="L189" s="36" t="s">
        <v>796</v>
      </c>
      <c r="M189" s="36" t="s">
        <v>796</v>
      </c>
      <c r="N189" s="36">
        <v>661105</v>
      </c>
      <c r="O189" s="36">
        <v>661105</v>
      </c>
      <c r="P189" s="36" t="s">
        <v>796</v>
      </c>
      <c r="Q189" s="36">
        <v>117261</v>
      </c>
      <c r="R189" s="38" t="s">
        <v>786</v>
      </c>
      <c r="S189" s="35"/>
      <c r="T189" s="35"/>
      <c r="U189" s="35"/>
      <c r="V189" s="35"/>
      <c r="W189" s="35"/>
      <c r="X189" s="35"/>
      <c r="Y189" s="35"/>
    </row>
    <row r="190" spans="1:25" s="36" customFormat="1" ht="10.5" customHeight="1" x14ac:dyDescent="0.15">
      <c r="A190" s="448" t="s">
        <v>835</v>
      </c>
      <c r="B190" s="36">
        <v>1527134</v>
      </c>
      <c r="C190" s="36" t="s">
        <v>796</v>
      </c>
      <c r="D190" s="36" t="s">
        <v>796</v>
      </c>
      <c r="E190" s="36" t="s">
        <v>796</v>
      </c>
      <c r="F190" s="36">
        <v>16189</v>
      </c>
      <c r="G190" s="36" t="s">
        <v>796</v>
      </c>
      <c r="H190" s="36" t="s">
        <v>796</v>
      </c>
      <c r="I190" s="36" t="s">
        <v>796</v>
      </c>
      <c r="J190" s="36" t="s">
        <v>796</v>
      </c>
      <c r="K190" s="36">
        <v>16189</v>
      </c>
      <c r="L190" s="36" t="s">
        <v>796</v>
      </c>
      <c r="M190" s="36" t="s">
        <v>796</v>
      </c>
      <c r="N190" s="36">
        <v>546996</v>
      </c>
      <c r="O190" s="36">
        <v>546996</v>
      </c>
      <c r="P190" s="36">
        <v>48521</v>
      </c>
      <c r="Q190" s="36">
        <v>165663</v>
      </c>
      <c r="R190" s="38" t="s">
        <v>836</v>
      </c>
      <c r="S190" s="35"/>
      <c r="T190" s="35"/>
      <c r="U190" s="35"/>
      <c r="V190" s="35"/>
      <c r="W190" s="35"/>
      <c r="X190" s="35"/>
      <c r="Y190" s="35"/>
    </row>
    <row r="191" spans="1:25" s="36" customFormat="1" ht="10.5" customHeight="1" x14ac:dyDescent="0.15">
      <c r="A191" s="464"/>
      <c r="R191" s="38"/>
      <c r="S191" s="35"/>
      <c r="T191" s="35"/>
      <c r="U191" s="35"/>
      <c r="V191" s="35"/>
      <c r="W191" s="35"/>
      <c r="X191" s="35"/>
      <c r="Y191" s="35"/>
    </row>
    <row r="192" spans="1:25" s="36" customFormat="1" ht="10.5" customHeight="1" x14ac:dyDescent="0.15">
      <c r="A192" s="448" t="s">
        <v>837</v>
      </c>
      <c r="B192" s="36">
        <v>413913</v>
      </c>
      <c r="C192" s="36" t="s">
        <v>796</v>
      </c>
      <c r="D192" s="36" t="s">
        <v>796</v>
      </c>
      <c r="E192" s="36" t="s">
        <v>796</v>
      </c>
      <c r="F192" s="36" t="s">
        <v>796</v>
      </c>
      <c r="G192" s="36" t="s">
        <v>796</v>
      </c>
      <c r="H192" s="36" t="s">
        <v>796</v>
      </c>
      <c r="I192" s="36" t="s">
        <v>796</v>
      </c>
      <c r="J192" s="36" t="s">
        <v>796</v>
      </c>
      <c r="K192" s="36" t="s">
        <v>796</v>
      </c>
      <c r="L192" s="36" t="s">
        <v>796</v>
      </c>
      <c r="M192" s="36" t="s">
        <v>796</v>
      </c>
      <c r="N192" s="36">
        <v>77147</v>
      </c>
      <c r="O192" s="36">
        <v>77147</v>
      </c>
      <c r="P192" s="36" t="s">
        <v>796</v>
      </c>
      <c r="Q192" s="36">
        <v>77147</v>
      </c>
      <c r="R192" s="38" t="s">
        <v>787</v>
      </c>
      <c r="S192" s="35"/>
      <c r="T192" s="35"/>
      <c r="U192" s="35"/>
      <c r="V192" s="35"/>
      <c r="W192" s="35"/>
      <c r="X192" s="35"/>
      <c r="Y192" s="35"/>
    </row>
    <row r="193" spans="1:25" s="36" customFormat="1" ht="10.5" customHeight="1" x14ac:dyDescent="0.15">
      <c r="A193" s="448" t="s">
        <v>559</v>
      </c>
      <c r="B193" s="36">
        <v>389822</v>
      </c>
      <c r="C193" s="36" t="s">
        <v>796</v>
      </c>
      <c r="D193" s="36" t="s">
        <v>796</v>
      </c>
      <c r="E193" s="36" t="s">
        <v>796</v>
      </c>
      <c r="F193" s="36" t="s">
        <v>796</v>
      </c>
      <c r="G193" s="36" t="s">
        <v>796</v>
      </c>
      <c r="H193" s="36" t="s">
        <v>796</v>
      </c>
      <c r="I193" s="36" t="s">
        <v>796</v>
      </c>
      <c r="J193" s="36" t="s">
        <v>796</v>
      </c>
      <c r="K193" s="36" t="s">
        <v>796</v>
      </c>
      <c r="L193" s="36" t="s">
        <v>796</v>
      </c>
      <c r="M193" s="36" t="s">
        <v>796</v>
      </c>
      <c r="N193" s="36">
        <v>142946</v>
      </c>
      <c r="O193" s="36">
        <v>142946</v>
      </c>
      <c r="P193" s="36" t="s">
        <v>796</v>
      </c>
      <c r="Q193" s="36">
        <v>31587</v>
      </c>
      <c r="R193" s="38" t="s">
        <v>78</v>
      </c>
      <c r="S193" s="35"/>
      <c r="T193" s="35"/>
      <c r="U193" s="35"/>
      <c r="V193" s="35"/>
      <c r="W193" s="35"/>
      <c r="X193" s="35"/>
      <c r="Y193" s="35"/>
    </row>
    <row r="194" spans="1:25" s="36" customFormat="1" ht="10.5" customHeight="1" x14ac:dyDescent="0.15">
      <c r="A194" s="448" t="s">
        <v>560</v>
      </c>
      <c r="B194" s="36">
        <v>283775</v>
      </c>
      <c r="C194" s="36" t="s">
        <v>796</v>
      </c>
      <c r="D194" s="36" t="s">
        <v>796</v>
      </c>
      <c r="E194" s="36" t="s">
        <v>796</v>
      </c>
      <c r="F194" s="36">
        <v>16189</v>
      </c>
      <c r="G194" s="36" t="s">
        <v>796</v>
      </c>
      <c r="H194" s="36" t="s">
        <v>796</v>
      </c>
      <c r="I194" s="36" t="s">
        <v>796</v>
      </c>
      <c r="J194" s="36" t="s">
        <v>796</v>
      </c>
      <c r="K194" s="36">
        <v>16189</v>
      </c>
      <c r="L194" s="36" t="s">
        <v>796</v>
      </c>
      <c r="M194" s="36" t="s">
        <v>796</v>
      </c>
      <c r="N194" s="36">
        <v>43423</v>
      </c>
      <c r="O194" s="36">
        <v>43423</v>
      </c>
      <c r="P194" s="36" t="s">
        <v>796</v>
      </c>
      <c r="Q194" s="36">
        <v>31668</v>
      </c>
      <c r="R194" s="38" t="s">
        <v>79</v>
      </c>
      <c r="S194" s="35"/>
      <c r="T194" s="35"/>
      <c r="U194" s="35"/>
      <c r="V194" s="35"/>
      <c r="W194" s="35"/>
      <c r="X194" s="35"/>
      <c r="Y194" s="35"/>
    </row>
    <row r="195" spans="1:25" s="36" customFormat="1" ht="10.5" customHeight="1" x14ac:dyDescent="0.15">
      <c r="A195" s="448" t="s">
        <v>561</v>
      </c>
      <c r="B195" s="36">
        <v>462174</v>
      </c>
      <c r="C195" s="36" t="s">
        <v>796</v>
      </c>
      <c r="D195" s="36" t="s">
        <v>796</v>
      </c>
      <c r="E195" s="36" t="s">
        <v>796</v>
      </c>
      <c r="F195" s="36" t="s">
        <v>796</v>
      </c>
      <c r="G195" s="36" t="s">
        <v>796</v>
      </c>
      <c r="H195" s="36" t="s">
        <v>796</v>
      </c>
      <c r="I195" s="36" t="s">
        <v>796</v>
      </c>
      <c r="J195" s="36" t="s">
        <v>796</v>
      </c>
      <c r="K195" s="36" t="s">
        <v>796</v>
      </c>
      <c r="L195" s="36" t="s">
        <v>796</v>
      </c>
      <c r="M195" s="36" t="s">
        <v>796</v>
      </c>
      <c r="N195" s="36">
        <v>177300</v>
      </c>
      <c r="O195" s="36">
        <v>177300</v>
      </c>
      <c r="P195" s="36">
        <v>48521</v>
      </c>
      <c r="Q195" s="36">
        <v>26961</v>
      </c>
      <c r="R195" s="38" t="s">
        <v>80</v>
      </c>
      <c r="S195" s="35"/>
      <c r="T195" s="35"/>
      <c r="U195" s="35"/>
      <c r="V195" s="35"/>
      <c r="W195" s="35"/>
      <c r="X195" s="35"/>
      <c r="Y195" s="35"/>
    </row>
    <row r="196" spans="1:25" s="36" customFormat="1" ht="10.5" customHeight="1" x14ac:dyDescent="0.15">
      <c r="A196" s="448" t="s">
        <v>838</v>
      </c>
      <c r="B196" s="36">
        <v>391363</v>
      </c>
      <c r="C196" s="36" t="s">
        <v>796</v>
      </c>
      <c r="D196" s="36" t="s">
        <v>796</v>
      </c>
      <c r="E196" s="36" t="s">
        <v>796</v>
      </c>
      <c r="F196" s="36" t="s">
        <v>796</v>
      </c>
      <c r="G196" s="36" t="s">
        <v>796</v>
      </c>
      <c r="H196" s="36" t="s">
        <v>796</v>
      </c>
      <c r="I196" s="36" t="s">
        <v>796</v>
      </c>
      <c r="J196" s="36" t="s">
        <v>796</v>
      </c>
      <c r="K196" s="36" t="s">
        <v>796</v>
      </c>
      <c r="L196" s="36" t="s">
        <v>796</v>
      </c>
      <c r="M196" s="36" t="s">
        <v>796</v>
      </c>
      <c r="N196" s="36">
        <v>183327</v>
      </c>
      <c r="O196" s="36">
        <v>183327</v>
      </c>
      <c r="P196" s="36" t="s">
        <v>796</v>
      </c>
      <c r="Q196" s="36">
        <v>75447</v>
      </c>
      <c r="R196" s="38" t="s">
        <v>839</v>
      </c>
      <c r="S196" s="35"/>
      <c r="T196" s="35"/>
      <c r="U196" s="35"/>
      <c r="V196" s="35"/>
      <c r="W196" s="35"/>
      <c r="X196" s="35"/>
      <c r="Y196" s="35"/>
    </row>
    <row r="197" spans="1:25" s="36" customFormat="1" ht="10.5" customHeight="1" x14ac:dyDescent="0.15">
      <c r="A197" s="464"/>
      <c r="R197" s="38"/>
      <c r="S197" s="35"/>
      <c r="T197" s="35"/>
      <c r="U197" s="35"/>
      <c r="V197" s="35"/>
      <c r="W197" s="35"/>
      <c r="X197" s="35"/>
      <c r="Y197" s="35"/>
    </row>
    <row r="198" spans="1:25" s="36" customFormat="1" ht="10.5" customHeight="1" x14ac:dyDescent="0.15">
      <c r="A198" s="448" t="s">
        <v>840</v>
      </c>
      <c r="B198" s="36">
        <v>110258</v>
      </c>
      <c r="C198" s="36" t="s">
        <v>796</v>
      </c>
      <c r="D198" s="36" t="s">
        <v>796</v>
      </c>
      <c r="E198" s="36" t="s">
        <v>796</v>
      </c>
      <c r="F198" s="36" t="s">
        <v>796</v>
      </c>
      <c r="G198" s="36" t="s">
        <v>796</v>
      </c>
      <c r="H198" s="36" t="s">
        <v>796</v>
      </c>
      <c r="I198" s="36" t="s">
        <v>796</v>
      </c>
      <c r="J198" s="36" t="s">
        <v>796</v>
      </c>
      <c r="K198" s="36" t="s">
        <v>796</v>
      </c>
      <c r="L198" s="36" t="s">
        <v>796</v>
      </c>
      <c r="M198" s="36" t="s">
        <v>796</v>
      </c>
      <c r="N198" s="36">
        <v>42827</v>
      </c>
      <c r="O198" s="36">
        <v>42827</v>
      </c>
      <c r="P198" s="36" t="s">
        <v>796</v>
      </c>
      <c r="Q198" s="36">
        <v>42827</v>
      </c>
      <c r="R198" s="38" t="s">
        <v>788</v>
      </c>
      <c r="S198" s="35"/>
      <c r="T198" s="35"/>
      <c r="U198" s="35"/>
      <c r="V198" s="35"/>
      <c r="W198" s="35"/>
      <c r="X198" s="35"/>
      <c r="Y198" s="35"/>
    </row>
    <row r="199" spans="1:25" s="36" customFormat="1" ht="10.5" customHeight="1" x14ac:dyDescent="0.15">
      <c r="A199" s="448" t="s">
        <v>562</v>
      </c>
      <c r="B199" s="36">
        <v>192366</v>
      </c>
      <c r="C199" s="36" t="s">
        <v>796</v>
      </c>
      <c r="D199" s="36" t="s">
        <v>796</v>
      </c>
      <c r="E199" s="36" t="s">
        <v>796</v>
      </c>
      <c r="F199" s="36" t="s">
        <v>796</v>
      </c>
      <c r="G199" s="36" t="s">
        <v>796</v>
      </c>
      <c r="H199" s="36" t="s">
        <v>796</v>
      </c>
      <c r="I199" s="36" t="s">
        <v>796</v>
      </c>
      <c r="J199" s="36" t="s">
        <v>796</v>
      </c>
      <c r="K199" s="36" t="s">
        <v>796</v>
      </c>
      <c r="L199" s="36" t="s">
        <v>796</v>
      </c>
      <c r="M199" s="36" t="s">
        <v>796</v>
      </c>
      <c r="N199" s="36" t="s">
        <v>796</v>
      </c>
      <c r="O199" s="36" t="s">
        <v>796</v>
      </c>
      <c r="P199" s="36" t="s">
        <v>796</v>
      </c>
      <c r="Q199" s="36" t="s">
        <v>796</v>
      </c>
      <c r="R199" s="38" t="s">
        <v>66</v>
      </c>
      <c r="S199" s="35"/>
      <c r="T199" s="35"/>
      <c r="U199" s="35"/>
      <c r="V199" s="35"/>
      <c r="W199" s="35"/>
      <c r="X199" s="35"/>
      <c r="Y199" s="35"/>
    </row>
    <row r="200" spans="1:25" s="36" customFormat="1" ht="10.5" customHeight="1" x14ac:dyDescent="0.15">
      <c r="A200" s="448" t="s">
        <v>563</v>
      </c>
      <c r="B200" s="36">
        <v>111289</v>
      </c>
      <c r="C200" s="36" t="s">
        <v>796</v>
      </c>
      <c r="D200" s="36" t="s">
        <v>796</v>
      </c>
      <c r="E200" s="36" t="s">
        <v>796</v>
      </c>
      <c r="F200" s="36" t="s">
        <v>796</v>
      </c>
      <c r="G200" s="36" t="s">
        <v>796</v>
      </c>
      <c r="H200" s="36" t="s">
        <v>796</v>
      </c>
      <c r="I200" s="36" t="s">
        <v>796</v>
      </c>
      <c r="J200" s="36" t="s">
        <v>796</v>
      </c>
      <c r="K200" s="36" t="s">
        <v>796</v>
      </c>
      <c r="L200" s="36" t="s">
        <v>796</v>
      </c>
      <c r="M200" s="36" t="s">
        <v>796</v>
      </c>
      <c r="N200" s="36">
        <v>34320</v>
      </c>
      <c r="O200" s="36">
        <v>34320</v>
      </c>
      <c r="P200" s="36" t="s">
        <v>796</v>
      </c>
      <c r="Q200" s="36">
        <v>34320</v>
      </c>
      <c r="R200" s="38" t="s">
        <v>67</v>
      </c>
      <c r="S200" s="35"/>
      <c r="T200" s="35"/>
      <c r="U200" s="35"/>
      <c r="V200" s="35"/>
      <c r="W200" s="35"/>
      <c r="X200" s="35"/>
      <c r="Y200" s="35"/>
    </row>
    <row r="201" spans="1:25" s="36" customFormat="1" ht="10.5" customHeight="1" x14ac:dyDescent="0.15">
      <c r="A201" s="448" t="s">
        <v>564</v>
      </c>
      <c r="B201" s="36">
        <v>198686</v>
      </c>
      <c r="C201" s="36" t="s">
        <v>796</v>
      </c>
      <c r="D201" s="36" t="s">
        <v>796</v>
      </c>
      <c r="E201" s="36" t="s">
        <v>796</v>
      </c>
      <c r="F201" s="36" t="s">
        <v>796</v>
      </c>
      <c r="G201" s="36" t="s">
        <v>796</v>
      </c>
      <c r="H201" s="36" t="s">
        <v>796</v>
      </c>
      <c r="I201" s="36" t="s">
        <v>796</v>
      </c>
      <c r="J201" s="36" t="s">
        <v>796</v>
      </c>
      <c r="K201" s="36" t="s">
        <v>796</v>
      </c>
      <c r="L201" s="36" t="s">
        <v>796</v>
      </c>
      <c r="M201" s="36" t="s">
        <v>796</v>
      </c>
      <c r="N201" s="36">
        <v>102172</v>
      </c>
      <c r="O201" s="36">
        <v>102172</v>
      </c>
      <c r="P201" s="36" t="s">
        <v>796</v>
      </c>
      <c r="Q201" s="36" t="s">
        <v>796</v>
      </c>
      <c r="R201" s="38" t="s">
        <v>68</v>
      </c>
      <c r="S201" s="35"/>
      <c r="T201" s="35"/>
      <c r="U201" s="35"/>
      <c r="V201" s="35"/>
      <c r="W201" s="35"/>
      <c r="X201" s="35"/>
      <c r="Y201" s="35"/>
    </row>
    <row r="202" spans="1:25" s="36" customFormat="1" ht="10.5" customHeight="1" x14ac:dyDescent="0.15">
      <c r="A202" s="448" t="s">
        <v>565</v>
      </c>
      <c r="B202" s="36">
        <v>97223</v>
      </c>
      <c r="C202" s="36" t="s">
        <v>796</v>
      </c>
      <c r="D202" s="36" t="s">
        <v>796</v>
      </c>
      <c r="E202" s="36" t="s">
        <v>796</v>
      </c>
      <c r="F202" s="36" t="s">
        <v>796</v>
      </c>
      <c r="G202" s="36" t="s">
        <v>796</v>
      </c>
      <c r="H202" s="36" t="s">
        <v>796</v>
      </c>
      <c r="I202" s="36" t="s">
        <v>796</v>
      </c>
      <c r="J202" s="36" t="s">
        <v>796</v>
      </c>
      <c r="K202" s="36" t="s">
        <v>796</v>
      </c>
      <c r="L202" s="36" t="s">
        <v>796</v>
      </c>
      <c r="M202" s="36" t="s">
        <v>796</v>
      </c>
      <c r="N202" s="36">
        <v>21616</v>
      </c>
      <c r="O202" s="36">
        <v>21616</v>
      </c>
      <c r="P202" s="36" t="s">
        <v>796</v>
      </c>
      <c r="Q202" s="36">
        <v>14134</v>
      </c>
      <c r="R202" s="39" t="s">
        <v>81</v>
      </c>
      <c r="S202" s="35"/>
      <c r="T202" s="35"/>
      <c r="U202" s="35"/>
      <c r="V202" s="35"/>
      <c r="W202" s="35"/>
      <c r="X202" s="35"/>
      <c r="Y202" s="35"/>
    </row>
    <row r="203" spans="1:25" s="36" customFormat="1" ht="10.5" customHeight="1" x14ac:dyDescent="0.15">
      <c r="A203" s="448" t="s">
        <v>566</v>
      </c>
      <c r="B203" s="36">
        <v>93913</v>
      </c>
      <c r="C203" s="36" t="s">
        <v>796</v>
      </c>
      <c r="D203" s="36" t="s">
        <v>796</v>
      </c>
      <c r="E203" s="36" t="s">
        <v>796</v>
      </c>
      <c r="F203" s="36" t="s">
        <v>796</v>
      </c>
      <c r="G203" s="36" t="s">
        <v>796</v>
      </c>
      <c r="H203" s="36" t="s">
        <v>796</v>
      </c>
      <c r="I203" s="36" t="s">
        <v>796</v>
      </c>
      <c r="J203" s="36" t="s">
        <v>796</v>
      </c>
      <c r="K203" s="36" t="s">
        <v>796</v>
      </c>
      <c r="L203" s="36" t="s">
        <v>796</v>
      </c>
      <c r="M203" s="36" t="s">
        <v>796</v>
      </c>
      <c r="N203" s="36">
        <v>19158</v>
      </c>
      <c r="O203" s="36">
        <v>19158</v>
      </c>
      <c r="P203" s="36" t="s">
        <v>796</v>
      </c>
      <c r="Q203" s="36">
        <v>17453</v>
      </c>
      <c r="R203" s="38" t="s">
        <v>82</v>
      </c>
      <c r="S203" s="35"/>
      <c r="T203" s="35"/>
      <c r="U203" s="35"/>
      <c r="V203" s="35"/>
      <c r="W203" s="35"/>
      <c r="X203" s="35"/>
      <c r="Y203" s="35"/>
    </row>
    <row r="204" spans="1:25" s="36" customFormat="1" ht="10.5" customHeight="1" x14ac:dyDescent="0.15">
      <c r="A204" s="448" t="s">
        <v>567</v>
      </c>
      <c r="B204" s="36">
        <v>95411</v>
      </c>
      <c r="C204" s="36" t="s">
        <v>796</v>
      </c>
      <c r="D204" s="36" t="s">
        <v>796</v>
      </c>
      <c r="E204" s="36" t="s">
        <v>796</v>
      </c>
      <c r="F204" s="36">
        <v>16189</v>
      </c>
      <c r="G204" s="36" t="s">
        <v>796</v>
      </c>
      <c r="H204" s="36" t="s">
        <v>796</v>
      </c>
      <c r="I204" s="36" t="s">
        <v>796</v>
      </c>
      <c r="J204" s="36" t="s">
        <v>796</v>
      </c>
      <c r="K204" s="36">
        <v>16189</v>
      </c>
      <c r="L204" s="36" t="s">
        <v>796</v>
      </c>
      <c r="M204" s="36" t="s">
        <v>796</v>
      </c>
      <c r="N204" s="36">
        <v>16833</v>
      </c>
      <c r="O204" s="36">
        <v>16833</v>
      </c>
      <c r="P204" s="36" t="s">
        <v>796</v>
      </c>
      <c r="Q204" s="36">
        <v>16833</v>
      </c>
      <c r="R204" s="38" t="s">
        <v>83</v>
      </c>
      <c r="S204" s="35"/>
      <c r="T204" s="35"/>
      <c r="U204" s="35"/>
      <c r="V204" s="35"/>
      <c r="W204" s="35"/>
      <c r="X204" s="35"/>
      <c r="Y204" s="35"/>
    </row>
    <row r="205" spans="1:25" s="36" customFormat="1" ht="10.5" customHeight="1" x14ac:dyDescent="0.15">
      <c r="A205" s="448" t="s">
        <v>568</v>
      </c>
      <c r="B205" s="36">
        <v>94381</v>
      </c>
      <c r="C205" s="36" t="s">
        <v>796</v>
      </c>
      <c r="D205" s="36" t="s">
        <v>796</v>
      </c>
      <c r="E205" s="36" t="s">
        <v>796</v>
      </c>
      <c r="F205" s="36" t="s">
        <v>796</v>
      </c>
      <c r="G205" s="36" t="s">
        <v>796</v>
      </c>
      <c r="H205" s="36" t="s">
        <v>796</v>
      </c>
      <c r="I205" s="36" t="s">
        <v>796</v>
      </c>
      <c r="J205" s="36" t="s">
        <v>796</v>
      </c>
      <c r="K205" s="36" t="s">
        <v>796</v>
      </c>
      <c r="L205" s="36" t="s">
        <v>796</v>
      </c>
      <c r="M205" s="36" t="s">
        <v>796</v>
      </c>
      <c r="N205" s="36">
        <v>14835</v>
      </c>
      <c r="O205" s="36">
        <v>14835</v>
      </c>
      <c r="P205" s="36" t="s">
        <v>796</v>
      </c>
      <c r="Q205" s="36">
        <v>14835</v>
      </c>
      <c r="R205" s="38" t="s">
        <v>84</v>
      </c>
      <c r="S205" s="35"/>
      <c r="T205" s="35"/>
      <c r="U205" s="35"/>
      <c r="V205" s="35"/>
      <c r="W205" s="35"/>
      <c r="X205" s="35"/>
      <c r="Y205" s="35"/>
    </row>
    <row r="206" spans="1:25" s="36" customFormat="1" ht="10.5" customHeight="1" x14ac:dyDescent="0.15">
      <c r="A206" s="448" t="s">
        <v>569</v>
      </c>
      <c r="B206" s="36">
        <v>93983</v>
      </c>
      <c r="C206" s="36" t="s">
        <v>796</v>
      </c>
      <c r="D206" s="36" t="s">
        <v>796</v>
      </c>
      <c r="E206" s="36" t="s">
        <v>796</v>
      </c>
      <c r="F206" s="36" t="s">
        <v>796</v>
      </c>
      <c r="G206" s="36" t="s">
        <v>796</v>
      </c>
      <c r="H206" s="36" t="s">
        <v>796</v>
      </c>
      <c r="I206" s="36" t="s">
        <v>796</v>
      </c>
      <c r="J206" s="36" t="s">
        <v>796</v>
      </c>
      <c r="K206" s="36" t="s">
        <v>796</v>
      </c>
      <c r="L206" s="36" t="s">
        <v>796</v>
      </c>
      <c r="M206" s="36" t="s">
        <v>796</v>
      </c>
      <c r="N206" s="36">
        <v>11755</v>
      </c>
      <c r="O206" s="36">
        <v>11755</v>
      </c>
      <c r="P206" s="36" t="s">
        <v>796</v>
      </c>
      <c r="Q206" s="36" t="s">
        <v>796</v>
      </c>
      <c r="R206" s="38" t="s">
        <v>85</v>
      </c>
      <c r="S206" s="35"/>
      <c r="T206" s="35"/>
      <c r="U206" s="35"/>
      <c r="V206" s="35"/>
      <c r="W206" s="35"/>
      <c r="X206" s="35"/>
      <c r="Y206" s="35"/>
    </row>
    <row r="207" spans="1:25" s="36" customFormat="1" ht="10.5" customHeight="1" x14ac:dyDescent="0.15">
      <c r="A207" s="448" t="s">
        <v>570</v>
      </c>
      <c r="B207" s="36">
        <v>97310</v>
      </c>
      <c r="C207" s="36" t="s">
        <v>796</v>
      </c>
      <c r="D207" s="36" t="s">
        <v>796</v>
      </c>
      <c r="E207" s="36" t="s">
        <v>796</v>
      </c>
      <c r="F207" s="36" t="s">
        <v>796</v>
      </c>
      <c r="G207" s="36" t="s">
        <v>796</v>
      </c>
      <c r="H207" s="36" t="s">
        <v>796</v>
      </c>
      <c r="I207" s="36" t="s">
        <v>796</v>
      </c>
      <c r="J207" s="36" t="s">
        <v>796</v>
      </c>
      <c r="K207" s="36" t="s">
        <v>796</v>
      </c>
      <c r="L207" s="36" t="s">
        <v>796</v>
      </c>
      <c r="M207" s="36" t="s">
        <v>796</v>
      </c>
      <c r="N207" s="36">
        <v>29106</v>
      </c>
      <c r="O207" s="36">
        <v>29106</v>
      </c>
      <c r="P207" s="36" t="s">
        <v>796</v>
      </c>
      <c r="Q207" s="36">
        <v>26961</v>
      </c>
      <c r="R207" s="38" t="s">
        <v>69</v>
      </c>
      <c r="S207" s="35"/>
      <c r="T207" s="35"/>
      <c r="U207" s="35"/>
      <c r="V207" s="35"/>
      <c r="W207" s="35"/>
      <c r="X207" s="35"/>
      <c r="Y207" s="35"/>
    </row>
    <row r="208" spans="1:25" s="36" customFormat="1" ht="10.5" customHeight="1" x14ac:dyDescent="0.15">
      <c r="A208" s="448" t="s">
        <v>571</v>
      </c>
      <c r="B208" s="36">
        <v>206987</v>
      </c>
      <c r="C208" s="36" t="s">
        <v>796</v>
      </c>
      <c r="D208" s="36" t="s">
        <v>796</v>
      </c>
      <c r="E208" s="36" t="s">
        <v>796</v>
      </c>
      <c r="F208" s="36" t="s">
        <v>796</v>
      </c>
      <c r="G208" s="36" t="s">
        <v>796</v>
      </c>
      <c r="H208" s="36" t="s">
        <v>796</v>
      </c>
      <c r="I208" s="36" t="s">
        <v>796</v>
      </c>
      <c r="J208" s="36" t="s">
        <v>796</v>
      </c>
      <c r="K208" s="36" t="s">
        <v>796</v>
      </c>
      <c r="L208" s="36" t="s">
        <v>796</v>
      </c>
      <c r="M208" s="36" t="s">
        <v>796</v>
      </c>
      <c r="N208" s="36">
        <v>98272</v>
      </c>
      <c r="O208" s="36">
        <v>98272</v>
      </c>
      <c r="P208" s="36" t="s">
        <v>796</v>
      </c>
      <c r="Q208" s="36" t="s">
        <v>796</v>
      </c>
      <c r="R208" s="38" t="s">
        <v>70</v>
      </c>
      <c r="S208" s="35"/>
      <c r="T208" s="35"/>
      <c r="U208" s="35"/>
      <c r="V208" s="35"/>
      <c r="W208" s="35"/>
      <c r="X208" s="35"/>
      <c r="Y208" s="35"/>
    </row>
    <row r="209" spans="1:25" s="36" customFormat="1" ht="10.5" customHeight="1" x14ac:dyDescent="0.15">
      <c r="A209" s="448" t="s">
        <v>572</v>
      </c>
      <c r="B209" s="36">
        <v>157877</v>
      </c>
      <c r="C209" s="36" t="s">
        <v>796</v>
      </c>
      <c r="D209" s="36" t="s">
        <v>796</v>
      </c>
      <c r="E209" s="36" t="s">
        <v>796</v>
      </c>
      <c r="F209" s="36" t="s">
        <v>796</v>
      </c>
      <c r="G209" s="36" t="s">
        <v>796</v>
      </c>
      <c r="H209" s="36" t="s">
        <v>796</v>
      </c>
      <c r="I209" s="36" t="s">
        <v>796</v>
      </c>
      <c r="J209" s="36" t="s">
        <v>796</v>
      </c>
      <c r="K209" s="36" t="s">
        <v>796</v>
      </c>
      <c r="L209" s="36" t="s">
        <v>796</v>
      </c>
      <c r="M209" s="36" t="s">
        <v>796</v>
      </c>
      <c r="N209" s="36">
        <v>49922</v>
      </c>
      <c r="O209" s="36">
        <v>49922</v>
      </c>
      <c r="P209" s="36">
        <v>48521</v>
      </c>
      <c r="Q209" s="36" t="s">
        <v>796</v>
      </c>
      <c r="R209" s="38" t="s">
        <v>71</v>
      </c>
      <c r="S209" s="35"/>
      <c r="T209" s="35"/>
      <c r="U209" s="35"/>
      <c r="V209" s="35"/>
      <c r="W209" s="35"/>
      <c r="X209" s="35"/>
      <c r="Y209" s="35"/>
    </row>
    <row r="210" spans="1:25" s="36" customFormat="1" ht="10.5" customHeight="1" x14ac:dyDescent="0.15">
      <c r="A210" s="448" t="s">
        <v>841</v>
      </c>
      <c r="B210" s="36">
        <v>191489</v>
      </c>
      <c r="C210" s="36" t="s">
        <v>796</v>
      </c>
      <c r="D210" s="36" t="s">
        <v>796</v>
      </c>
      <c r="E210" s="36" t="s">
        <v>796</v>
      </c>
      <c r="F210" s="36" t="s">
        <v>796</v>
      </c>
      <c r="G210" s="36" t="s">
        <v>796</v>
      </c>
      <c r="H210" s="36" t="s">
        <v>796</v>
      </c>
      <c r="I210" s="36" t="s">
        <v>796</v>
      </c>
      <c r="J210" s="36" t="s">
        <v>796</v>
      </c>
      <c r="K210" s="36" t="s">
        <v>796</v>
      </c>
      <c r="L210" s="36" t="s">
        <v>796</v>
      </c>
      <c r="M210" s="36" t="s">
        <v>796</v>
      </c>
      <c r="N210" s="36">
        <v>35991</v>
      </c>
      <c r="O210" s="36">
        <v>35991</v>
      </c>
      <c r="P210" s="36" t="s">
        <v>796</v>
      </c>
      <c r="Q210" s="36">
        <v>35991</v>
      </c>
      <c r="R210" s="38" t="s">
        <v>842</v>
      </c>
      <c r="S210" s="35"/>
      <c r="T210" s="35"/>
      <c r="U210" s="35"/>
      <c r="V210" s="35"/>
      <c r="W210" s="35"/>
      <c r="X210" s="35"/>
      <c r="Y210" s="35"/>
    </row>
    <row r="211" spans="1:25" s="36" customFormat="1" ht="10.5" customHeight="1" x14ac:dyDescent="0.15">
      <c r="A211" s="448" t="s">
        <v>573</v>
      </c>
      <c r="B211" s="36">
        <v>94689</v>
      </c>
      <c r="C211" s="36" t="s">
        <v>796</v>
      </c>
      <c r="D211" s="36" t="s">
        <v>796</v>
      </c>
      <c r="E211" s="36" t="s">
        <v>796</v>
      </c>
      <c r="F211" s="36" t="s">
        <v>796</v>
      </c>
      <c r="G211" s="36" t="s">
        <v>796</v>
      </c>
      <c r="H211" s="36" t="s">
        <v>796</v>
      </c>
      <c r="I211" s="36" t="s">
        <v>796</v>
      </c>
      <c r="J211" s="36" t="s">
        <v>796</v>
      </c>
      <c r="K211" s="36" t="s">
        <v>796</v>
      </c>
      <c r="L211" s="36" t="s">
        <v>796</v>
      </c>
      <c r="M211" s="36" t="s">
        <v>796</v>
      </c>
      <c r="N211" s="36">
        <v>107880</v>
      </c>
      <c r="O211" s="36">
        <v>107880</v>
      </c>
      <c r="P211" s="36" t="s">
        <v>796</v>
      </c>
      <c r="Q211" s="36" t="s">
        <v>796</v>
      </c>
      <c r="R211" s="38" t="s">
        <v>66</v>
      </c>
      <c r="S211" s="35"/>
      <c r="T211" s="35"/>
      <c r="U211" s="35"/>
      <c r="V211" s="35"/>
      <c r="W211" s="35"/>
      <c r="X211" s="35"/>
      <c r="Y211" s="35"/>
    </row>
    <row r="212" spans="1:25" s="36" customFormat="1" ht="10.5" customHeight="1" x14ac:dyDescent="0.15">
      <c r="A212" s="519" t="s">
        <v>574</v>
      </c>
      <c r="B212" s="523">
        <v>105185</v>
      </c>
      <c r="C212" s="524" t="s">
        <v>796</v>
      </c>
      <c r="D212" s="524" t="s">
        <v>796</v>
      </c>
      <c r="E212" s="524" t="s">
        <v>796</v>
      </c>
      <c r="F212" s="524" t="s">
        <v>796</v>
      </c>
      <c r="G212" s="524" t="s">
        <v>796</v>
      </c>
      <c r="H212" s="524" t="s">
        <v>796</v>
      </c>
      <c r="I212" s="524" t="s">
        <v>796</v>
      </c>
      <c r="J212" s="524" t="s">
        <v>796</v>
      </c>
      <c r="K212" s="524" t="s">
        <v>796</v>
      </c>
      <c r="L212" s="524" t="s">
        <v>796</v>
      </c>
      <c r="M212" s="524" t="s">
        <v>796</v>
      </c>
      <c r="N212" s="524">
        <v>39456</v>
      </c>
      <c r="O212" s="524">
        <v>39456</v>
      </c>
      <c r="P212" s="524" t="s">
        <v>796</v>
      </c>
      <c r="Q212" s="524">
        <v>39456</v>
      </c>
      <c r="R212" s="525" t="s">
        <v>67</v>
      </c>
      <c r="S212" s="35"/>
      <c r="T212" s="35"/>
      <c r="U212" s="35"/>
      <c r="V212" s="35"/>
      <c r="W212" s="35"/>
      <c r="X212" s="35"/>
      <c r="Y212" s="35"/>
    </row>
    <row r="213" spans="1:25" ht="23.25" customHeight="1" x14ac:dyDescent="0.25">
      <c r="I213" s="40" t="s">
        <v>86</v>
      </c>
      <c r="J213" s="670" t="s">
        <v>843</v>
      </c>
    </row>
    <row r="214" spans="1:25" s="17" customFormat="1" ht="11.25" customHeight="1" x14ac:dyDescent="0.15">
      <c r="A214" s="655"/>
      <c r="B214" s="666" t="s">
        <v>104</v>
      </c>
      <c r="C214" s="658"/>
      <c r="D214" s="658"/>
      <c r="E214" s="658"/>
      <c r="F214" s="658"/>
      <c r="G214" s="658"/>
      <c r="H214" s="658"/>
      <c r="I214" s="655"/>
      <c r="J214" s="1003" t="s">
        <v>72</v>
      </c>
      <c r="S214" s="16"/>
      <c r="T214" s="16"/>
      <c r="U214" s="16"/>
      <c r="V214" s="16"/>
      <c r="W214" s="16"/>
      <c r="X214" s="16"/>
      <c r="Y214" s="16"/>
    </row>
    <row r="215" spans="1:25" s="34" customFormat="1" ht="28.5" customHeight="1" x14ac:dyDescent="0.15">
      <c r="A215" s="24" t="s">
        <v>153</v>
      </c>
      <c r="B215" s="666" t="s">
        <v>685</v>
      </c>
      <c r="C215" s="661"/>
      <c r="D215" s="661"/>
      <c r="E215" s="661"/>
      <c r="F215" s="661"/>
      <c r="G215" s="661"/>
      <c r="H215" s="662"/>
      <c r="I215" s="671" t="s">
        <v>869</v>
      </c>
      <c r="J215" s="1004"/>
      <c r="S215" s="13"/>
      <c r="T215" s="13"/>
      <c r="U215" s="13"/>
      <c r="V215" s="13"/>
      <c r="W215" s="13"/>
      <c r="X215" s="13"/>
      <c r="Y215" s="13"/>
    </row>
    <row r="216" spans="1:25" s="34" customFormat="1" ht="28.5" customHeight="1" x14ac:dyDescent="0.15">
      <c r="A216" s="24"/>
      <c r="B216" s="660" t="s">
        <v>792</v>
      </c>
      <c r="C216" s="660" t="s">
        <v>152</v>
      </c>
      <c r="D216" s="660" t="s">
        <v>870</v>
      </c>
      <c r="E216" s="660" t="s">
        <v>582</v>
      </c>
      <c r="F216" s="660" t="s">
        <v>871</v>
      </c>
      <c r="G216" s="672" t="s">
        <v>793</v>
      </c>
      <c r="H216" s="660" t="s">
        <v>794</v>
      </c>
      <c r="I216" s="660" t="s">
        <v>872</v>
      </c>
      <c r="J216" s="1004"/>
      <c r="S216" s="13"/>
      <c r="T216" s="13"/>
      <c r="U216" s="13"/>
      <c r="V216" s="13"/>
      <c r="W216" s="13"/>
      <c r="X216" s="13"/>
      <c r="Y216" s="13"/>
    </row>
    <row r="217" spans="1:25" s="34" customFormat="1" ht="12" customHeight="1" x14ac:dyDescent="0.15">
      <c r="A217" s="526"/>
      <c r="B217" s="15" t="str">
        <f>PROPER("COSSACK")</f>
        <v>Cossack</v>
      </c>
      <c r="C217" s="15" t="str">
        <f>PROPER("STAG")</f>
        <v>Stag</v>
      </c>
      <c r="D217" s="15" t="str">
        <f>PROPER("VANGOG-B")</f>
        <v>Vangog-B</v>
      </c>
      <c r="E217" s="15" t="str">
        <f>PROPER("PYRENEES")</f>
        <v>Pyrenees</v>
      </c>
      <c r="F217" s="15" t="str">
        <f>PROPER("PLUTO-C")</f>
        <v>Pluto-C</v>
      </c>
      <c r="G217" s="15" t="str">
        <f>PROPER("ICHTHY-C")</f>
        <v>Ichthy-C</v>
      </c>
      <c r="H217" s="15" t="str">
        <f>PROPER("CLIFHEAD")</f>
        <v>Clifhead</v>
      </c>
      <c r="I217" s="15" t="str">
        <f>PROPER("PAPUA-FO")</f>
        <v>Papua-Fo</v>
      </c>
      <c r="J217" s="1005"/>
      <c r="S217" s="13"/>
      <c r="T217" s="13"/>
      <c r="U217" s="13"/>
      <c r="V217" s="13"/>
      <c r="W217" s="13"/>
      <c r="X217" s="13"/>
      <c r="Y217" s="13"/>
    </row>
    <row r="218" spans="1:25" s="36" customFormat="1" ht="10.5" customHeight="1" x14ac:dyDescent="0.15">
      <c r="A218" s="645" t="s">
        <v>831</v>
      </c>
      <c r="B218" s="663" t="s">
        <v>796</v>
      </c>
      <c r="C218" s="664" t="s">
        <v>796</v>
      </c>
      <c r="D218" s="664" t="s">
        <v>796</v>
      </c>
      <c r="E218" s="664" t="s">
        <v>796</v>
      </c>
      <c r="F218" s="664" t="s">
        <v>796</v>
      </c>
      <c r="G218" s="664">
        <v>102395</v>
      </c>
      <c r="H218" s="664" t="s">
        <v>796</v>
      </c>
      <c r="I218" s="673">
        <v>46766</v>
      </c>
      <c r="J218" s="665" t="s">
        <v>517</v>
      </c>
      <c r="S218" s="35"/>
      <c r="T218" s="35"/>
      <c r="U218" s="35"/>
      <c r="V218" s="35"/>
      <c r="W218" s="35"/>
      <c r="X218" s="35"/>
      <c r="Y218" s="35"/>
    </row>
    <row r="219" spans="1:25" s="36" customFormat="1" ht="10.5" customHeight="1" x14ac:dyDescent="0.15">
      <c r="A219" s="448" t="s">
        <v>557</v>
      </c>
      <c r="B219" s="36" t="s">
        <v>796</v>
      </c>
      <c r="C219" s="36" t="s">
        <v>796</v>
      </c>
      <c r="D219" s="36" t="s">
        <v>796</v>
      </c>
      <c r="E219" s="36" t="s">
        <v>796</v>
      </c>
      <c r="F219" s="36">
        <v>51355</v>
      </c>
      <c r="G219" s="36" t="s">
        <v>796</v>
      </c>
      <c r="H219" s="36" t="s">
        <v>796</v>
      </c>
      <c r="I219" s="465">
        <v>74115</v>
      </c>
      <c r="J219" s="38" t="s">
        <v>558</v>
      </c>
      <c r="S219" s="35"/>
      <c r="T219" s="35"/>
      <c r="U219" s="35"/>
      <c r="V219" s="35"/>
      <c r="W219" s="35"/>
      <c r="X219" s="35"/>
      <c r="Y219" s="35"/>
    </row>
    <row r="220" spans="1:25" s="36" customFormat="1" ht="10.5" customHeight="1" x14ac:dyDescent="0.15">
      <c r="A220" s="448" t="s">
        <v>682</v>
      </c>
      <c r="B220" s="36" t="s">
        <v>796</v>
      </c>
      <c r="C220" s="36">
        <v>5181</v>
      </c>
      <c r="D220" s="36">
        <v>55880</v>
      </c>
      <c r="E220" s="36">
        <v>3930</v>
      </c>
      <c r="F220" s="36" t="s">
        <v>796</v>
      </c>
      <c r="G220" s="36" t="s">
        <v>796</v>
      </c>
      <c r="H220" s="36" t="s">
        <v>796</v>
      </c>
      <c r="I220" s="465">
        <v>30364</v>
      </c>
      <c r="J220" s="38" t="s">
        <v>683</v>
      </c>
      <c r="S220" s="35"/>
      <c r="T220" s="35"/>
      <c r="U220" s="35"/>
      <c r="V220" s="35"/>
      <c r="W220" s="35"/>
      <c r="X220" s="35"/>
      <c r="Y220" s="35"/>
    </row>
    <row r="221" spans="1:25" s="36" customFormat="1" ht="10.5" customHeight="1" x14ac:dyDescent="0.15">
      <c r="A221" s="448" t="s">
        <v>784</v>
      </c>
      <c r="B221" s="36">
        <v>103414</v>
      </c>
      <c r="C221" s="36">
        <v>9995</v>
      </c>
      <c r="D221" s="36" t="s">
        <v>796</v>
      </c>
      <c r="E221" s="36">
        <v>149496</v>
      </c>
      <c r="F221" s="36" t="s">
        <v>796</v>
      </c>
      <c r="G221" s="36">
        <v>287439</v>
      </c>
      <c r="H221" s="36">
        <v>16759</v>
      </c>
      <c r="I221" s="465" t="s">
        <v>796</v>
      </c>
      <c r="J221" s="38" t="s">
        <v>785</v>
      </c>
      <c r="S221" s="35"/>
      <c r="T221" s="35"/>
      <c r="U221" s="35"/>
      <c r="V221" s="35"/>
      <c r="W221" s="35"/>
      <c r="X221" s="35"/>
      <c r="Y221" s="35"/>
    </row>
    <row r="222" spans="1:25" s="36" customFormat="1" ht="10.5" customHeight="1" x14ac:dyDescent="0.15">
      <c r="A222" s="448" t="s">
        <v>832</v>
      </c>
      <c r="B222" s="36" t="s">
        <v>796</v>
      </c>
      <c r="C222" s="36" t="s">
        <v>796</v>
      </c>
      <c r="D222" s="36" t="s">
        <v>796</v>
      </c>
      <c r="E222" s="36">
        <v>11755</v>
      </c>
      <c r="F222" s="36" t="s">
        <v>796</v>
      </c>
      <c r="G222" s="36">
        <v>197041</v>
      </c>
      <c r="H222" s="36">
        <v>16136</v>
      </c>
      <c r="I222" s="465" t="s">
        <v>796</v>
      </c>
      <c r="J222" s="38" t="s">
        <v>833</v>
      </c>
      <c r="S222" s="35"/>
      <c r="T222" s="35"/>
      <c r="U222" s="35"/>
      <c r="V222" s="35"/>
      <c r="W222" s="35"/>
      <c r="X222" s="35"/>
      <c r="Y222" s="35"/>
    </row>
    <row r="223" spans="1:25" s="36" customFormat="1" ht="10.5" customHeight="1" x14ac:dyDescent="0.15">
      <c r="A223" s="464"/>
      <c r="I223" s="465"/>
      <c r="J223" s="38"/>
      <c r="S223" s="35"/>
      <c r="T223" s="35"/>
      <c r="U223" s="35"/>
      <c r="V223" s="35"/>
      <c r="W223" s="35"/>
      <c r="X223" s="35"/>
      <c r="Y223" s="35"/>
    </row>
    <row r="224" spans="1:25" s="36" customFormat="1" ht="10.5" customHeight="1" x14ac:dyDescent="0.15">
      <c r="A224" s="448" t="s">
        <v>834</v>
      </c>
      <c r="B224" s="36">
        <v>103414</v>
      </c>
      <c r="C224" s="36">
        <v>9995</v>
      </c>
      <c r="D224" s="36" t="s">
        <v>796</v>
      </c>
      <c r="E224" s="36">
        <v>126237</v>
      </c>
      <c r="F224" s="36" t="s">
        <v>796</v>
      </c>
      <c r="G224" s="36">
        <v>287439</v>
      </c>
      <c r="H224" s="36">
        <v>16759</v>
      </c>
      <c r="I224" s="465" t="s">
        <v>796</v>
      </c>
      <c r="J224" s="38" t="s">
        <v>786</v>
      </c>
      <c r="S224" s="35"/>
      <c r="T224" s="35"/>
      <c r="U224" s="35"/>
      <c r="V224" s="35"/>
      <c r="W224" s="35"/>
      <c r="X224" s="35"/>
      <c r="Y224" s="35"/>
    </row>
    <row r="225" spans="1:25" s="36" customFormat="1" ht="10.5" customHeight="1" x14ac:dyDescent="0.15">
      <c r="A225" s="448" t="s">
        <v>835</v>
      </c>
      <c r="B225" s="36">
        <v>107880</v>
      </c>
      <c r="C225" s="36" t="s">
        <v>796</v>
      </c>
      <c r="D225" s="36" t="s">
        <v>796</v>
      </c>
      <c r="E225" s="36">
        <v>11755</v>
      </c>
      <c r="F225" s="36" t="s">
        <v>796</v>
      </c>
      <c r="G225" s="36">
        <v>197041</v>
      </c>
      <c r="H225" s="36">
        <v>16136</v>
      </c>
      <c r="I225" s="465" t="s">
        <v>796</v>
      </c>
      <c r="J225" s="38" t="s">
        <v>836</v>
      </c>
      <c r="S225" s="35"/>
      <c r="T225" s="35"/>
      <c r="U225" s="35"/>
      <c r="V225" s="35"/>
      <c r="W225" s="35"/>
      <c r="X225" s="35"/>
      <c r="Y225" s="35"/>
    </row>
    <row r="226" spans="1:25" s="36" customFormat="1" ht="10.5" customHeight="1" x14ac:dyDescent="0.15">
      <c r="A226" s="464"/>
      <c r="I226" s="465"/>
      <c r="J226" s="38"/>
      <c r="S226" s="35"/>
      <c r="T226" s="35"/>
      <c r="U226" s="35"/>
      <c r="V226" s="35"/>
      <c r="W226" s="35"/>
      <c r="X226" s="35"/>
      <c r="Y226" s="35"/>
    </row>
    <row r="227" spans="1:25" s="36" customFormat="1" ht="10.5" customHeight="1" x14ac:dyDescent="0.15">
      <c r="A227" s="448" t="s">
        <v>837</v>
      </c>
      <c r="B227" s="36" t="s">
        <v>796</v>
      </c>
      <c r="C227" s="36" t="s">
        <v>796</v>
      </c>
      <c r="D227" s="36" t="s">
        <v>796</v>
      </c>
      <c r="E227" s="36" t="s">
        <v>796</v>
      </c>
      <c r="F227" s="36" t="s">
        <v>796</v>
      </c>
      <c r="G227" s="36" t="s">
        <v>796</v>
      </c>
      <c r="H227" s="36" t="s">
        <v>796</v>
      </c>
      <c r="I227" s="465" t="s">
        <v>796</v>
      </c>
      <c r="J227" s="38" t="s">
        <v>787</v>
      </c>
      <c r="S227" s="35"/>
      <c r="T227" s="35"/>
      <c r="U227" s="35"/>
      <c r="V227" s="35"/>
      <c r="W227" s="35"/>
      <c r="X227" s="35"/>
      <c r="Y227" s="35"/>
    </row>
    <row r="228" spans="1:25" s="36" customFormat="1" ht="10.5" customHeight="1" x14ac:dyDescent="0.15">
      <c r="A228" s="448" t="s">
        <v>559</v>
      </c>
      <c r="B228" s="36" t="s">
        <v>796</v>
      </c>
      <c r="C228" s="36" t="s">
        <v>796</v>
      </c>
      <c r="D228" s="36" t="s">
        <v>796</v>
      </c>
      <c r="E228" s="36" t="s">
        <v>796</v>
      </c>
      <c r="F228" s="36" t="s">
        <v>796</v>
      </c>
      <c r="G228" s="36">
        <v>102172</v>
      </c>
      <c r="H228" s="36">
        <v>9187</v>
      </c>
      <c r="I228" s="465" t="s">
        <v>796</v>
      </c>
      <c r="J228" s="38" t="s">
        <v>78</v>
      </c>
      <c r="S228" s="35"/>
      <c r="T228" s="35"/>
      <c r="U228" s="35"/>
      <c r="V228" s="35"/>
      <c r="W228" s="35"/>
      <c r="X228" s="35"/>
      <c r="Y228" s="35"/>
    </row>
    <row r="229" spans="1:25" s="36" customFormat="1" ht="10.5" customHeight="1" x14ac:dyDescent="0.15">
      <c r="A229" s="448" t="s">
        <v>560</v>
      </c>
      <c r="B229" s="36" t="s">
        <v>796</v>
      </c>
      <c r="C229" s="36" t="s">
        <v>796</v>
      </c>
      <c r="D229" s="36" t="s">
        <v>796</v>
      </c>
      <c r="E229" s="36">
        <v>11755</v>
      </c>
      <c r="F229" s="36" t="s">
        <v>796</v>
      </c>
      <c r="G229" s="36" t="s">
        <v>796</v>
      </c>
      <c r="H229" s="36" t="s">
        <v>796</v>
      </c>
      <c r="I229" s="465" t="s">
        <v>796</v>
      </c>
      <c r="J229" s="38" t="s">
        <v>79</v>
      </c>
      <c r="S229" s="35"/>
      <c r="T229" s="35"/>
      <c r="U229" s="35"/>
      <c r="V229" s="35"/>
      <c r="W229" s="35"/>
      <c r="X229" s="35"/>
      <c r="Y229" s="35"/>
    </row>
    <row r="230" spans="1:25" s="36" customFormat="1" ht="10.5" customHeight="1" x14ac:dyDescent="0.15">
      <c r="A230" s="448" t="s">
        <v>561</v>
      </c>
      <c r="B230" s="36" t="s">
        <v>796</v>
      </c>
      <c r="C230" s="36" t="s">
        <v>796</v>
      </c>
      <c r="D230" s="36" t="s">
        <v>796</v>
      </c>
      <c r="E230" s="36" t="s">
        <v>796</v>
      </c>
      <c r="F230" s="36" t="s">
        <v>796</v>
      </c>
      <c r="G230" s="36">
        <v>94869</v>
      </c>
      <c r="H230" s="36">
        <v>6949</v>
      </c>
      <c r="I230" s="465" t="s">
        <v>796</v>
      </c>
      <c r="J230" s="38" t="s">
        <v>80</v>
      </c>
      <c r="S230" s="35"/>
      <c r="T230" s="35"/>
      <c r="U230" s="35"/>
      <c r="V230" s="35"/>
      <c r="W230" s="35"/>
      <c r="X230" s="35"/>
      <c r="Y230" s="35"/>
    </row>
    <row r="231" spans="1:25" s="36" customFormat="1" ht="10.5" customHeight="1" x14ac:dyDescent="0.15">
      <c r="A231" s="448" t="s">
        <v>838</v>
      </c>
      <c r="B231" s="36">
        <v>107880</v>
      </c>
      <c r="C231" s="36" t="s">
        <v>796</v>
      </c>
      <c r="D231" s="36" t="s">
        <v>796</v>
      </c>
      <c r="E231" s="36" t="s">
        <v>796</v>
      </c>
      <c r="F231" s="36" t="s">
        <v>796</v>
      </c>
      <c r="G231" s="36" t="s">
        <v>796</v>
      </c>
      <c r="H231" s="36" t="s">
        <v>796</v>
      </c>
      <c r="I231" s="465" t="s">
        <v>796</v>
      </c>
      <c r="J231" s="38" t="s">
        <v>839</v>
      </c>
      <c r="S231" s="35"/>
      <c r="T231" s="35"/>
      <c r="U231" s="35"/>
      <c r="V231" s="35"/>
      <c r="W231" s="35"/>
      <c r="X231" s="35"/>
      <c r="Y231" s="35"/>
    </row>
    <row r="232" spans="1:25" s="36" customFormat="1" ht="10.5" customHeight="1" x14ac:dyDescent="0.15">
      <c r="A232" s="464"/>
      <c r="I232" s="465"/>
      <c r="J232" s="38"/>
      <c r="S232" s="35"/>
      <c r="T232" s="35"/>
      <c r="U232" s="35"/>
      <c r="V232" s="35"/>
      <c r="W232" s="35"/>
      <c r="X232" s="35"/>
      <c r="Y232" s="35"/>
    </row>
    <row r="233" spans="1:25" s="36" customFormat="1" ht="10.5" customHeight="1" x14ac:dyDescent="0.15">
      <c r="A233" s="448" t="s">
        <v>840</v>
      </c>
      <c r="B233" s="36" t="s">
        <v>796</v>
      </c>
      <c r="C233" s="36" t="s">
        <v>796</v>
      </c>
      <c r="D233" s="36" t="s">
        <v>796</v>
      </c>
      <c r="E233" s="36" t="s">
        <v>796</v>
      </c>
      <c r="F233" s="36" t="s">
        <v>796</v>
      </c>
      <c r="G233" s="36" t="s">
        <v>796</v>
      </c>
      <c r="H233" s="36" t="s">
        <v>796</v>
      </c>
      <c r="I233" s="465" t="s">
        <v>796</v>
      </c>
      <c r="J233" s="38" t="s">
        <v>788</v>
      </c>
      <c r="S233" s="35"/>
      <c r="T233" s="35"/>
      <c r="U233" s="35"/>
      <c r="V233" s="35"/>
      <c r="W233" s="35"/>
      <c r="X233" s="35"/>
      <c r="Y233" s="35"/>
    </row>
    <row r="234" spans="1:25" s="36" customFormat="1" ht="10.5" customHeight="1" x14ac:dyDescent="0.15">
      <c r="A234" s="448" t="s">
        <v>562</v>
      </c>
      <c r="B234" s="36" t="s">
        <v>796</v>
      </c>
      <c r="C234" s="36" t="s">
        <v>796</v>
      </c>
      <c r="D234" s="36" t="s">
        <v>796</v>
      </c>
      <c r="E234" s="36" t="s">
        <v>796</v>
      </c>
      <c r="F234" s="36" t="s">
        <v>796</v>
      </c>
      <c r="G234" s="36" t="s">
        <v>796</v>
      </c>
      <c r="H234" s="36" t="s">
        <v>796</v>
      </c>
      <c r="I234" s="465" t="s">
        <v>796</v>
      </c>
      <c r="J234" s="38" t="s">
        <v>66</v>
      </c>
      <c r="S234" s="35"/>
      <c r="T234" s="35"/>
      <c r="U234" s="35"/>
      <c r="V234" s="35"/>
      <c r="W234" s="35"/>
      <c r="X234" s="35"/>
      <c r="Y234" s="35"/>
    </row>
    <row r="235" spans="1:25" s="36" customFormat="1" ht="10.5" customHeight="1" x14ac:dyDescent="0.15">
      <c r="A235" s="448" t="s">
        <v>563</v>
      </c>
      <c r="B235" s="36" t="s">
        <v>796</v>
      </c>
      <c r="C235" s="36" t="s">
        <v>796</v>
      </c>
      <c r="D235" s="36" t="s">
        <v>796</v>
      </c>
      <c r="E235" s="36" t="s">
        <v>796</v>
      </c>
      <c r="F235" s="36" t="s">
        <v>796</v>
      </c>
      <c r="G235" s="36" t="s">
        <v>796</v>
      </c>
      <c r="H235" s="36" t="s">
        <v>796</v>
      </c>
      <c r="I235" s="465" t="s">
        <v>796</v>
      </c>
      <c r="J235" s="38" t="s">
        <v>67</v>
      </c>
      <c r="S235" s="35"/>
      <c r="T235" s="35"/>
      <c r="U235" s="35"/>
      <c r="V235" s="35"/>
      <c r="W235" s="35"/>
      <c r="X235" s="35"/>
      <c r="Y235" s="35"/>
    </row>
    <row r="236" spans="1:25" s="36" customFormat="1" ht="10.5" customHeight="1" x14ac:dyDescent="0.15">
      <c r="A236" s="448" t="s">
        <v>564</v>
      </c>
      <c r="B236" s="36" t="s">
        <v>796</v>
      </c>
      <c r="C236" s="36" t="s">
        <v>796</v>
      </c>
      <c r="D236" s="36" t="s">
        <v>796</v>
      </c>
      <c r="E236" s="36" t="s">
        <v>796</v>
      </c>
      <c r="F236" s="36" t="s">
        <v>796</v>
      </c>
      <c r="G236" s="36">
        <v>102172</v>
      </c>
      <c r="H236" s="36" t="s">
        <v>796</v>
      </c>
      <c r="I236" s="465" t="s">
        <v>796</v>
      </c>
      <c r="J236" s="38" t="s">
        <v>68</v>
      </c>
      <c r="S236" s="35"/>
      <c r="T236" s="35"/>
      <c r="U236" s="35"/>
      <c r="V236" s="35"/>
      <c r="W236" s="35"/>
      <c r="X236" s="35"/>
      <c r="Y236" s="35"/>
    </row>
    <row r="237" spans="1:25" s="36" customFormat="1" ht="10.5" customHeight="1" x14ac:dyDescent="0.15">
      <c r="A237" s="448" t="s">
        <v>565</v>
      </c>
      <c r="B237" s="36" t="s">
        <v>796</v>
      </c>
      <c r="C237" s="36" t="s">
        <v>796</v>
      </c>
      <c r="D237" s="36" t="s">
        <v>796</v>
      </c>
      <c r="E237" s="36" t="s">
        <v>796</v>
      </c>
      <c r="F237" s="36" t="s">
        <v>796</v>
      </c>
      <c r="G237" s="36" t="s">
        <v>796</v>
      </c>
      <c r="H237" s="36">
        <v>7482</v>
      </c>
      <c r="I237" s="465" t="s">
        <v>796</v>
      </c>
      <c r="J237" s="39" t="s">
        <v>81</v>
      </c>
      <c r="S237" s="35"/>
      <c r="T237" s="35"/>
      <c r="U237" s="35"/>
      <c r="V237" s="35"/>
      <c r="W237" s="35"/>
      <c r="X237" s="35"/>
      <c r="Y237" s="35"/>
    </row>
    <row r="238" spans="1:25" s="36" customFormat="1" ht="10.5" customHeight="1" x14ac:dyDescent="0.15">
      <c r="A238" s="448" t="s">
        <v>566</v>
      </c>
      <c r="B238" s="36" t="s">
        <v>796</v>
      </c>
      <c r="C238" s="36" t="s">
        <v>796</v>
      </c>
      <c r="D238" s="36" t="s">
        <v>796</v>
      </c>
      <c r="E238" s="36" t="s">
        <v>796</v>
      </c>
      <c r="F238" s="36" t="s">
        <v>796</v>
      </c>
      <c r="G238" s="36" t="s">
        <v>796</v>
      </c>
      <c r="H238" s="36">
        <v>1705</v>
      </c>
      <c r="I238" s="465" t="s">
        <v>796</v>
      </c>
      <c r="J238" s="38" t="s">
        <v>82</v>
      </c>
      <c r="S238" s="35"/>
      <c r="T238" s="35"/>
      <c r="U238" s="35"/>
      <c r="V238" s="35"/>
      <c r="W238" s="35"/>
      <c r="X238" s="35"/>
      <c r="Y238" s="35"/>
    </row>
    <row r="239" spans="1:25" s="36" customFormat="1" ht="10.5" customHeight="1" x14ac:dyDescent="0.15">
      <c r="A239" s="448" t="s">
        <v>567</v>
      </c>
      <c r="B239" s="36" t="s">
        <v>796</v>
      </c>
      <c r="C239" s="36" t="s">
        <v>796</v>
      </c>
      <c r="D239" s="36" t="s">
        <v>796</v>
      </c>
      <c r="E239" s="36" t="s">
        <v>796</v>
      </c>
      <c r="F239" s="36" t="s">
        <v>796</v>
      </c>
      <c r="G239" s="36" t="s">
        <v>796</v>
      </c>
      <c r="H239" s="36" t="s">
        <v>796</v>
      </c>
      <c r="I239" s="465" t="s">
        <v>796</v>
      </c>
      <c r="J239" s="38" t="s">
        <v>83</v>
      </c>
      <c r="S239" s="35"/>
      <c r="T239" s="35"/>
      <c r="U239" s="35"/>
      <c r="V239" s="35"/>
      <c r="W239" s="35"/>
      <c r="X239" s="35"/>
      <c r="Y239" s="35"/>
    </row>
    <row r="240" spans="1:25" s="36" customFormat="1" ht="10.5" customHeight="1" x14ac:dyDescent="0.15">
      <c r="A240" s="448" t="s">
        <v>568</v>
      </c>
      <c r="B240" s="36" t="s">
        <v>796</v>
      </c>
      <c r="C240" s="36" t="s">
        <v>796</v>
      </c>
      <c r="D240" s="36" t="s">
        <v>796</v>
      </c>
      <c r="E240" s="36" t="s">
        <v>796</v>
      </c>
      <c r="F240" s="36" t="s">
        <v>796</v>
      </c>
      <c r="G240" s="36" t="s">
        <v>796</v>
      </c>
      <c r="H240" s="36" t="s">
        <v>796</v>
      </c>
      <c r="I240" s="465" t="s">
        <v>796</v>
      </c>
      <c r="J240" s="38" t="s">
        <v>84</v>
      </c>
      <c r="S240" s="35"/>
      <c r="T240" s="35"/>
      <c r="U240" s="35"/>
      <c r="V240" s="35"/>
      <c r="W240" s="35"/>
      <c r="X240" s="35"/>
      <c r="Y240" s="35"/>
    </row>
    <row r="241" spans="1:25" s="36" customFormat="1" ht="10.5" customHeight="1" x14ac:dyDescent="0.15">
      <c r="A241" s="448" t="s">
        <v>569</v>
      </c>
      <c r="B241" s="36" t="s">
        <v>796</v>
      </c>
      <c r="C241" s="36" t="s">
        <v>796</v>
      </c>
      <c r="D241" s="36" t="s">
        <v>796</v>
      </c>
      <c r="E241" s="36">
        <v>11755</v>
      </c>
      <c r="F241" s="36" t="s">
        <v>796</v>
      </c>
      <c r="G241" s="36" t="s">
        <v>796</v>
      </c>
      <c r="H241" s="36" t="s">
        <v>796</v>
      </c>
      <c r="I241" s="465" t="s">
        <v>796</v>
      </c>
      <c r="J241" s="38" t="s">
        <v>85</v>
      </c>
      <c r="S241" s="35"/>
      <c r="T241" s="35"/>
      <c r="U241" s="35"/>
      <c r="V241" s="35"/>
      <c r="W241" s="35"/>
      <c r="X241" s="35"/>
      <c r="Y241" s="35"/>
    </row>
    <row r="242" spans="1:25" s="36" customFormat="1" ht="10.5" customHeight="1" x14ac:dyDescent="0.15">
      <c r="A242" s="448" t="s">
        <v>570</v>
      </c>
      <c r="B242" s="36" t="s">
        <v>796</v>
      </c>
      <c r="C242" s="36" t="s">
        <v>796</v>
      </c>
      <c r="D242" s="36" t="s">
        <v>796</v>
      </c>
      <c r="E242" s="36" t="s">
        <v>796</v>
      </c>
      <c r="F242" s="36" t="s">
        <v>796</v>
      </c>
      <c r="G242" s="36" t="s">
        <v>796</v>
      </c>
      <c r="H242" s="36">
        <v>2145</v>
      </c>
      <c r="I242" s="465" t="s">
        <v>796</v>
      </c>
      <c r="J242" s="38" t="s">
        <v>69</v>
      </c>
      <c r="S242" s="35"/>
      <c r="T242" s="35"/>
      <c r="U242" s="35"/>
      <c r="V242" s="35"/>
      <c r="W242" s="35"/>
      <c r="X242" s="35"/>
      <c r="Y242" s="35"/>
    </row>
    <row r="243" spans="1:25" s="36" customFormat="1" ht="10.5" customHeight="1" x14ac:dyDescent="0.15">
      <c r="A243" s="448" t="s">
        <v>571</v>
      </c>
      <c r="B243" s="36" t="s">
        <v>796</v>
      </c>
      <c r="C243" s="36" t="s">
        <v>796</v>
      </c>
      <c r="D243" s="36" t="s">
        <v>796</v>
      </c>
      <c r="E243" s="36" t="s">
        <v>796</v>
      </c>
      <c r="F243" s="36" t="s">
        <v>796</v>
      </c>
      <c r="G243" s="36">
        <v>94869</v>
      </c>
      <c r="H243" s="36">
        <v>3403</v>
      </c>
      <c r="I243" s="465" t="s">
        <v>796</v>
      </c>
      <c r="J243" s="38" t="s">
        <v>70</v>
      </c>
      <c r="S243" s="35"/>
      <c r="T243" s="35"/>
      <c r="U243" s="35"/>
      <c r="V243" s="35"/>
      <c r="W243" s="35"/>
      <c r="X243" s="35"/>
      <c r="Y243" s="35"/>
    </row>
    <row r="244" spans="1:25" s="36" customFormat="1" ht="10.5" customHeight="1" x14ac:dyDescent="0.15">
      <c r="A244" s="448" t="s">
        <v>572</v>
      </c>
      <c r="B244" s="36" t="s">
        <v>796</v>
      </c>
      <c r="C244" s="36" t="s">
        <v>796</v>
      </c>
      <c r="D244" s="36" t="s">
        <v>796</v>
      </c>
      <c r="E244" s="36" t="s">
        <v>796</v>
      </c>
      <c r="F244" s="36" t="s">
        <v>796</v>
      </c>
      <c r="G244" s="36" t="s">
        <v>796</v>
      </c>
      <c r="H244" s="36">
        <v>1401</v>
      </c>
      <c r="I244" s="465" t="s">
        <v>796</v>
      </c>
      <c r="J244" s="38" t="s">
        <v>71</v>
      </c>
      <c r="S244" s="35"/>
      <c r="T244" s="35"/>
      <c r="U244" s="35"/>
      <c r="V244" s="35"/>
      <c r="W244" s="35"/>
      <c r="X244" s="35"/>
      <c r="Y244" s="35"/>
    </row>
    <row r="245" spans="1:25" s="36" customFormat="1" ht="10.5" customHeight="1" x14ac:dyDescent="0.15">
      <c r="A245" s="448" t="s">
        <v>841</v>
      </c>
      <c r="B245" s="36" t="s">
        <v>796</v>
      </c>
      <c r="C245" s="36" t="s">
        <v>796</v>
      </c>
      <c r="D245" s="36" t="s">
        <v>796</v>
      </c>
      <c r="E245" s="36" t="s">
        <v>796</v>
      </c>
      <c r="F245" s="36" t="s">
        <v>796</v>
      </c>
      <c r="G245" s="36" t="s">
        <v>796</v>
      </c>
      <c r="H245" s="36" t="s">
        <v>796</v>
      </c>
      <c r="I245" s="465" t="s">
        <v>796</v>
      </c>
      <c r="J245" s="38" t="s">
        <v>842</v>
      </c>
      <c r="S245" s="35"/>
      <c r="T245" s="35"/>
      <c r="U245" s="35"/>
      <c r="V245" s="35"/>
      <c r="W245" s="35"/>
      <c r="X245" s="35"/>
      <c r="Y245" s="35"/>
    </row>
    <row r="246" spans="1:25" s="36" customFormat="1" ht="10.5" customHeight="1" x14ac:dyDescent="0.15">
      <c r="A246" s="448" t="s">
        <v>573</v>
      </c>
      <c r="B246" s="36">
        <v>107880</v>
      </c>
      <c r="C246" s="36" t="s">
        <v>796</v>
      </c>
      <c r="D246" s="36" t="s">
        <v>796</v>
      </c>
      <c r="E246" s="36" t="s">
        <v>796</v>
      </c>
      <c r="F246" s="36" t="s">
        <v>796</v>
      </c>
      <c r="G246" s="36" t="s">
        <v>796</v>
      </c>
      <c r="H246" s="36" t="s">
        <v>796</v>
      </c>
      <c r="I246" s="465" t="s">
        <v>796</v>
      </c>
      <c r="J246" s="38" t="s">
        <v>66</v>
      </c>
      <c r="S246" s="35"/>
      <c r="T246" s="35"/>
      <c r="U246" s="35"/>
      <c r="V246" s="35"/>
      <c r="W246" s="35"/>
      <c r="X246" s="35"/>
      <c r="Y246" s="35"/>
    </row>
    <row r="247" spans="1:25" s="36" customFormat="1" ht="10.5" customHeight="1" x14ac:dyDescent="0.15">
      <c r="A247" s="519" t="s">
        <v>574</v>
      </c>
      <c r="B247" s="523" t="s">
        <v>796</v>
      </c>
      <c r="C247" s="524" t="s">
        <v>796</v>
      </c>
      <c r="D247" s="524" t="s">
        <v>796</v>
      </c>
      <c r="E247" s="524" t="s">
        <v>796</v>
      </c>
      <c r="F247" s="524" t="s">
        <v>796</v>
      </c>
      <c r="G247" s="524" t="s">
        <v>796</v>
      </c>
      <c r="H247" s="524" t="s">
        <v>796</v>
      </c>
      <c r="I247" s="527" t="s">
        <v>796</v>
      </c>
      <c r="J247" s="525" t="s">
        <v>67</v>
      </c>
      <c r="S247" s="35"/>
      <c r="T247" s="35"/>
      <c r="U247" s="35"/>
      <c r="V247" s="35"/>
      <c r="W247" s="35"/>
      <c r="X247" s="35"/>
      <c r="Y247" s="35"/>
    </row>
    <row r="248" spans="1:25" ht="23.25" customHeight="1" x14ac:dyDescent="0.25"/>
  </sheetData>
  <mergeCells count="8">
    <mergeCell ref="R179:R182"/>
    <mergeCell ref="J214:J217"/>
    <mergeCell ref="A3:E3"/>
    <mergeCell ref="R4:R7"/>
    <mergeCell ref="R39:R42"/>
    <mergeCell ref="R74:R77"/>
    <mergeCell ref="R109:R112"/>
    <mergeCell ref="R144:R147"/>
  </mergeCells>
  <phoneticPr fontId="34"/>
  <pageMargins left="0.59055118110236227" right="0.59055118110236227" top="0.59055118110236227" bottom="0.59055118110236227" header="0.19685039370078741" footer="0.31496062992125984"/>
  <pageSetup paperSize="9" scale="88" pageOrder="overThenDown" orientation="portrait" r:id="rId1"/>
  <headerFooter alignWithMargins="0"/>
  <rowBreaks count="3" manualBreakCount="3">
    <brk id="72" max="17" man="1"/>
    <brk id="142" max="17" man="1"/>
    <brk id="212" max="17" man="1"/>
  </rowBreaks>
  <colBreaks count="1" manualBreakCount="1">
    <brk id="9" max="24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851D-3D4D-4386-80A7-52F773F9B503}">
  <dimension ref="A1:S111"/>
  <sheetViews>
    <sheetView view="pageBreakPreview" zoomScaleNormal="100" zoomScaleSheetLayoutView="100" workbookViewId="0">
      <pane xSplit="1" topLeftCell="B1" activePane="topRight" state="frozen"/>
      <selection pane="topRight" activeCell="A3" sqref="A3"/>
    </sheetView>
  </sheetViews>
  <sheetFormatPr defaultColWidth="8.125" defaultRowHeight="24" x14ac:dyDescent="0.15"/>
  <cols>
    <col min="1" max="1" width="16" style="42" customWidth="1"/>
    <col min="2" max="9" width="8.75" style="42" customWidth="1"/>
    <col min="10" max="10" width="9.375" style="42" customWidth="1"/>
    <col min="11" max="12" width="8.75" style="42" customWidth="1"/>
    <col min="13" max="13" width="8.875" style="42" customWidth="1"/>
    <col min="14" max="17" width="8.75" style="42" customWidth="1"/>
    <col min="18" max="18" width="9.75" style="42" customWidth="1"/>
    <col min="19" max="19" width="9.25" style="42" customWidth="1"/>
    <col min="20" max="20" width="20.125" style="42" customWidth="1"/>
    <col min="21" max="16384" width="8.125" style="42"/>
  </cols>
  <sheetData>
    <row r="1" spans="1:19" ht="3" customHeight="1" x14ac:dyDescent="0.15"/>
    <row r="2" spans="1:19" ht="5.25" customHeight="1" x14ac:dyDescent="0.15"/>
    <row r="3" spans="1:19" ht="18.75" customHeight="1" x14ac:dyDescent="0.15">
      <c r="A3" s="238" t="s">
        <v>159</v>
      </c>
      <c r="B3" s="449"/>
      <c r="C3" s="449"/>
      <c r="I3" s="23" t="s">
        <v>392</v>
      </c>
      <c r="Q3" s="22" t="s">
        <v>830</v>
      </c>
      <c r="R3" s="22"/>
      <c r="S3" s="43"/>
    </row>
    <row r="4" spans="1:19" s="514" customFormat="1" ht="12" customHeight="1" x14ac:dyDescent="0.15">
      <c r="A4" s="674"/>
      <c r="B4" s="675"/>
      <c r="C4" s="676"/>
      <c r="D4" s="677"/>
      <c r="E4" s="677"/>
      <c r="F4" s="677"/>
      <c r="G4" s="677"/>
      <c r="H4" s="677"/>
      <c r="I4" s="677"/>
      <c r="J4" s="677"/>
      <c r="K4" s="677"/>
      <c r="L4" s="677"/>
      <c r="M4" s="677"/>
      <c r="N4" s="677"/>
      <c r="O4" s="677"/>
      <c r="P4" s="677"/>
      <c r="Q4" s="677"/>
      <c r="R4" s="1000" t="s">
        <v>72</v>
      </c>
    </row>
    <row r="5" spans="1:19" s="28" customFormat="1" ht="13.5" customHeight="1" x14ac:dyDescent="0.15">
      <c r="A5" s="26"/>
      <c r="B5" s="508" t="s">
        <v>49</v>
      </c>
      <c r="C5" s="508" t="s">
        <v>160</v>
      </c>
      <c r="D5" s="643"/>
      <c r="E5" s="678"/>
      <c r="F5" s="643"/>
      <c r="G5" s="679"/>
      <c r="H5" s="679"/>
      <c r="I5" s="679"/>
      <c r="J5" s="679"/>
      <c r="K5" s="679"/>
      <c r="L5" s="679"/>
      <c r="M5" s="679"/>
      <c r="N5" s="678"/>
      <c r="O5" s="643"/>
      <c r="P5" s="678"/>
      <c r="Q5" s="643"/>
      <c r="R5" s="1001"/>
    </row>
    <row r="6" spans="1:19" s="28" customFormat="1" ht="33.75" customHeight="1" x14ac:dyDescent="0.15">
      <c r="A6" s="26" t="s">
        <v>153</v>
      </c>
      <c r="B6" s="508" t="s">
        <v>48</v>
      </c>
      <c r="C6" s="508" t="s">
        <v>161</v>
      </c>
      <c r="D6" s="508" t="s">
        <v>844</v>
      </c>
      <c r="E6" s="644" t="s">
        <v>543</v>
      </c>
      <c r="F6" s="508" t="s">
        <v>74</v>
      </c>
      <c r="G6" s="643" t="s">
        <v>107</v>
      </c>
      <c r="H6" s="679"/>
      <c r="I6" s="678"/>
      <c r="J6" s="643" t="s">
        <v>114</v>
      </c>
      <c r="K6" s="678"/>
      <c r="L6" s="643" t="s">
        <v>35</v>
      </c>
      <c r="M6" s="679"/>
      <c r="N6" s="678"/>
      <c r="O6" s="508" t="s">
        <v>144</v>
      </c>
      <c r="P6" s="644" t="s">
        <v>522</v>
      </c>
      <c r="Q6" s="515" t="s">
        <v>101</v>
      </c>
      <c r="R6" s="1001"/>
    </row>
    <row r="7" spans="1:19" s="28" customFormat="1" ht="22.5" customHeight="1" x14ac:dyDescent="0.15">
      <c r="A7" s="26"/>
      <c r="B7" s="508"/>
      <c r="C7" s="508"/>
      <c r="D7" s="508" t="s">
        <v>76</v>
      </c>
      <c r="E7" s="644" t="s">
        <v>544</v>
      </c>
      <c r="F7" s="508" t="s">
        <v>77</v>
      </c>
      <c r="G7" s="508" t="s">
        <v>34</v>
      </c>
      <c r="H7" s="644" t="s">
        <v>111</v>
      </c>
      <c r="I7" s="644" t="s">
        <v>112</v>
      </c>
      <c r="J7" s="508" t="s">
        <v>16</v>
      </c>
      <c r="K7" s="644" t="s">
        <v>789</v>
      </c>
      <c r="L7" s="508" t="s">
        <v>18</v>
      </c>
      <c r="M7" s="644" t="s">
        <v>36</v>
      </c>
      <c r="N7" s="644" t="s">
        <v>37</v>
      </c>
      <c r="O7" s="508" t="s">
        <v>21</v>
      </c>
      <c r="P7" s="644" t="s">
        <v>44</v>
      </c>
      <c r="Q7" s="515" t="s">
        <v>45</v>
      </c>
      <c r="R7" s="1001"/>
    </row>
    <row r="8" spans="1:19" s="28" customFormat="1" ht="13.5" customHeight="1" x14ac:dyDescent="0.15">
      <c r="A8" s="26"/>
      <c r="B8" s="509"/>
      <c r="C8" s="509"/>
      <c r="D8" s="509"/>
      <c r="E8" s="509" t="str">
        <f>PROPER("Domestic")</f>
        <v>Domestic</v>
      </c>
      <c r="F8" s="509"/>
      <c r="G8" s="509"/>
      <c r="H8" s="509" t="str">
        <f>PROPER("SUTUDEN")</f>
        <v>Sutuden</v>
      </c>
      <c r="I8" s="509" t="str">
        <f>PROPER("CHIM-SAO")</f>
        <v>Chim-Sao</v>
      </c>
      <c r="J8" s="509"/>
      <c r="K8" s="509" t="str">
        <f>PROPER("KIKEH")</f>
        <v>Kikeh</v>
      </c>
      <c r="L8" s="509"/>
      <c r="M8" s="509" t="str">
        <f>PROPER("DURI")</f>
        <v>Duri</v>
      </c>
      <c r="N8" s="509" t="str">
        <f>PROPER("SUMATR-L")</f>
        <v>Sumatr-L</v>
      </c>
      <c r="O8" s="509"/>
      <c r="P8" s="509" t="str">
        <f>PROPER("NILE")</f>
        <v>Nile</v>
      </c>
      <c r="Q8" s="518"/>
      <c r="R8" s="1002"/>
    </row>
    <row r="9" spans="1:19" s="44" customFormat="1" ht="9.75" customHeight="1" x14ac:dyDescent="0.15">
      <c r="A9" s="645" t="s">
        <v>831</v>
      </c>
      <c r="B9" s="680">
        <v>172468</v>
      </c>
      <c r="C9" s="681">
        <v>68257</v>
      </c>
      <c r="D9" s="681" t="s">
        <v>796</v>
      </c>
      <c r="E9" s="681" t="s">
        <v>796</v>
      </c>
      <c r="F9" s="681">
        <v>68257</v>
      </c>
      <c r="G9" s="681" t="s">
        <v>796</v>
      </c>
      <c r="H9" s="681" t="s">
        <v>796</v>
      </c>
      <c r="I9" s="681" t="s">
        <v>796</v>
      </c>
      <c r="J9" s="681" t="s">
        <v>796</v>
      </c>
      <c r="K9" s="681" t="s">
        <v>796</v>
      </c>
      <c r="L9" s="681">
        <v>68257</v>
      </c>
      <c r="M9" s="681">
        <v>58255</v>
      </c>
      <c r="N9" s="681">
        <v>10002</v>
      </c>
      <c r="O9" s="681" t="s">
        <v>796</v>
      </c>
      <c r="P9" s="681" t="s">
        <v>796</v>
      </c>
      <c r="Q9" s="681" t="s">
        <v>796</v>
      </c>
      <c r="R9" s="682" t="s">
        <v>517</v>
      </c>
    </row>
    <row r="10" spans="1:19" s="44" customFormat="1" ht="9.75" customHeight="1" x14ac:dyDescent="0.15">
      <c r="A10" s="448" t="s">
        <v>557</v>
      </c>
      <c r="B10" s="45">
        <v>507367</v>
      </c>
      <c r="C10" s="44">
        <v>254198</v>
      </c>
      <c r="D10" s="44">
        <v>34948</v>
      </c>
      <c r="E10" s="44">
        <v>34948</v>
      </c>
      <c r="F10" s="44">
        <v>219250</v>
      </c>
      <c r="G10" s="44" t="s">
        <v>796</v>
      </c>
      <c r="H10" s="44" t="s">
        <v>796</v>
      </c>
      <c r="I10" s="44" t="s">
        <v>796</v>
      </c>
      <c r="J10" s="44" t="s">
        <v>796</v>
      </c>
      <c r="K10" s="44" t="s">
        <v>796</v>
      </c>
      <c r="L10" s="44">
        <v>219250</v>
      </c>
      <c r="M10" s="44">
        <v>135931</v>
      </c>
      <c r="N10" s="44">
        <v>83319</v>
      </c>
      <c r="O10" s="44" t="s">
        <v>796</v>
      </c>
      <c r="P10" s="44" t="s">
        <v>796</v>
      </c>
      <c r="Q10" s="44" t="s">
        <v>796</v>
      </c>
      <c r="R10" s="46" t="s">
        <v>558</v>
      </c>
    </row>
    <row r="11" spans="1:19" s="44" customFormat="1" ht="9.75" customHeight="1" x14ac:dyDescent="0.15">
      <c r="A11" s="448" t="s">
        <v>682</v>
      </c>
      <c r="B11" s="45">
        <v>333153</v>
      </c>
      <c r="C11" s="44">
        <v>183125</v>
      </c>
      <c r="D11" s="44">
        <v>3000</v>
      </c>
      <c r="E11" s="44">
        <v>3000</v>
      </c>
      <c r="F11" s="44">
        <v>138093</v>
      </c>
      <c r="G11" s="44">
        <v>97729</v>
      </c>
      <c r="H11" s="44">
        <v>6315</v>
      </c>
      <c r="I11" s="44">
        <v>91414</v>
      </c>
      <c r="J11" s="44" t="s">
        <v>796</v>
      </c>
      <c r="K11" s="44" t="s">
        <v>796</v>
      </c>
      <c r="L11" s="44">
        <v>40364</v>
      </c>
      <c r="M11" s="44">
        <v>32976</v>
      </c>
      <c r="N11" s="44">
        <v>7388</v>
      </c>
      <c r="O11" s="44">
        <v>19468</v>
      </c>
      <c r="P11" s="44">
        <v>19468</v>
      </c>
      <c r="Q11" s="44">
        <v>22564</v>
      </c>
      <c r="R11" s="46" t="s">
        <v>683</v>
      </c>
    </row>
    <row r="12" spans="1:19" s="44" customFormat="1" ht="9.75" customHeight="1" x14ac:dyDescent="0.15">
      <c r="A12" s="448" t="s">
        <v>784</v>
      </c>
      <c r="B12" s="45">
        <v>219540</v>
      </c>
      <c r="C12" s="44">
        <v>114203</v>
      </c>
      <c r="D12" s="44">
        <v>11153</v>
      </c>
      <c r="E12" s="44">
        <v>11153</v>
      </c>
      <c r="F12" s="44">
        <v>70014</v>
      </c>
      <c r="G12" s="44">
        <v>31232</v>
      </c>
      <c r="H12" s="44">
        <v>31232</v>
      </c>
      <c r="I12" s="44" t="s">
        <v>796</v>
      </c>
      <c r="J12" s="44">
        <v>25273</v>
      </c>
      <c r="K12" s="44">
        <v>25273</v>
      </c>
      <c r="L12" s="44">
        <v>13509</v>
      </c>
      <c r="M12" s="44">
        <v>13509</v>
      </c>
      <c r="N12" s="44" t="s">
        <v>796</v>
      </c>
      <c r="O12" s="44" t="s">
        <v>796</v>
      </c>
      <c r="P12" s="44" t="s">
        <v>796</v>
      </c>
      <c r="Q12" s="44">
        <v>33036</v>
      </c>
      <c r="R12" s="46" t="s">
        <v>785</v>
      </c>
    </row>
    <row r="13" spans="1:19" s="44" customFormat="1" ht="9.75" customHeight="1" x14ac:dyDescent="0.15">
      <c r="A13" s="448" t="s">
        <v>832</v>
      </c>
      <c r="B13" s="45">
        <v>77283</v>
      </c>
      <c r="C13" s="44">
        <v>5002</v>
      </c>
      <c r="D13" s="44" t="s">
        <v>796</v>
      </c>
      <c r="E13" s="44" t="s">
        <v>796</v>
      </c>
      <c r="F13" s="44">
        <v>5002</v>
      </c>
      <c r="G13" s="44" t="s">
        <v>796</v>
      </c>
      <c r="H13" s="44" t="s">
        <v>796</v>
      </c>
      <c r="I13" s="44" t="s">
        <v>796</v>
      </c>
      <c r="J13" s="44">
        <v>5002</v>
      </c>
      <c r="K13" s="44">
        <v>5002</v>
      </c>
      <c r="L13" s="44" t="s">
        <v>796</v>
      </c>
      <c r="M13" s="44" t="s">
        <v>796</v>
      </c>
      <c r="N13" s="44" t="s">
        <v>796</v>
      </c>
      <c r="O13" s="44" t="s">
        <v>796</v>
      </c>
      <c r="P13" s="44" t="s">
        <v>796</v>
      </c>
      <c r="Q13" s="44" t="s">
        <v>796</v>
      </c>
      <c r="R13" s="46" t="s">
        <v>833</v>
      </c>
    </row>
    <row r="14" spans="1:19" s="44" customFormat="1" ht="9.75" customHeight="1" x14ac:dyDescent="0.15">
      <c r="A14" s="464"/>
      <c r="B14" s="45"/>
      <c r="R14" s="46"/>
    </row>
    <row r="15" spans="1:19" s="44" customFormat="1" ht="9.75" customHeight="1" x14ac:dyDescent="0.15">
      <c r="A15" s="448" t="s">
        <v>834</v>
      </c>
      <c r="B15" s="45">
        <v>123341</v>
      </c>
      <c r="C15" s="44">
        <v>40082</v>
      </c>
      <c r="D15" s="44">
        <v>2456</v>
      </c>
      <c r="E15" s="44">
        <v>2456</v>
      </c>
      <c r="F15" s="44">
        <v>37626</v>
      </c>
      <c r="G15" s="44" t="s">
        <v>796</v>
      </c>
      <c r="H15" s="44" t="s">
        <v>796</v>
      </c>
      <c r="I15" s="44" t="s">
        <v>796</v>
      </c>
      <c r="J15" s="44">
        <v>30275</v>
      </c>
      <c r="K15" s="44">
        <v>30275</v>
      </c>
      <c r="L15" s="44">
        <v>7351</v>
      </c>
      <c r="M15" s="44">
        <v>7351</v>
      </c>
      <c r="N15" s="44" t="s">
        <v>796</v>
      </c>
      <c r="O15" s="44" t="s">
        <v>796</v>
      </c>
      <c r="P15" s="44" t="s">
        <v>796</v>
      </c>
      <c r="Q15" s="44" t="s">
        <v>796</v>
      </c>
      <c r="R15" s="46" t="s">
        <v>786</v>
      </c>
    </row>
    <row r="16" spans="1:19" s="44" customFormat="1" ht="9.75" customHeight="1" x14ac:dyDescent="0.15">
      <c r="A16" s="448" t="s">
        <v>835</v>
      </c>
      <c r="B16" s="45">
        <v>70510</v>
      </c>
      <c r="C16" s="44" t="s">
        <v>796</v>
      </c>
      <c r="D16" s="44" t="s">
        <v>796</v>
      </c>
      <c r="E16" s="44" t="s">
        <v>796</v>
      </c>
      <c r="F16" s="44" t="s">
        <v>796</v>
      </c>
      <c r="G16" s="44" t="s">
        <v>796</v>
      </c>
      <c r="H16" s="44" t="s">
        <v>796</v>
      </c>
      <c r="I16" s="44" t="s">
        <v>796</v>
      </c>
      <c r="J16" s="44" t="s">
        <v>796</v>
      </c>
      <c r="K16" s="44" t="s">
        <v>796</v>
      </c>
      <c r="L16" s="44" t="s">
        <v>796</v>
      </c>
      <c r="M16" s="44" t="s">
        <v>796</v>
      </c>
      <c r="N16" s="44" t="s">
        <v>796</v>
      </c>
      <c r="O16" s="44" t="s">
        <v>796</v>
      </c>
      <c r="P16" s="44" t="s">
        <v>796</v>
      </c>
      <c r="Q16" s="44" t="s">
        <v>796</v>
      </c>
      <c r="R16" s="46" t="s">
        <v>836</v>
      </c>
    </row>
    <row r="17" spans="1:18" s="44" customFormat="1" ht="9.75" customHeight="1" x14ac:dyDescent="0.15">
      <c r="A17" s="464"/>
      <c r="B17" s="45"/>
      <c r="R17" s="46"/>
    </row>
    <row r="18" spans="1:18" s="44" customFormat="1" ht="9.75" customHeight="1" x14ac:dyDescent="0.15">
      <c r="A18" s="448" t="s">
        <v>837</v>
      </c>
      <c r="B18" s="45">
        <v>12514</v>
      </c>
      <c r="C18" s="44">
        <v>5002</v>
      </c>
      <c r="D18" s="44" t="s">
        <v>796</v>
      </c>
      <c r="E18" s="44" t="s">
        <v>796</v>
      </c>
      <c r="F18" s="44">
        <v>5002</v>
      </c>
      <c r="G18" s="44" t="s">
        <v>796</v>
      </c>
      <c r="H18" s="44" t="s">
        <v>796</v>
      </c>
      <c r="I18" s="44" t="s">
        <v>796</v>
      </c>
      <c r="J18" s="44">
        <v>5002</v>
      </c>
      <c r="K18" s="44">
        <v>5002</v>
      </c>
      <c r="L18" s="44" t="s">
        <v>796</v>
      </c>
      <c r="M18" s="44" t="s">
        <v>796</v>
      </c>
      <c r="N18" s="44" t="s">
        <v>796</v>
      </c>
      <c r="O18" s="44" t="s">
        <v>796</v>
      </c>
      <c r="P18" s="44" t="s">
        <v>796</v>
      </c>
      <c r="Q18" s="44" t="s">
        <v>796</v>
      </c>
      <c r="R18" s="46" t="s">
        <v>787</v>
      </c>
    </row>
    <row r="19" spans="1:18" s="44" customFormat="1" ht="9.75" customHeight="1" x14ac:dyDescent="0.15">
      <c r="A19" s="448" t="s">
        <v>559</v>
      </c>
      <c r="B19" s="45">
        <v>4428</v>
      </c>
      <c r="C19" s="44" t="s">
        <v>796</v>
      </c>
      <c r="D19" s="44" t="s">
        <v>796</v>
      </c>
      <c r="E19" s="44" t="s">
        <v>796</v>
      </c>
      <c r="F19" s="44" t="s">
        <v>796</v>
      </c>
      <c r="G19" s="44" t="s">
        <v>796</v>
      </c>
      <c r="H19" s="44" t="s">
        <v>796</v>
      </c>
      <c r="I19" s="44" t="s">
        <v>796</v>
      </c>
      <c r="J19" s="44" t="s">
        <v>796</v>
      </c>
      <c r="K19" s="44" t="s">
        <v>796</v>
      </c>
      <c r="L19" s="44" t="s">
        <v>796</v>
      </c>
      <c r="M19" s="44" t="s">
        <v>796</v>
      </c>
      <c r="N19" s="44" t="s">
        <v>796</v>
      </c>
      <c r="O19" s="44" t="s">
        <v>796</v>
      </c>
      <c r="P19" s="44" t="s">
        <v>796</v>
      </c>
      <c r="Q19" s="44" t="s">
        <v>796</v>
      </c>
      <c r="R19" s="46" t="s">
        <v>78</v>
      </c>
    </row>
    <row r="20" spans="1:18" s="44" customFormat="1" ht="9.75" customHeight="1" x14ac:dyDescent="0.15">
      <c r="A20" s="448" t="s">
        <v>560</v>
      </c>
      <c r="B20" s="45">
        <v>6906</v>
      </c>
      <c r="C20" s="44" t="s">
        <v>796</v>
      </c>
      <c r="D20" s="44" t="s">
        <v>796</v>
      </c>
      <c r="E20" s="44" t="s">
        <v>796</v>
      </c>
      <c r="F20" s="44" t="s">
        <v>796</v>
      </c>
      <c r="G20" s="44" t="s">
        <v>796</v>
      </c>
      <c r="H20" s="44" t="s">
        <v>796</v>
      </c>
      <c r="I20" s="44" t="s">
        <v>796</v>
      </c>
      <c r="J20" s="44" t="s">
        <v>796</v>
      </c>
      <c r="K20" s="44" t="s">
        <v>796</v>
      </c>
      <c r="L20" s="44" t="s">
        <v>796</v>
      </c>
      <c r="M20" s="44" t="s">
        <v>796</v>
      </c>
      <c r="N20" s="44" t="s">
        <v>796</v>
      </c>
      <c r="O20" s="44" t="s">
        <v>796</v>
      </c>
      <c r="P20" s="44" t="s">
        <v>796</v>
      </c>
      <c r="Q20" s="44" t="s">
        <v>796</v>
      </c>
      <c r="R20" s="46" t="s">
        <v>79</v>
      </c>
    </row>
    <row r="21" spans="1:18" s="44" customFormat="1" ht="9.75" customHeight="1" x14ac:dyDescent="0.15">
      <c r="A21" s="448" t="s">
        <v>561</v>
      </c>
      <c r="B21" s="45">
        <v>53435</v>
      </c>
      <c r="C21" s="44" t="s">
        <v>796</v>
      </c>
      <c r="D21" s="44" t="s">
        <v>796</v>
      </c>
      <c r="E21" s="44" t="s">
        <v>796</v>
      </c>
      <c r="F21" s="44" t="s">
        <v>796</v>
      </c>
      <c r="G21" s="44" t="s">
        <v>796</v>
      </c>
      <c r="H21" s="44" t="s">
        <v>796</v>
      </c>
      <c r="I21" s="44" t="s">
        <v>796</v>
      </c>
      <c r="J21" s="44" t="s">
        <v>796</v>
      </c>
      <c r="K21" s="44" t="s">
        <v>796</v>
      </c>
      <c r="L21" s="44" t="s">
        <v>796</v>
      </c>
      <c r="M21" s="44" t="s">
        <v>796</v>
      </c>
      <c r="N21" s="44" t="s">
        <v>796</v>
      </c>
      <c r="O21" s="44" t="s">
        <v>796</v>
      </c>
      <c r="P21" s="44" t="s">
        <v>796</v>
      </c>
      <c r="Q21" s="44" t="s">
        <v>796</v>
      </c>
      <c r="R21" s="46" t="s">
        <v>80</v>
      </c>
    </row>
    <row r="22" spans="1:18" s="44" customFormat="1" ht="9.75" customHeight="1" x14ac:dyDescent="0.15">
      <c r="A22" s="448" t="s">
        <v>838</v>
      </c>
      <c r="B22" s="45">
        <v>5741</v>
      </c>
      <c r="C22" s="44" t="s">
        <v>796</v>
      </c>
      <c r="D22" s="44" t="s">
        <v>796</v>
      </c>
      <c r="E22" s="44" t="s">
        <v>796</v>
      </c>
      <c r="F22" s="44" t="s">
        <v>796</v>
      </c>
      <c r="G22" s="44" t="s">
        <v>796</v>
      </c>
      <c r="H22" s="44" t="s">
        <v>796</v>
      </c>
      <c r="I22" s="44" t="s">
        <v>796</v>
      </c>
      <c r="J22" s="44" t="s">
        <v>796</v>
      </c>
      <c r="K22" s="44" t="s">
        <v>796</v>
      </c>
      <c r="L22" s="44" t="s">
        <v>796</v>
      </c>
      <c r="M22" s="44" t="s">
        <v>796</v>
      </c>
      <c r="N22" s="44" t="s">
        <v>796</v>
      </c>
      <c r="O22" s="44" t="s">
        <v>796</v>
      </c>
      <c r="P22" s="44" t="s">
        <v>796</v>
      </c>
      <c r="Q22" s="44" t="s">
        <v>796</v>
      </c>
      <c r="R22" s="46" t="s">
        <v>839</v>
      </c>
    </row>
    <row r="23" spans="1:18" s="44" customFormat="1" ht="9.75" customHeight="1" x14ac:dyDescent="0.15">
      <c r="A23" s="464"/>
      <c r="B23" s="45"/>
      <c r="R23" s="46"/>
    </row>
    <row r="24" spans="1:18" s="44" customFormat="1" ht="9.75" customHeight="1" x14ac:dyDescent="0.15">
      <c r="A24" s="448" t="s">
        <v>840</v>
      </c>
      <c r="B24" s="45">
        <v>5002</v>
      </c>
      <c r="C24" s="44">
        <v>5002</v>
      </c>
      <c r="D24" s="44" t="s">
        <v>796</v>
      </c>
      <c r="E24" s="44" t="s">
        <v>796</v>
      </c>
      <c r="F24" s="44">
        <v>5002</v>
      </c>
      <c r="G24" s="44" t="s">
        <v>796</v>
      </c>
      <c r="H24" s="44" t="s">
        <v>796</v>
      </c>
      <c r="I24" s="44" t="s">
        <v>796</v>
      </c>
      <c r="J24" s="44">
        <v>5002</v>
      </c>
      <c r="K24" s="44">
        <v>5002</v>
      </c>
      <c r="L24" s="44" t="s">
        <v>796</v>
      </c>
      <c r="M24" s="44" t="s">
        <v>796</v>
      </c>
      <c r="N24" s="44" t="s">
        <v>796</v>
      </c>
      <c r="O24" s="44" t="s">
        <v>796</v>
      </c>
      <c r="P24" s="44" t="s">
        <v>796</v>
      </c>
      <c r="Q24" s="44" t="s">
        <v>796</v>
      </c>
      <c r="R24" s="46" t="s">
        <v>788</v>
      </c>
    </row>
    <row r="25" spans="1:18" s="44" customFormat="1" ht="9.75" customHeight="1" x14ac:dyDescent="0.15">
      <c r="A25" s="448" t="s">
        <v>562</v>
      </c>
      <c r="B25" s="45">
        <v>4548</v>
      </c>
      <c r="C25" s="44" t="s">
        <v>796</v>
      </c>
      <c r="D25" s="44" t="s">
        <v>796</v>
      </c>
      <c r="E25" s="44" t="s">
        <v>796</v>
      </c>
      <c r="F25" s="44" t="s">
        <v>796</v>
      </c>
      <c r="G25" s="44" t="s">
        <v>796</v>
      </c>
      <c r="H25" s="44" t="s">
        <v>796</v>
      </c>
      <c r="I25" s="44" t="s">
        <v>796</v>
      </c>
      <c r="J25" s="44" t="s">
        <v>796</v>
      </c>
      <c r="K25" s="44" t="s">
        <v>796</v>
      </c>
      <c r="L25" s="44" t="s">
        <v>796</v>
      </c>
      <c r="M25" s="44" t="s">
        <v>796</v>
      </c>
      <c r="N25" s="44" t="s">
        <v>796</v>
      </c>
      <c r="O25" s="44" t="s">
        <v>796</v>
      </c>
      <c r="P25" s="44" t="s">
        <v>796</v>
      </c>
      <c r="Q25" s="44" t="s">
        <v>796</v>
      </c>
      <c r="R25" s="46" t="s">
        <v>66</v>
      </c>
    </row>
    <row r="26" spans="1:18" s="44" customFormat="1" ht="9.75" customHeight="1" x14ac:dyDescent="0.15">
      <c r="A26" s="448" t="s">
        <v>563</v>
      </c>
      <c r="B26" s="45">
        <v>2964</v>
      </c>
      <c r="C26" s="44" t="s">
        <v>796</v>
      </c>
      <c r="D26" s="44" t="s">
        <v>796</v>
      </c>
      <c r="E26" s="44" t="s">
        <v>796</v>
      </c>
      <c r="F26" s="44" t="s">
        <v>796</v>
      </c>
      <c r="G26" s="44" t="s">
        <v>796</v>
      </c>
      <c r="H26" s="44" t="s">
        <v>796</v>
      </c>
      <c r="I26" s="44" t="s">
        <v>796</v>
      </c>
      <c r="J26" s="44" t="s">
        <v>796</v>
      </c>
      <c r="K26" s="44" t="s">
        <v>796</v>
      </c>
      <c r="L26" s="44" t="s">
        <v>796</v>
      </c>
      <c r="M26" s="44" t="s">
        <v>796</v>
      </c>
      <c r="N26" s="44" t="s">
        <v>796</v>
      </c>
      <c r="O26" s="44" t="s">
        <v>796</v>
      </c>
      <c r="P26" s="44" t="s">
        <v>796</v>
      </c>
      <c r="Q26" s="44" t="s">
        <v>796</v>
      </c>
      <c r="R26" s="46" t="s">
        <v>67</v>
      </c>
    </row>
    <row r="27" spans="1:18" s="44" customFormat="1" ht="9.75" customHeight="1" x14ac:dyDescent="0.15">
      <c r="A27" s="448" t="s">
        <v>564</v>
      </c>
      <c r="B27" s="45">
        <v>3646</v>
      </c>
      <c r="C27" s="44" t="s">
        <v>796</v>
      </c>
      <c r="D27" s="44" t="s">
        <v>796</v>
      </c>
      <c r="E27" s="44" t="s">
        <v>796</v>
      </c>
      <c r="F27" s="44" t="s">
        <v>796</v>
      </c>
      <c r="G27" s="44" t="s">
        <v>796</v>
      </c>
      <c r="H27" s="44" t="s">
        <v>796</v>
      </c>
      <c r="I27" s="44" t="s">
        <v>796</v>
      </c>
      <c r="J27" s="44" t="s">
        <v>796</v>
      </c>
      <c r="K27" s="44" t="s">
        <v>796</v>
      </c>
      <c r="L27" s="44" t="s">
        <v>796</v>
      </c>
      <c r="M27" s="44" t="s">
        <v>796</v>
      </c>
      <c r="N27" s="44" t="s">
        <v>796</v>
      </c>
      <c r="O27" s="44" t="s">
        <v>796</v>
      </c>
      <c r="P27" s="44" t="s">
        <v>796</v>
      </c>
      <c r="Q27" s="44" t="s">
        <v>796</v>
      </c>
      <c r="R27" s="46" t="s">
        <v>68</v>
      </c>
    </row>
    <row r="28" spans="1:18" s="44" customFormat="1" ht="9.75" customHeight="1" x14ac:dyDescent="0.15">
      <c r="A28" s="448" t="s">
        <v>565</v>
      </c>
      <c r="B28" s="45">
        <v>782</v>
      </c>
      <c r="C28" s="44" t="s">
        <v>796</v>
      </c>
      <c r="D28" s="44" t="s">
        <v>796</v>
      </c>
      <c r="E28" s="44" t="s">
        <v>796</v>
      </c>
      <c r="F28" s="44" t="s">
        <v>796</v>
      </c>
      <c r="G28" s="44" t="s">
        <v>796</v>
      </c>
      <c r="H28" s="44" t="s">
        <v>796</v>
      </c>
      <c r="I28" s="44" t="s">
        <v>796</v>
      </c>
      <c r="J28" s="44" t="s">
        <v>796</v>
      </c>
      <c r="K28" s="44" t="s">
        <v>796</v>
      </c>
      <c r="L28" s="44" t="s">
        <v>796</v>
      </c>
      <c r="M28" s="44" t="s">
        <v>796</v>
      </c>
      <c r="N28" s="44" t="s">
        <v>796</v>
      </c>
      <c r="O28" s="44" t="s">
        <v>796</v>
      </c>
      <c r="P28" s="44" t="s">
        <v>796</v>
      </c>
      <c r="Q28" s="44" t="s">
        <v>796</v>
      </c>
      <c r="R28" s="47" t="s">
        <v>81</v>
      </c>
    </row>
    <row r="29" spans="1:18" s="44" customFormat="1" ht="9.75" customHeight="1" x14ac:dyDescent="0.15">
      <c r="A29" s="448" t="s">
        <v>566</v>
      </c>
      <c r="B29" s="45">
        <v>0</v>
      </c>
      <c r="C29" s="44" t="s">
        <v>796</v>
      </c>
      <c r="D29" s="44" t="s">
        <v>796</v>
      </c>
      <c r="E29" s="44" t="s">
        <v>796</v>
      </c>
      <c r="F29" s="44" t="s">
        <v>796</v>
      </c>
      <c r="G29" s="44" t="s">
        <v>796</v>
      </c>
      <c r="H29" s="44" t="s">
        <v>796</v>
      </c>
      <c r="I29" s="44" t="s">
        <v>796</v>
      </c>
      <c r="J29" s="44" t="s">
        <v>796</v>
      </c>
      <c r="K29" s="44" t="s">
        <v>796</v>
      </c>
      <c r="L29" s="44" t="s">
        <v>796</v>
      </c>
      <c r="M29" s="44" t="s">
        <v>796</v>
      </c>
      <c r="N29" s="44" t="s">
        <v>796</v>
      </c>
      <c r="O29" s="44" t="s">
        <v>796</v>
      </c>
      <c r="P29" s="44" t="s">
        <v>796</v>
      </c>
      <c r="Q29" s="44" t="s">
        <v>796</v>
      </c>
      <c r="R29" s="46" t="s">
        <v>82</v>
      </c>
    </row>
    <row r="30" spans="1:18" s="44" customFormat="1" ht="9.75" customHeight="1" x14ac:dyDescent="0.15">
      <c r="A30" s="448" t="s">
        <v>567</v>
      </c>
      <c r="B30" s="45">
        <v>3744</v>
      </c>
      <c r="C30" s="44" t="s">
        <v>796</v>
      </c>
      <c r="D30" s="44" t="s">
        <v>796</v>
      </c>
      <c r="E30" s="44" t="s">
        <v>796</v>
      </c>
      <c r="F30" s="44" t="s">
        <v>796</v>
      </c>
      <c r="G30" s="44" t="s">
        <v>796</v>
      </c>
      <c r="H30" s="44" t="s">
        <v>796</v>
      </c>
      <c r="I30" s="44" t="s">
        <v>796</v>
      </c>
      <c r="J30" s="44" t="s">
        <v>796</v>
      </c>
      <c r="K30" s="44" t="s">
        <v>796</v>
      </c>
      <c r="L30" s="44" t="s">
        <v>796</v>
      </c>
      <c r="M30" s="44" t="s">
        <v>796</v>
      </c>
      <c r="N30" s="44" t="s">
        <v>796</v>
      </c>
      <c r="O30" s="44" t="s">
        <v>796</v>
      </c>
      <c r="P30" s="44" t="s">
        <v>796</v>
      </c>
      <c r="Q30" s="44" t="s">
        <v>796</v>
      </c>
      <c r="R30" s="46" t="s">
        <v>83</v>
      </c>
    </row>
    <row r="31" spans="1:18" s="44" customFormat="1" ht="9.75" customHeight="1" x14ac:dyDescent="0.15">
      <c r="A31" s="448" t="s">
        <v>568</v>
      </c>
      <c r="B31" s="45">
        <v>1748</v>
      </c>
      <c r="C31" s="44" t="s">
        <v>796</v>
      </c>
      <c r="D31" s="44" t="s">
        <v>796</v>
      </c>
      <c r="E31" s="44" t="s">
        <v>796</v>
      </c>
      <c r="F31" s="44" t="s">
        <v>796</v>
      </c>
      <c r="G31" s="44" t="s">
        <v>796</v>
      </c>
      <c r="H31" s="44" t="s">
        <v>796</v>
      </c>
      <c r="I31" s="44" t="s">
        <v>796</v>
      </c>
      <c r="J31" s="44" t="s">
        <v>796</v>
      </c>
      <c r="K31" s="44" t="s">
        <v>796</v>
      </c>
      <c r="L31" s="44" t="s">
        <v>796</v>
      </c>
      <c r="M31" s="44" t="s">
        <v>796</v>
      </c>
      <c r="N31" s="44" t="s">
        <v>796</v>
      </c>
      <c r="O31" s="44" t="s">
        <v>796</v>
      </c>
      <c r="P31" s="44" t="s">
        <v>796</v>
      </c>
      <c r="Q31" s="44" t="s">
        <v>796</v>
      </c>
      <c r="R31" s="46" t="s">
        <v>84</v>
      </c>
    </row>
    <row r="32" spans="1:18" s="44" customFormat="1" ht="9.75" customHeight="1" x14ac:dyDescent="0.15">
      <c r="A32" s="448" t="s">
        <v>569</v>
      </c>
      <c r="B32" s="45">
        <v>1414</v>
      </c>
      <c r="C32" s="44" t="s">
        <v>796</v>
      </c>
      <c r="D32" s="44" t="s">
        <v>796</v>
      </c>
      <c r="E32" s="44" t="s">
        <v>796</v>
      </c>
      <c r="F32" s="44" t="s">
        <v>796</v>
      </c>
      <c r="G32" s="44" t="s">
        <v>796</v>
      </c>
      <c r="H32" s="44" t="s">
        <v>796</v>
      </c>
      <c r="I32" s="44" t="s">
        <v>796</v>
      </c>
      <c r="J32" s="44" t="s">
        <v>796</v>
      </c>
      <c r="K32" s="44" t="s">
        <v>796</v>
      </c>
      <c r="L32" s="44" t="s">
        <v>796</v>
      </c>
      <c r="M32" s="44" t="s">
        <v>796</v>
      </c>
      <c r="N32" s="44" t="s">
        <v>796</v>
      </c>
      <c r="O32" s="44" t="s">
        <v>796</v>
      </c>
      <c r="P32" s="44" t="s">
        <v>796</v>
      </c>
      <c r="Q32" s="44" t="s">
        <v>796</v>
      </c>
      <c r="R32" s="46" t="s">
        <v>85</v>
      </c>
    </row>
    <row r="33" spans="1:18" s="44" customFormat="1" ht="9.75" customHeight="1" x14ac:dyDescent="0.15">
      <c r="A33" s="448" t="s">
        <v>570</v>
      </c>
      <c r="B33" s="45">
        <v>974</v>
      </c>
      <c r="C33" s="44" t="s">
        <v>796</v>
      </c>
      <c r="D33" s="44" t="s">
        <v>796</v>
      </c>
      <c r="E33" s="44" t="s">
        <v>796</v>
      </c>
      <c r="F33" s="44" t="s">
        <v>796</v>
      </c>
      <c r="G33" s="44" t="s">
        <v>796</v>
      </c>
      <c r="H33" s="44" t="s">
        <v>796</v>
      </c>
      <c r="I33" s="44" t="s">
        <v>796</v>
      </c>
      <c r="J33" s="44" t="s">
        <v>796</v>
      </c>
      <c r="K33" s="44" t="s">
        <v>796</v>
      </c>
      <c r="L33" s="44" t="s">
        <v>796</v>
      </c>
      <c r="M33" s="44" t="s">
        <v>796</v>
      </c>
      <c r="N33" s="44" t="s">
        <v>796</v>
      </c>
      <c r="O33" s="44" t="s">
        <v>796</v>
      </c>
      <c r="P33" s="44" t="s">
        <v>796</v>
      </c>
      <c r="Q33" s="44" t="s">
        <v>796</v>
      </c>
      <c r="R33" s="46" t="s">
        <v>69</v>
      </c>
    </row>
    <row r="34" spans="1:18" s="44" customFormat="1" ht="9.75" customHeight="1" x14ac:dyDescent="0.15">
      <c r="A34" s="448" t="s">
        <v>571</v>
      </c>
      <c r="B34" s="45">
        <v>2955</v>
      </c>
      <c r="C34" s="44" t="s">
        <v>796</v>
      </c>
      <c r="D34" s="44" t="s">
        <v>796</v>
      </c>
      <c r="E34" s="44" t="s">
        <v>796</v>
      </c>
      <c r="F34" s="44" t="s">
        <v>796</v>
      </c>
      <c r="G34" s="44" t="s">
        <v>796</v>
      </c>
      <c r="H34" s="44" t="s">
        <v>796</v>
      </c>
      <c r="I34" s="44" t="s">
        <v>796</v>
      </c>
      <c r="J34" s="44" t="s">
        <v>796</v>
      </c>
      <c r="K34" s="44" t="s">
        <v>796</v>
      </c>
      <c r="L34" s="44" t="s">
        <v>796</v>
      </c>
      <c r="M34" s="44" t="s">
        <v>796</v>
      </c>
      <c r="N34" s="44" t="s">
        <v>796</v>
      </c>
      <c r="O34" s="44" t="s">
        <v>796</v>
      </c>
      <c r="P34" s="44" t="s">
        <v>796</v>
      </c>
      <c r="Q34" s="44" t="s">
        <v>796</v>
      </c>
      <c r="R34" s="46" t="s">
        <v>70</v>
      </c>
    </row>
    <row r="35" spans="1:18" s="44" customFormat="1" ht="9.75" customHeight="1" x14ac:dyDescent="0.15">
      <c r="A35" s="448" t="s">
        <v>572</v>
      </c>
      <c r="B35" s="45">
        <v>49506</v>
      </c>
      <c r="C35" s="44" t="s">
        <v>796</v>
      </c>
      <c r="D35" s="44" t="s">
        <v>796</v>
      </c>
      <c r="E35" s="44" t="s">
        <v>796</v>
      </c>
      <c r="F35" s="44" t="s">
        <v>796</v>
      </c>
      <c r="G35" s="44" t="s">
        <v>796</v>
      </c>
      <c r="H35" s="44" t="s">
        <v>796</v>
      </c>
      <c r="I35" s="44" t="s">
        <v>796</v>
      </c>
      <c r="J35" s="44" t="s">
        <v>796</v>
      </c>
      <c r="K35" s="44" t="s">
        <v>796</v>
      </c>
      <c r="L35" s="44" t="s">
        <v>796</v>
      </c>
      <c r="M35" s="44" t="s">
        <v>796</v>
      </c>
      <c r="N35" s="44" t="s">
        <v>796</v>
      </c>
      <c r="O35" s="44" t="s">
        <v>796</v>
      </c>
      <c r="P35" s="44" t="s">
        <v>796</v>
      </c>
      <c r="Q35" s="44" t="s">
        <v>796</v>
      </c>
      <c r="R35" s="46" t="s">
        <v>71</v>
      </c>
    </row>
    <row r="36" spans="1:18" s="44" customFormat="1" ht="9.75" customHeight="1" x14ac:dyDescent="0.15">
      <c r="A36" s="448" t="s">
        <v>841</v>
      </c>
      <c r="B36" s="45">
        <v>2217</v>
      </c>
      <c r="C36" s="44" t="s">
        <v>796</v>
      </c>
      <c r="D36" s="44" t="s">
        <v>796</v>
      </c>
      <c r="E36" s="44" t="s">
        <v>796</v>
      </c>
      <c r="F36" s="44" t="s">
        <v>796</v>
      </c>
      <c r="G36" s="44" t="s">
        <v>796</v>
      </c>
      <c r="H36" s="44" t="s">
        <v>796</v>
      </c>
      <c r="I36" s="44" t="s">
        <v>796</v>
      </c>
      <c r="J36" s="44" t="s">
        <v>796</v>
      </c>
      <c r="K36" s="44" t="s">
        <v>796</v>
      </c>
      <c r="L36" s="44" t="s">
        <v>796</v>
      </c>
      <c r="M36" s="44" t="s">
        <v>796</v>
      </c>
      <c r="N36" s="44" t="s">
        <v>796</v>
      </c>
      <c r="O36" s="44" t="s">
        <v>796</v>
      </c>
      <c r="P36" s="44" t="s">
        <v>796</v>
      </c>
      <c r="Q36" s="44" t="s">
        <v>796</v>
      </c>
      <c r="R36" s="46" t="s">
        <v>842</v>
      </c>
    </row>
    <row r="37" spans="1:18" s="44" customFormat="1" ht="9.75" customHeight="1" x14ac:dyDescent="0.15">
      <c r="A37" s="448" t="s">
        <v>573</v>
      </c>
      <c r="B37" s="45">
        <v>1846</v>
      </c>
      <c r="C37" s="44" t="s">
        <v>796</v>
      </c>
      <c r="D37" s="44" t="s">
        <v>796</v>
      </c>
      <c r="E37" s="44" t="s">
        <v>796</v>
      </c>
      <c r="F37" s="44" t="s">
        <v>796</v>
      </c>
      <c r="G37" s="44" t="s">
        <v>796</v>
      </c>
      <c r="H37" s="44" t="s">
        <v>796</v>
      </c>
      <c r="I37" s="44" t="s">
        <v>796</v>
      </c>
      <c r="J37" s="44" t="s">
        <v>796</v>
      </c>
      <c r="K37" s="44" t="s">
        <v>796</v>
      </c>
      <c r="L37" s="44" t="s">
        <v>796</v>
      </c>
      <c r="M37" s="44" t="s">
        <v>796</v>
      </c>
      <c r="N37" s="44" t="s">
        <v>796</v>
      </c>
      <c r="O37" s="44" t="s">
        <v>796</v>
      </c>
      <c r="P37" s="44" t="s">
        <v>796</v>
      </c>
      <c r="Q37" s="44" t="s">
        <v>796</v>
      </c>
      <c r="R37" s="46" t="s">
        <v>66</v>
      </c>
    </row>
    <row r="38" spans="1:18" s="44" customFormat="1" ht="9.75" customHeight="1" x14ac:dyDescent="0.15">
      <c r="A38" s="519" t="s">
        <v>574</v>
      </c>
      <c r="B38" s="544">
        <v>1678</v>
      </c>
      <c r="C38" s="545" t="s">
        <v>796</v>
      </c>
      <c r="D38" s="545" t="s">
        <v>796</v>
      </c>
      <c r="E38" s="545" t="s">
        <v>796</v>
      </c>
      <c r="F38" s="545" t="s">
        <v>796</v>
      </c>
      <c r="G38" s="545" t="s">
        <v>796</v>
      </c>
      <c r="H38" s="545" t="s">
        <v>796</v>
      </c>
      <c r="I38" s="545" t="s">
        <v>796</v>
      </c>
      <c r="J38" s="545" t="s">
        <v>796</v>
      </c>
      <c r="K38" s="545" t="s">
        <v>796</v>
      </c>
      <c r="L38" s="545" t="s">
        <v>796</v>
      </c>
      <c r="M38" s="545" t="s">
        <v>796</v>
      </c>
      <c r="N38" s="545" t="s">
        <v>796</v>
      </c>
      <c r="O38" s="545" t="s">
        <v>796</v>
      </c>
      <c r="P38" s="545" t="s">
        <v>796</v>
      </c>
      <c r="Q38" s="545" t="s">
        <v>796</v>
      </c>
      <c r="R38" s="546" t="s">
        <v>67</v>
      </c>
    </row>
    <row r="39" spans="1:18" ht="21.75" customHeight="1" x14ac:dyDescent="0.15">
      <c r="I39" s="23" t="s">
        <v>86</v>
      </c>
    </row>
    <row r="40" spans="1:18" s="514" customFormat="1" ht="12" customHeight="1" x14ac:dyDescent="0.15">
      <c r="A40" s="674"/>
      <c r="B40" s="683" t="s">
        <v>162</v>
      </c>
      <c r="C40" s="676"/>
      <c r="D40" s="677"/>
      <c r="E40" s="677"/>
      <c r="F40" s="677"/>
      <c r="G40" s="677"/>
      <c r="H40" s="677"/>
      <c r="I40" s="677"/>
      <c r="J40" s="677"/>
      <c r="K40" s="674"/>
      <c r="L40" s="676"/>
      <c r="M40" s="677"/>
      <c r="N40" s="677"/>
      <c r="O40" s="677"/>
      <c r="P40" s="677"/>
      <c r="Q40" s="677"/>
      <c r="R40" s="1000" t="s">
        <v>72</v>
      </c>
    </row>
    <row r="41" spans="1:18" s="28" customFormat="1" ht="13.5" customHeight="1" x14ac:dyDescent="0.15">
      <c r="A41" s="26"/>
      <c r="B41" s="683" t="s">
        <v>104</v>
      </c>
      <c r="C41" s="508" t="s">
        <v>163</v>
      </c>
      <c r="D41" s="643"/>
      <c r="E41" s="678"/>
      <c r="F41" s="643"/>
      <c r="G41" s="678"/>
      <c r="H41" s="643"/>
      <c r="I41" s="679"/>
      <c r="J41" s="679"/>
      <c r="K41" s="678"/>
      <c r="L41" s="508" t="s">
        <v>165</v>
      </c>
      <c r="M41" s="643"/>
      <c r="N41" s="678"/>
      <c r="O41" s="643"/>
      <c r="P41" s="678"/>
      <c r="Q41" s="643"/>
      <c r="R41" s="1001"/>
    </row>
    <row r="42" spans="1:18" s="28" customFormat="1" ht="33.75" customHeight="1" x14ac:dyDescent="0.15">
      <c r="A42" s="26" t="s">
        <v>153</v>
      </c>
      <c r="B42" s="644" t="s">
        <v>795</v>
      </c>
      <c r="C42" s="508" t="s">
        <v>164</v>
      </c>
      <c r="D42" s="508" t="s">
        <v>75</v>
      </c>
      <c r="E42" s="684" t="s">
        <v>166</v>
      </c>
      <c r="F42" s="508" t="s">
        <v>144</v>
      </c>
      <c r="G42" s="644" t="s">
        <v>390</v>
      </c>
      <c r="H42" s="508" t="s">
        <v>101</v>
      </c>
      <c r="I42" s="643" t="s">
        <v>150</v>
      </c>
      <c r="J42" s="679"/>
      <c r="K42" s="678"/>
      <c r="L42" s="508" t="s">
        <v>167</v>
      </c>
      <c r="M42" s="508" t="s">
        <v>844</v>
      </c>
      <c r="N42" s="644" t="s">
        <v>543</v>
      </c>
      <c r="O42" s="508" t="s">
        <v>74</v>
      </c>
      <c r="P42" s="644" t="s">
        <v>168</v>
      </c>
      <c r="Q42" s="515" t="s">
        <v>75</v>
      </c>
      <c r="R42" s="1001"/>
    </row>
    <row r="43" spans="1:18" s="28" customFormat="1" ht="22.5" customHeight="1" x14ac:dyDescent="0.15">
      <c r="A43" s="26"/>
      <c r="B43" s="644" t="s">
        <v>870</v>
      </c>
      <c r="C43" s="508"/>
      <c r="D43" s="508" t="s">
        <v>38</v>
      </c>
      <c r="E43" s="644" t="s">
        <v>858</v>
      </c>
      <c r="F43" s="508" t="s">
        <v>21</v>
      </c>
      <c r="G43" s="644" t="s">
        <v>867</v>
      </c>
      <c r="H43" s="508" t="s">
        <v>45</v>
      </c>
      <c r="I43" s="508" t="s">
        <v>46</v>
      </c>
      <c r="J43" s="685" t="s">
        <v>686</v>
      </c>
      <c r="K43" s="644" t="s">
        <v>871</v>
      </c>
      <c r="L43" s="508"/>
      <c r="M43" s="508" t="s">
        <v>76</v>
      </c>
      <c r="N43" s="644" t="s">
        <v>544</v>
      </c>
      <c r="O43" s="508" t="s">
        <v>77</v>
      </c>
      <c r="P43" s="644" t="s">
        <v>36</v>
      </c>
      <c r="Q43" s="515" t="s">
        <v>38</v>
      </c>
      <c r="R43" s="1001"/>
    </row>
    <row r="44" spans="1:18" s="28" customFormat="1" ht="13.5" customHeight="1" x14ac:dyDescent="0.15">
      <c r="A44" s="517"/>
      <c r="B44" s="509" t="str">
        <f>PROPER("VANGOG-B")</f>
        <v>Vangog-B</v>
      </c>
      <c r="C44" s="509"/>
      <c r="D44" s="509"/>
      <c r="E44" s="509" t="str">
        <f>PROPER("SHARJA-C")</f>
        <v>Sharja-C</v>
      </c>
      <c r="F44" s="509"/>
      <c r="G44" s="509" t="str">
        <f>PROPER("TEMANE-C")</f>
        <v>Temane-C</v>
      </c>
      <c r="H44" s="509"/>
      <c r="I44" s="509"/>
      <c r="J44" s="509" t="str">
        <f>PROPER("N･W･S-C")</f>
        <v>N･W･S-C</v>
      </c>
      <c r="K44" s="509" t="str">
        <f>PROPER("PLUTO-C")</f>
        <v>Pluto-C</v>
      </c>
      <c r="L44" s="509"/>
      <c r="M44" s="509"/>
      <c r="N44" s="509" t="str">
        <f>PROPER("Domestic")</f>
        <v>Domestic</v>
      </c>
      <c r="O44" s="509"/>
      <c r="P44" s="509" t="str">
        <f>PROPER("DURI")</f>
        <v>Duri</v>
      </c>
      <c r="Q44" s="518"/>
      <c r="R44" s="1002"/>
    </row>
    <row r="45" spans="1:18" s="44" customFormat="1" ht="9.75" customHeight="1" x14ac:dyDescent="0.15">
      <c r="A45" s="645" t="s">
        <v>831</v>
      </c>
      <c r="B45" s="680" t="s">
        <v>796</v>
      </c>
      <c r="C45" s="681" t="s">
        <v>796</v>
      </c>
      <c r="D45" s="681" t="s">
        <v>796</v>
      </c>
      <c r="E45" s="681" t="s">
        <v>796</v>
      </c>
      <c r="F45" s="681" t="s">
        <v>796</v>
      </c>
      <c r="G45" s="681" t="s">
        <v>796</v>
      </c>
      <c r="H45" s="681" t="s">
        <v>796</v>
      </c>
      <c r="I45" s="681" t="s">
        <v>796</v>
      </c>
      <c r="J45" s="681" t="s">
        <v>796</v>
      </c>
      <c r="K45" s="681" t="s">
        <v>796</v>
      </c>
      <c r="L45" s="681">
        <v>104211</v>
      </c>
      <c r="M45" s="681" t="s">
        <v>796</v>
      </c>
      <c r="N45" s="681" t="s">
        <v>796</v>
      </c>
      <c r="O45" s="681" t="s">
        <v>796</v>
      </c>
      <c r="P45" s="681" t="s">
        <v>796</v>
      </c>
      <c r="Q45" s="681">
        <v>5050</v>
      </c>
      <c r="R45" s="682" t="s">
        <v>517</v>
      </c>
    </row>
    <row r="46" spans="1:18" s="44" customFormat="1" ht="9.75" customHeight="1" x14ac:dyDescent="0.15">
      <c r="A46" s="448" t="s">
        <v>557</v>
      </c>
      <c r="B46" s="44" t="s">
        <v>796</v>
      </c>
      <c r="C46" s="44">
        <v>123388</v>
      </c>
      <c r="D46" s="44">
        <v>37026</v>
      </c>
      <c r="E46" s="44">
        <v>37026</v>
      </c>
      <c r="F46" s="44">
        <v>35007</v>
      </c>
      <c r="G46" s="44">
        <v>35007</v>
      </c>
      <c r="H46" s="44">
        <v>51355</v>
      </c>
      <c r="I46" s="44">
        <v>51355</v>
      </c>
      <c r="J46" s="44" t="s">
        <v>796</v>
      </c>
      <c r="K46" s="44">
        <v>51355</v>
      </c>
      <c r="L46" s="44">
        <v>129781</v>
      </c>
      <c r="M46" s="44" t="s">
        <v>796</v>
      </c>
      <c r="N46" s="44" t="s">
        <v>796</v>
      </c>
      <c r="O46" s="44">
        <v>8947</v>
      </c>
      <c r="P46" s="44">
        <v>8947</v>
      </c>
      <c r="Q46" s="44">
        <v>5334</v>
      </c>
      <c r="R46" s="46" t="s">
        <v>558</v>
      </c>
    </row>
    <row r="47" spans="1:18" s="44" customFormat="1" ht="9.75" customHeight="1" x14ac:dyDescent="0.15">
      <c r="A47" s="448" t="s">
        <v>682</v>
      </c>
      <c r="B47" s="44">
        <v>22564</v>
      </c>
      <c r="C47" s="44">
        <v>48240</v>
      </c>
      <c r="D47" s="44" t="s">
        <v>796</v>
      </c>
      <c r="E47" s="44" t="s">
        <v>796</v>
      </c>
      <c r="F47" s="44" t="s">
        <v>796</v>
      </c>
      <c r="G47" s="44" t="s">
        <v>796</v>
      </c>
      <c r="H47" s="44">
        <v>48240</v>
      </c>
      <c r="I47" s="44">
        <v>48240</v>
      </c>
      <c r="J47" s="44">
        <v>48240</v>
      </c>
      <c r="K47" s="44" t="s">
        <v>796</v>
      </c>
      <c r="L47" s="44">
        <v>101788</v>
      </c>
      <c r="M47" s="44" t="s">
        <v>796</v>
      </c>
      <c r="N47" s="44" t="s">
        <v>796</v>
      </c>
      <c r="O47" s="44" t="s">
        <v>796</v>
      </c>
      <c r="P47" s="44" t="s">
        <v>796</v>
      </c>
      <c r="Q47" s="44">
        <v>400</v>
      </c>
      <c r="R47" s="46" t="s">
        <v>683</v>
      </c>
    </row>
    <row r="48" spans="1:18" s="44" customFormat="1" ht="9.75" customHeight="1" x14ac:dyDescent="0.15">
      <c r="A48" s="448" t="s">
        <v>784</v>
      </c>
      <c r="B48" s="44">
        <v>33036</v>
      </c>
      <c r="C48" s="44" t="s">
        <v>796</v>
      </c>
      <c r="D48" s="44" t="s">
        <v>796</v>
      </c>
      <c r="E48" s="44" t="s">
        <v>796</v>
      </c>
      <c r="F48" s="44" t="s">
        <v>796</v>
      </c>
      <c r="G48" s="44" t="s">
        <v>796</v>
      </c>
      <c r="H48" s="44" t="s">
        <v>796</v>
      </c>
      <c r="I48" s="44" t="s">
        <v>796</v>
      </c>
      <c r="J48" s="44" t="s">
        <v>796</v>
      </c>
      <c r="K48" s="44" t="s">
        <v>796</v>
      </c>
      <c r="L48" s="44">
        <v>105337</v>
      </c>
      <c r="M48" s="44" t="s">
        <v>796</v>
      </c>
      <c r="N48" s="44" t="s">
        <v>796</v>
      </c>
      <c r="O48" s="44" t="s">
        <v>796</v>
      </c>
      <c r="P48" s="44" t="s">
        <v>796</v>
      </c>
      <c r="Q48" s="44" t="s">
        <v>796</v>
      </c>
      <c r="R48" s="46" t="s">
        <v>785</v>
      </c>
    </row>
    <row r="49" spans="1:18" s="44" customFormat="1" ht="9.75" customHeight="1" x14ac:dyDescent="0.15">
      <c r="A49" s="448" t="s">
        <v>832</v>
      </c>
      <c r="B49" s="44" t="s">
        <v>796</v>
      </c>
      <c r="C49" s="44">
        <v>48521</v>
      </c>
      <c r="D49" s="44" t="s">
        <v>796</v>
      </c>
      <c r="E49" s="44" t="s">
        <v>796</v>
      </c>
      <c r="F49" s="44" t="s">
        <v>796</v>
      </c>
      <c r="G49" s="44" t="s">
        <v>796</v>
      </c>
      <c r="H49" s="44">
        <v>48521</v>
      </c>
      <c r="I49" s="44">
        <v>48521</v>
      </c>
      <c r="J49" s="44">
        <v>48521</v>
      </c>
      <c r="K49" s="44" t="s">
        <v>796</v>
      </c>
      <c r="L49" s="44">
        <v>23760</v>
      </c>
      <c r="M49" s="44">
        <v>23760</v>
      </c>
      <c r="N49" s="44">
        <v>23760</v>
      </c>
      <c r="O49" s="44" t="s">
        <v>796</v>
      </c>
      <c r="P49" s="44" t="s">
        <v>796</v>
      </c>
      <c r="Q49" s="44" t="s">
        <v>796</v>
      </c>
      <c r="R49" s="46" t="s">
        <v>833</v>
      </c>
    </row>
    <row r="50" spans="1:18" s="44" customFormat="1" ht="9.75" customHeight="1" x14ac:dyDescent="0.15">
      <c r="A50" s="464"/>
      <c r="R50" s="46"/>
    </row>
    <row r="51" spans="1:18" s="44" customFormat="1" ht="9.75" customHeight="1" x14ac:dyDescent="0.15">
      <c r="A51" s="448" t="s">
        <v>834</v>
      </c>
      <c r="B51" s="44" t="s">
        <v>796</v>
      </c>
      <c r="C51" s="44" t="s">
        <v>796</v>
      </c>
      <c r="D51" s="44" t="s">
        <v>796</v>
      </c>
      <c r="E51" s="44" t="s">
        <v>796</v>
      </c>
      <c r="F51" s="44" t="s">
        <v>796</v>
      </c>
      <c r="G51" s="44" t="s">
        <v>796</v>
      </c>
      <c r="H51" s="44" t="s">
        <v>796</v>
      </c>
      <c r="I51" s="44" t="s">
        <v>796</v>
      </c>
      <c r="J51" s="44" t="s">
        <v>796</v>
      </c>
      <c r="K51" s="44" t="s">
        <v>796</v>
      </c>
      <c r="L51" s="44">
        <v>83259</v>
      </c>
      <c r="M51" s="44">
        <v>7512</v>
      </c>
      <c r="N51" s="44">
        <v>7512</v>
      </c>
      <c r="O51" s="44" t="s">
        <v>796</v>
      </c>
      <c r="P51" s="44" t="s">
        <v>796</v>
      </c>
      <c r="Q51" s="44" t="s">
        <v>796</v>
      </c>
      <c r="R51" s="46" t="s">
        <v>786</v>
      </c>
    </row>
    <row r="52" spans="1:18" s="44" customFormat="1" ht="9.75" customHeight="1" x14ac:dyDescent="0.15">
      <c r="A52" s="448" t="s">
        <v>835</v>
      </c>
      <c r="B52" s="44" t="s">
        <v>796</v>
      </c>
      <c r="C52" s="44">
        <v>48521</v>
      </c>
      <c r="D52" s="44" t="s">
        <v>796</v>
      </c>
      <c r="E52" s="44" t="s">
        <v>796</v>
      </c>
      <c r="F52" s="44" t="s">
        <v>796</v>
      </c>
      <c r="G52" s="44" t="s">
        <v>796</v>
      </c>
      <c r="H52" s="44">
        <v>48521</v>
      </c>
      <c r="I52" s="44">
        <v>48521</v>
      </c>
      <c r="J52" s="44">
        <v>48521</v>
      </c>
      <c r="K52" s="44" t="s">
        <v>796</v>
      </c>
      <c r="L52" s="44">
        <v>21989</v>
      </c>
      <c r="M52" s="44">
        <v>21989</v>
      </c>
      <c r="N52" s="44">
        <v>21989</v>
      </c>
      <c r="O52" s="44" t="s">
        <v>796</v>
      </c>
      <c r="P52" s="44" t="s">
        <v>796</v>
      </c>
      <c r="Q52" s="44" t="s">
        <v>796</v>
      </c>
      <c r="R52" s="46" t="s">
        <v>836</v>
      </c>
    </row>
    <row r="53" spans="1:18" s="44" customFormat="1" ht="9.75" customHeight="1" x14ac:dyDescent="0.15">
      <c r="A53" s="464"/>
      <c r="R53" s="46"/>
    </row>
    <row r="54" spans="1:18" s="44" customFormat="1" ht="9.75" customHeight="1" x14ac:dyDescent="0.15">
      <c r="A54" s="448" t="s">
        <v>837</v>
      </c>
      <c r="B54" s="44" t="s">
        <v>796</v>
      </c>
      <c r="C54" s="44" t="s">
        <v>796</v>
      </c>
      <c r="D54" s="44" t="s">
        <v>796</v>
      </c>
      <c r="E54" s="44" t="s">
        <v>796</v>
      </c>
      <c r="F54" s="44" t="s">
        <v>796</v>
      </c>
      <c r="G54" s="44" t="s">
        <v>796</v>
      </c>
      <c r="H54" s="44" t="s">
        <v>796</v>
      </c>
      <c r="I54" s="44" t="s">
        <v>796</v>
      </c>
      <c r="J54" s="44" t="s">
        <v>796</v>
      </c>
      <c r="K54" s="44" t="s">
        <v>796</v>
      </c>
      <c r="L54" s="44">
        <v>7512</v>
      </c>
      <c r="M54" s="44">
        <v>7512</v>
      </c>
      <c r="N54" s="44">
        <v>7512</v>
      </c>
      <c r="O54" s="44" t="s">
        <v>796</v>
      </c>
      <c r="P54" s="44" t="s">
        <v>796</v>
      </c>
      <c r="Q54" s="44" t="s">
        <v>796</v>
      </c>
      <c r="R54" s="46" t="s">
        <v>787</v>
      </c>
    </row>
    <row r="55" spans="1:18" s="44" customFormat="1" ht="9.75" customHeight="1" x14ac:dyDescent="0.15">
      <c r="A55" s="448" t="s">
        <v>559</v>
      </c>
      <c r="B55" s="44" t="s">
        <v>796</v>
      </c>
      <c r="C55" s="44" t="s">
        <v>796</v>
      </c>
      <c r="D55" s="44" t="s">
        <v>796</v>
      </c>
      <c r="E55" s="44" t="s">
        <v>796</v>
      </c>
      <c r="F55" s="44" t="s">
        <v>796</v>
      </c>
      <c r="G55" s="44" t="s">
        <v>796</v>
      </c>
      <c r="H55" s="44" t="s">
        <v>796</v>
      </c>
      <c r="I55" s="44" t="s">
        <v>796</v>
      </c>
      <c r="J55" s="44" t="s">
        <v>796</v>
      </c>
      <c r="K55" s="44" t="s">
        <v>796</v>
      </c>
      <c r="L55" s="44">
        <v>4428</v>
      </c>
      <c r="M55" s="44">
        <v>4428</v>
      </c>
      <c r="N55" s="44">
        <v>4428</v>
      </c>
      <c r="O55" s="44" t="s">
        <v>796</v>
      </c>
      <c r="P55" s="44" t="s">
        <v>796</v>
      </c>
      <c r="Q55" s="44" t="s">
        <v>796</v>
      </c>
      <c r="R55" s="46" t="s">
        <v>78</v>
      </c>
    </row>
    <row r="56" spans="1:18" s="44" customFormat="1" ht="9.75" customHeight="1" x14ac:dyDescent="0.15">
      <c r="A56" s="448" t="s">
        <v>560</v>
      </c>
      <c r="B56" s="44" t="s">
        <v>796</v>
      </c>
      <c r="C56" s="44" t="s">
        <v>796</v>
      </c>
      <c r="D56" s="44" t="s">
        <v>796</v>
      </c>
      <c r="E56" s="44" t="s">
        <v>796</v>
      </c>
      <c r="F56" s="44" t="s">
        <v>796</v>
      </c>
      <c r="G56" s="44" t="s">
        <v>796</v>
      </c>
      <c r="H56" s="44" t="s">
        <v>796</v>
      </c>
      <c r="I56" s="44" t="s">
        <v>796</v>
      </c>
      <c r="J56" s="44" t="s">
        <v>796</v>
      </c>
      <c r="K56" s="44" t="s">
        <v>796</v>
      </c>
      <c r="L56" s="44">
        <v>6906</v>
      </c>
      <c r="M56" s="44">
        <v>6906</v>
      </c>
      <c r="N56" s="44">
        <v>6906</v>
      </c>
      <c r="O56" s="44" t="s">
        <v>796</v>
      </c>
      <c r="P56" s="44" t="s">
        <v>796</v>
      </c>
      <c r="Q56" s="44" t="s">
        <v>796</v>
      </c>
      <c r="R56" s="46" t="s">
        <v>79</v>
      </c>
    </row>
    <row r="57" spans="1:18" s="44" customFormat="1" ht="9.75" customHeight="1" x14ac:dyDescent="0.15">
      <c r="A57" s="448" t="s">
        <v>561</v>
      </c>
      <c r="B57" s="44" t="s">
        <v>796</v>
      </c>
      <c r="C57" s="44">
        <v>48521</v>
      </c>
      <c r="D57" s="44" t="s">
        <v>796</v>
      </c>
      <c r="E57" s="44" t="s">
        <v>796</v>
      </c>
      <c r="F57" s="44" t="s">
        <v>796</v>
      </c>
      <c r="G57" s="44" t="s">
        <v>796</v>
      </c>
      <c r="H57" s="44">
        <v>48521</v>
      </c>
      <c r="I57" s="44">
        <v>48521</v>
      </c>
      <c r="J57" s="44">
        <v>48521</v>
      </c>
      <c r="K57" s="44" t="s">
        <v>796</v>
      </c>
      <c r="L57" s="44">
        <v>4914</v>
      </c>
      <c r="M57" s="44">
        <v>4914</v>
      </c>
      <c r="N57" s="44">
        <v>4914</v>
      </c>
      <c r="O57" s="44" t="s">
        <v>796</v>
      </c>
      <c r="P57" s="44" t="s">
        <v>796</v>
      </c>
      <c r="Q57" s="44" t="s">
        <v>796</v>
      </c>
      <c r="R57" s="46" t="s">
        <v>80</v>
      </c>
    </row>
    <row r="58" spans="1:18" s="44" customFormat="1" ht="9.75" customHeight="1" x14ac:dyDescent="0.15">
      <c r="A58" s="448" t="s">
        <v>838</v>
      </c>
      <c r="B58" s="44" t="s">
        <v>796</v>
      </c>
      <c r="C58" s="44" t="s">
        <v>796</v>
      </c>
      <c r="D58" s="44" t="s">
        <v>796</v>
      </c>
      <c r="E58" s="44" t="s">
        <v>796</v>
      </c>
      <c r="F58" s="44" t="s">
        <v>796</v>
      </c>
      <c r="G58" s="44" t="s">
        <v>796</v>
      </c>
      <c r="H58" s="44" t="s">
        <v>796</v>
      </c>
      <c r="I58" s="44" t="s">
        <v>796</v>
      </c>
      <c r="J58" s="44" t="s">
        <v>796</v>
      </c>
      <c r="K58" s="44" t="s">
        <v>796</v>
      </c>
      <c r="L58" s="44">
        <v>5741</v>
      </c>
      <c r="M58" s="44">
        <v>5741</v>
      </c>
      <c r="N58" s="44">
        <v>5741</v>
      </c>
      <c r="O58" s="44" t="s">
        <v>796</v>
      </c>
      <c r="P58" s="44" t="s">
        <v>796</v>
      </c>
      <c r="Q58" s="44" t="s">
        <v>796</v>
      </c>
      <c r="R58" s="46" t="s">
        <v>839</v>
      </c>
    </row>
    <row r="59" spans="1:18" s="44" customFormat="1" ht="9.75" customHeight="1" x14ac:dyDescent="0.15">
      <c r="A59" s="464"/>
      <c r="R59" s="46"/>
    </row>
    <row r="60" spans="1:18" s="44" customFormat="1" ht="9.75" customHeight="1" x14ac:dyDescent="0.15">
      <c r="A60" s="448" t="s">
        <v>840</v>
      </c>
      <c r="B60" s="44" t="s">
        <v>796</v>
      </c>
      <c r="C60" s="44" t="s">
        <v>796</v>
      </c>
      <c r="D60" s="44" t="s">
        <v>796</v>
      </c>
      <c r="E60" s="44" t="s">
        <v>796</v>
      </c>
      <c r="F60" s="44" t="s">
        <v>796</v>
      </c>
      <c r="G60" s="44" t="s">
        <v>796</v>
      </c>
      <c r="H60" s="44" t="s">
        <v>796</v>
      </c>
      <c r="I60" s="44" t="s">
        <v>796</v>
      </c>
      <c r="J60" s="44" t="s">
        <v>796</v>
      </c>
      <c r="K60" s="44" t="s">
        <v>796</v>
      </c>
      <c r="L60" s="44" t="s">
        <v>796</v>
      </c>
      <c r="M60" s="44" t="s">
        <v>796</v>
      </c>
      <c r="N60" s="44" t="s">
        <v>796</v>
      </c>
      <c r="O60" s="44" t="s">
        <v>796</v>
      </c>
      <c r="P60" s="44" t="s">
        <v>796</v>
      </c>
      <c r="Q60" s="44" t="s">
        <v>796</v>
      </c>
      <c r="R60" s="46" t="s">
        <v>788</v>
      </c>
    </row>
    <row r="61" spans="1:18" s="44" customFormat="1" ht="9.75" customHeight="1" x14ac:dyDescent="0.15">
      <c r="A61" s="448" t="s">
        <v>562</v>
      </c>
      <c r="B61" s="44" t="s">
        <v>796</v>
      </c>
      <c r="C61" s="44" t="s">
        <v>796</v>
      </c>
      <c r="D61" s="44" t="s">
        <v>796</v>
      </c>
      <c r="E61" s="44" t="s">
        <v>796</v>
      </c>
      <c r="F61" s="44" t="s">
        <v>796</v>
      </c>
      <c r="G61" s="44" t="s">
        <v>796</v>
      </c>
      <c r="H61" s="44" t="s">
        <v>796</v>
      </c>
      <c r="I61" s="44" t="s">
        <v>796</v>
      </c>
      <c r="J61" s="44" t="s">
        <v>796</v>
      </c>
      <c r="K61" s="44" t="s">
        <v>796</v>
      </c>
      <c r="L61" s="44">
        <v>4548</v>
      </c>
      <c r="M61" s="44">
        <v>4548</v>
      </c>
      <c r="N61" s="44">
        <v>4548</v>
      </c>
      <c r="O61" s="44" t="s">
        <v>796</v>
      </c>
      <c r="P61" s="44" t="s">
        <v>796</v>
      </c>
      <c r="Q61" s="44" t="s">
        <v>796</v>
      </c>
      <c r="R61" s="46" t="s">
        <v>66</v>
      </c>
    </row>
    <row r="62" spans="1:18" s="44" customFormat="1" ht="9.75" customHeight="1" x14ac:dyDescent="0.15">
      <c r="A62" s="448" t="s">
        <v>563</v>
      </c>
      <c r="B62" s="44" t="s">
        <v>796</v>
      </c>
      <c r="C62" s="44" t="s">
        <v>796</v>
      </c>
      <c r="D62" s="44" t="s">
        <v>796</v>
      </c>
      <c r="E62" s="44" t="s">
        <v>796</v>
      </c>
      <c r="F62" s="44" t="s">
        <v>796</v>
      </c>
      <c r="G62" s="44" t="s">
        <v>796</v>
      </c>
      <c r="H62" s="44" t="s">
        <v>796</v>
      </c>
      <c r="I62" s="44" t="s">
        <v>796</v>
      </c>
      <c r="J62" s="44" t="s">
        <v>796</v>
      </c>
      <c r="K62" s="44" t="s">
        <v>796</v>
      </c>
      <c r="L62" s="44">
        <v>2964</v>
      </c>
      <c r="M62" s="44">
        <v>2964</v>
      </c>
      <c r="N62" s="44">
        <v>2964</v>
      </c>
      <c r="O62" s="44" t="s">
        <v>796</v>
      </c>
      <c r="P62" s="44" t="s">
        <v>796</v>
      </c>
      <c r="Q62" s="44" t="s">
        <v>796</v>
      </c>
      <c r="R62" s="46" t="s">
        <v>67</v>
      </c>
    </row>
    <row r="63" spans="1:18" s="44" customFormat="1" ht="9.75" customHeight="1" x14ac:dyDescent="0.15">
      <c r="A63" s="448" t="s">
        <v>564</v>
      </c>
      <c r="B63" s="44" t="s">
        <v>796</v>
      </c>
      <c r="C63" s="44" t="s">
        <v>796</v>
      </c>
      <c r="D63" s="44" t="s">
        <v>796</v>
      </c>
      <c r="E63" s="44" t="s">
        <v>796</v>
      </c>
      <c r="F63" s="44" t="s">
        <v>796</v>
      </c>
      <c r="G63" s="44" t="s">
        <v>796</v>
      </c>
      <c r="H63" s="44" t="s">
        <v>796</v>
      </c>
      <c r="I63" s="44" t="s">
        <v>796</v>
      </c>
      <c r="J63" s="44" t="s">
        <v>796</v>
      </c>
      <c r="K63" s="44" t="s">
        <v>796</v>
      </c>
      <c r="L63" s="44">
        <v>3646</v>
      </c>
      <c r="M63" s="44">
        <v>3646</v>
      </c>
      <c r="N63" s="44">
        <v>3646</v>
      </c>
      <c r="O63" s="44" t="s">
        <v>796</v>
      </c>
      <c r="P63" s="44" t="s">
        <v>796</v>
      </c>
      <c r="Q63" s="44" t="s">
        <v>796</v>
      </c>
      <c r="R63" s="46" t="s">
        <v>68</v>
      </c>
    </row>
    <row r="64" spans="1:18" s="44" customFormat="1" ht="9.75" customHeight="1" x14ac:dyDescent="0.15">
      <c r="A64" s="448" t="s">
        <v>565</v>
      </c>
      <c r="B64" s="44" t="s">
        <v>796</v>
      </c>
      <c r="C64" s="44" t="s">
        <v>796</v>
      </c>
      <c r="D64" s="44" t="s">
        <v>796</v>
      </c>
      <c r="E64" s="44" t="s">
        <v>796</v>
      </c>
      <c r="F64" s="44" t="s">
        <v>796</v>
      </c>
      <c r="G64" s="44" t="s">
        <v>796</v>
      </c>
      <c r="H64" s="44" t="s">
        <v>796</v>
      </c>
      <c r="I64" s="44" t="s">
        <v>796</v>
      </c>
      <c r="J64" s="44" t="s">
        <v>796</v>
      </c>
      <c r="K64" s="44" t="s">
        <v>796</v>
      </c>
      <c r="L64" s="44">
        <v>782</v>
      </c>
      <c r="M64" s="44">
        <v>782</v>
      </c>
      <c r="N64" s="44">
        <v>782</v>
      </c>
      <c r="O64" s="44" t="s">
        <v>796</v>
      </c>
      <c r="P64" s="44" t="s">
        <v>796</v>
      </c>
      <c r="Q64" s="44" t="s">
        <v>796</v>
      </c>
      <c r="R64" s="47" t="s">
        <v>81</v>
      </c>
    </row>
    <row r="65" spans="1:18" s="44" customFormat="1" ht="9.75" customHeight="1" x14ac:dyDescent="0.15">
      <c r="A65" s="448" t="s">
        <v>566</v>
      </c>
      <c r="B65" s="44" t="s">
        <v>796</v>
      </c>
      <c r="C65" s="44" t="s">
        <v>796</v>
      </c>
      <c r="D65" s="44" t="s">
        <v>796</v>
      </c>
      <c r="E65" s="44" t="s">
        <v>796</v>
      </c>
      <c r="F65" s="44" t="s">
        <v>796</v>
      </c>
      <c r="G65" s="44" t="s">
        <v>796</v>
      </c>
      <c r="H65" s="44" t="s">
        <v>796</v>
      </c>
      <c r="I65" s="44" t="s">
        <v>796</v>
      </c>
      <c r="J65" s="44" t="s">
        <v>796</v>
      </c>
      <c r="K65" s="44" t="s">
        <v>796</v>
      </c>
      <c r="L65" s="44" t="s">
        <v>796</v>
      </c>
      <c r="M65" s="44" t="s">
        <v>796</v>
      </c>
      <c r="N65" s="44" t="s">
        <v>796</v>
      </c>
      <c r="O65" s="44" t="s">
        <v>796</v>
      </c>
      <c r="P65" s="44" t="s">
        <v>796</v>
      </c>
      <c r="Q65" s="44" t="s">
        <v>796</v>
      </c>
      <c r="R65" s="46" t="s">
        <v>82</v>
      </c>
    </row>
    <row r="66" spans="1:18" s="44" customFormat="1" ht="9.75" customHeight="1" x14ac:dyDescent="0.15">
      <c r="A66" s="448" t="s">
        <v>567</v>
      </c>
      <c r="B66" s="44" t="s">
        <v>796</v>
      </c>
      <c r="C66" s="44" t="s">
        <v>796</v>
      </c>
      <c r="D66" s="44" t="s">
        <v>796</v>
      </c>
      <c r="E66" s="44" t="s">
        <v>796</v>
      </c>
      <c r="F66" s="44" t="s">
        <v>796</v>
      </c>
      <c r="G66" s="44" t="s">
        <v>796</v>
      </c>
      <c r="H66" s="44" t="s">
        <v>796</v>
      </c>
      <c r="I66" s="44" t="s">
        <v>796</v>
      </c>
      <c r="J66" s="44" t="s">
        <v>796</v>
      </c>
      <c r="K66" s="44" t="s">
        <v>796</v>
      </c>
      <c r="L66" s="44">
        <v>3744</v>
      </c>
      <c r="M66" s="44">
        <v>3744</v>
      </c>
      <c r="N66" s="44">
        <v>3744</v>
      </c>
      <c r="O66" s="44" t="s">
        <v>796</v>
      </c>
      <c r="P66" s="44" t="s">
        <v>796</v>
      </c>
      <c r="Q66" s="44" t="s">
        <v>796</v>
      </c>
      <c r="R66" s="46" t="s">
        <v>83</v>
      </c>
    </row>
    <row r="67" spans="1:18" s="44" customFormat="1" ht="9.75" customHeight="1" x14ac:dyDescent="0.15">
      <c r="A67" s="448" t="s">
        <v>568</v>
      </c>
      <c r="B67" s="44" t="s">
        <v>796</v>
      </c>
      <c r="C67" s="44" t="s">
        <v>796</v>
      </c>
      <c r="D67" s="44" t="s">
        <v>796</v>
      </c>
      <c r="E67" s="44" t="s">
        <v>796</v>
      </c>
      <c r="F67" s="44" t="s">
        <v>796</v>
      </c>
      <c r="G67" s="44" t="s">
        <v>796</v>
      </c>
      <c r="H67" s="44" t="s">
        <v>796</v>
      </c>
      <c r="I67" s="44" t="s">
        <v>796</v>
      </c>
      <c r="J67" s="44" t="s">
        <v>796</v>
      </c>
      <c r="K67" s="44" t="s">
        <v>796</v>
      </c>
      <c r="L67" s="44">
        <v>1748</v>
      </c>
      <c r="M67" s="44">
        <v>1748</v>
      </c>
      <c r="N67" s="44">
        <v>1748</v>
      </c>
      <c r="O67" s="44" t="s">
        <v>796</v>
      </c>
      <c r="P67" s="44" t="s">
        <v>796</v>
      </c>
      <c r="Q67" s="44" t="s">
        <v>796</v>
      </c>
      <c r="R67" s="46" t="s">
        <v>84</v>
      </c>
    </row>
    <row r="68" spans="1:18" s="44" customFormat="1" ht="9.75" customHeight="1" x14ac:dyDescent="0.15">
      <c r="A68" s="448" t="s">
        <v>569</v>
      </c>
      <c r="B68" s="44" t="s">
        <v>796</v>
      </c>
      <c r="C68" s="44" t="s">
        <v>796</v>
      </c>
      <c r="D68" s="44" t="s">
        <v>796</v>
      </c>
      <c r="E68" s="44" t="s">
        <v>796</v>
      </c>
      <c r="F68" s="44" t="s">
        <v>796</v>
      </c>
      <c r="G68" s="44" t="s">
        <v>796</v>
      </c>
      <c r="H68" s="44" t="s">
        <v>796</v>
      </c>
      <c r="I68" s="44" t="s">
        <v>796</v>
      </c>
      <c r="J68" s="44" t="s">
        <v>796</v>
      </c>
      <c r="K68" s="44" t="s">
        <v>796</v>
      </c>
      <c r="L68" s="44">
        <v>1414</v>
      </c>
      <c r="M68" s="44">
        <v>1414</v>
      </c>
      <c r="N68" s="44">
        <v>1414</v>
      </c>
      <c r="O68" s="44" t="s">
        <v>796</v>
      </c>
      <c r="P68" s="44" t="s">
        <v>796</v>
      </c>
      <c r="Q68" s="44" t="s">
        <v>796</v>
      </c>
      <c r="R68" s="46" t="s">
        <v>85</v>
      </c>
    </row>
    <row r="69" spans="1:18" s="44" customFormat="1" ht="9.75" customHeight="1" x14ac:dyDescent="0.15">
      <c r="A69" s="448" t="s">
        <v>570</v>
      </c>
      <c r="B69" s="44" t="s">
        <v>796</v>
      </c>
      <c r="C69" s="44" t="s">
        <v>796</v>
      </c>
      <c r="D69" s="44" t="s">
        <v>796</v>
      </c>
      <c r="E69" s="44" t="s">
        <v>796</v>
      </c>
      <c r="F69" s="44" t="s">
        <v>796</v>
      </c>
      <c r="G69" s="44" t="s">
        <v>796</v>
      </c>
      <c r="H69" s="44" t="s">
        <v>796</v>
      </c>
      <c r="I69" s="44" t="s">
        <v>796</v>
      </c>
      <c r="J69" s="44" t="s">
        <v>796</v>
      </c>
      <c r="K69" s="44" t="s">
        <v>796</v>
      </c>
      <c r="L69" s="44">
        <v>974</v>
      </c>
      <c r="M69" s="44">
        <v>974</v>
      </c>
      <c r="N69" s="44">
        <v>974</v>
      </c>
      <c r="O69" s="44" t="s">
        <v>796</v>
      </c>
      <c r="P69" s="44" t="s">
        <v>796</v>
      </c>
      <c r="Q69" s="44" t="s">
        <v>796</v>
      </c>
      <c r="R69" s="46" t="s">
        <v>69</v>
      </c>
    </row>
    <row r="70" spans="1:18" s="44" customFormat="1" ht="9.75" customHeight="1" x14ac:dyDescent="0.15">
      <c r="A70" s="448" t="s">
        <v>571</v>
      </c>
      <c r="B70" s="44" t="s">
        <v>796</v>
      </c>
      <c r="C70" s="44" t="s">
        <v>796</v>
      </c>
      <c r="D70" s="44" t="s">
        <v>796</v>
      </c>
      <c r="E70" s="44" t="s">
        <v>796</v>
      </c>
      <c r="F70" s="44" t="s">
        <v>796</v>
      </c>
      <c r="G70" s="44" t="s">
        <v>796</v>
      </c>
      <c r="H70" s="44" t="s">
        <v>796</v>
      </c>
      <c r="I70" s="44" t="s">
        <v>796</v>
      </c>
      <c r="J70" s="44" t="s">
        <v>796</v>
      </c>
      <c r="K70" s="44" t="s">
        <v>796</v>
      </c>
      <c r="L70" s="44">
        <v>2955</v>
      </c>
      <c r="M70" s="44">
        <v>2955</v>
      </c>
      <c r="N70" s="44">
        <v>2955</v>
      </c>
      <c r="O70" s="44" t="s">
        <v>796</v>
      </c>
      <c r="P70" s="44" t="s">
        <v>796</v>
      </c>
      <c r="Q70" s="44" t="s">
        <v>796</v>
      </c>
      <c r="R70" s="46" t="s">
        <v>70</v>
      </c>
    </row>
    <row r="71" spans="1:18" s="44" customFormat="1" ht="9.75" customHeight="1" x14ac:dyDescent="0.15">
      <c r="A71" s="448" t="s">
        <v>572</v>
      </c>
      <c r="B71" s="44" t="s">
        <v>796</v>
      </c>
      <c r="C71" s="44">
        <v>48521</v>
      </c>
      <c r="D71" s="44" t="s">
        <v>796</v>
      </c>
      <c r="E71" s="44" t="s">
        <v>796</v>
      </c>
      <c r="F71" s="44" t="s">
        <v>796</v>
      </c>
      <c r="G71" s="44" t="s">
        <v>796</v>
      </c>
      <c r="H71" s="44">
        <v>48521</v>
      </c>
      <c r="I71" s="44">
        <v>48521</v>
      </c>
      <c r="J71" s="44">
        <v>48521</v>
      </c>
      <c r="K71" s="44" t="s">
        <v>796</v>
      </c>
      <c r="L71" s="44">
        <v>985</v>
      </c>
      <c r="M71" s="44">
        <v>985</v>
      </c>
      <c r="N71" s="44">
        <v>985</v>
      </c>
      <c r="O71" s="44" t="s">
        <v>796</v>
      </c>
      <c r="P71" s="44" t="s">
        <v>796</v>
      </c>
      <c r="Q71" s="44" t="s">
        <v>796</v>
      </c>
      <c r="R71" s="46" t="s">
        <v>71</v>
      </c>
    </row>
    <row r="72" spans="1:18" s="44" customFormat="1" ht="9.75" customHeight="1" x14ac:dyDescent="0.15">
      <c r="A72" s="448" t="s">
        <v>841</v>
      </c>
      <c r="B72" s="44" t="s">
        <v>796</v>
      </c>
      <c r="C72" s="44" t="s">
        <v>796</v>
      </c>
      <c r="D72" s="44" t="s">
        <v>796</v>
      </c>
      <c r="E72" s="44" t="s">
        <v>796</v>
      </c>
      <c r="F72" s="44" t="s">
        <v>796</v>
      </c>
      <c r="G72" s="44" t="s">
        <v>796</v>
      </c>
      <c r="H72" s="44" t="s">
        <v>796</v>
      </c>
      <c r="I72" s="44" t="s">
        <v>796</v>
      </c>
      <c r="J72" s="44" t="s">
        <v>796</v>
      </c>
      <c r="K72" s="44" t="s">
        <v>796</v>
      </c>
      <c r="L72" s="44">
        <v>2217</v>
      </c>
      <c r="M72" s="44">
        <v>2217</v>
      </c>
      <c r="N72" s="44">
        <v>2217</v>
      </c>
      <c r="O72" s="44" t="s">
        <v>796</v>
      </c>
      <c r="P72" s="44" t="s">
        <v>796</v>
      </c>
      <c r="Q72" s="44" t="s">
        <v>796</v>
      </c>
      <c r="R72" s="46" t="s">
        <v>842</v>
      </c>
    </row>
    <row r="73" spans="1:18" s="44" customFormat="1" ht="9.75" customHeight="1" x14ac:dyDescent="0.15">
      <c r="A73" s="448" t="s">
        <v>573</v>
      </c>
      <c r="B73" s="44" t="s">
        <v>796</v>
      </c>
      <c r="C73" s="44" t="s">
        <v>796</v>
      </c>
      <c r="D73" s="44" t="s">
        <v>796</v>
      </c>
      <c r="E73" s="44" t="s">
        <v>796</v>
      </c>
      <c r="F73" s="44" t="s">
        <v>796</v>
      </c>
      <c r="G73" s="44" t="s">
        <v>796</v>
      </c>
      <c r="H73" s="44" t="s">
        <v>796</v>
      </c>
      <c r="I73" s="44" t="s">
        <v>796</v>
      </c>
      <c r="J73" s="44" t="s">
        <v>796</v>
      </c>
      <c r="K73" s="44" t="s">
        <v>796</v>
      </c>
      <c r="L73" s="44">
        <v>1846</v>
      </c>
      <c r="M73" s="44">
        <v>1846</v>
      </c>
      <c r="N73" s="44">
        <v>1846</v>
      </c>
      <c r="O73" s="44" t="s">
        <v>796</v>
      </c>
      <c r="P73" s="44" t="s">
        <v>796</v>
      </c>
      <c r="Q73" s="44" t="s">
        <v>796</v>
      </c>
      <c r="R73" s="46" t="s">
        <v>66</v>
      </c>
    </row>
    <row r="74" spans="1:18" s="44" customFormat="1" ht="9.75" customHeight="1" x14ac:dyDescent="0.15">
      <c r="A74" s="519" t="s">
        <v>574</v>
      </c>
      <c r="B74" s="544" t="s">
        <v>796</v>
      </c>
      <c r="C74" s="545" t="s">
        <v>796</v>
      </c>
      <c r="D74" s="545" t="s">
        <v>796</v>
      </c>
      <c r="E74" s="545" t="s">
        <v>796</v>
      </c>
      <c r="F74" s="545" t="s">
        <v>796</v>
      </c>
      <c r="G74" s="545" t="s">
        <v>796</v>
      </c>
      <c r="H74" s="545" t="s">
        <v>796</v>
      </c>
      <c r="I74" s="545" t="s">
        <v>796</v>
      </c>
      <c r="J74" s="545" t="s">
        <v>796</v>
      </c>
      <c r="K74" s="545" t="s">
        <v>796</v>
      </c>
      <c r="L74" s="545">
        <v>1678</v>
      </c>
      <c r="M74" s="545">
        <v>1678</v>
      </c>
      <c r="N74" s="545">
        <v>1678</v>
      </c>
      <c r="O74" s="545" t="s">
        <v>796</v>
      </c>
      <c r="P74" s="545" t="s">
        <v>796</v>
      </c>
      <c r="Q74" s="545" t="s">
        <v>796</v>
      </c>
      <c r="R74" s="546" t="s">
        <v>67</v>
      </c>
    </row>
    <row r="75" spans="1:18" ht="21.75" customHeight="1" x14ac:dyDescent="0.15">
      <c r="H75" s="22" t="s">
        <v>843</v>
      </c>
    </row>
    <row r="76" spans="1:18" s="514" customFormat="1" ht="12" customHeight="1" x14ac:dyDescent="0.15">
      <c r="A76" s="674"/>
      <c r="B76" s="651" t="s">
        <v>873</v>
      </c>
      <c r="C76" s="677"/>
      <c r="D76" s="677"/>
      <c r="E76" s="677"/>
      <c r="F76" s="677"/>
      <c r="G76" s="674"/>
      <c r="H76" s="1000" t="s">
        <v>72</v>
      </c>
    </row>
    <row r="77" spans="1:18" s="28" customFormat="1" ht="13.5" customHeight="1" x14ac:dyDescent="0.15">
      <c r="A77" s="26"/>
      <c r="B77" s="683" t="s">
        <v>87</v>
      </c>
      <c r="C77" s="643"/>
      <c r="D77" s="679"/>
      <c r="E77" s="679"/>
      <c r="F77" s="679"/>
      <c r="G77" s="678"/>
      <c r="H77" s="1001"/>
    </row>
    <row r="78" spans="1:18" s="28" customFormat="1" ht="33.75" customHeight="1" x14ac:dyDescent="0.15">
      <c r="A78" s="26" t="s">
        <v>153</v>
      </c>
      <c r="B78" s="644" t="s">
        <v>583</v>
      </c>
      <c r="C78" s="508" t="s">
        <v>101</v>
      </c>
      <c r="D78" s="643" t="s">
        <v>150</v>
      </c>
      <c r="E78" s="679"/>
      <c r="F78" s="679"/>
      <c r="G78" s="678"/>
      <c r="H78" s="1001"/>
    </row>
    <row r="79" spans="1:18" s="28" customFormat="1" ht="22.5" customHeight="1" x14ac:dyDescent="0.15">
      <c r="A79" s="26"/>
      <c r="B79" s="644" t="s">
        <v>41</v>
      </c>
      <c r="C79" s="508" t="s">
        <v>45</v>
      </c>
      <c r="D79" s="508" t="s">
        <v>46</v>
      </c>
      <c r="E79" s="644" t="s">
        <v>151</v>
      </c>
      <c r="F79" s="644" t="s">
        <v>152</v>
      </c>
      <c r="G79" s="644" t="s">
        <v>582</v>
      </c>
      <c r="H79" s="1001"/>
    </row>
    <row r="80" spans="1:18" s="28" customFormat="1" ht="13.5" customHeight="1" x14ac:dyDescent="0.15">
      <c r="A80" s="517"/>
      <c r="B80" s="509" t="str">
        <f>PROPER("ARAB-L")</f>
        <v>Arab-L</v>
      </c>
      <c r="C80" s="509"/>
      <c r="D80" s="509"/>
      <c r="E80" s="509" t="str">
        <f>PROPER("WANDOO")</f>
        <v>Wandoo</v>
      </c>
      <c r="F80" s="509" t="str">
        <f>PROPER("STAG")</f>
        <v>Stag</v>
      </c>
      <c r="G80" s="509" t="str">
        <f>PROPER("PYRENEES")</f>
        <v>Pyrenees</v>
      </c>
      <c r="H80" s="1002"/>
    </row>
    <row r="81" spans="1:8" s="44" customFormat="1" ht="9.75" customHeight="1" x14ac:dyDescent="0.15">
      <c r="A81" s="645" t="s">
        <v>831</v>
      </c>
      <c r="B81" s="680">
        <v>5050</v>
      </c>
      <c r="C81" s="681">
        <v>99161</v>
      </c>
      <c r="D81" s="681">
        <v>99161</v>
      </c>
      <c r="E81" s="681">
        <v>99161</v>
      </c>
      <c r="F81" s="681" t="s">
        <v>796</v>
      </c>
      <c r="G81" s="686" t="s">
        <v>796</v>
      </c>
      <c r="H81" s="682" t="s">
        <v>517</v>
      </c>
    </row>
    <row r="82" spans="1:8" s="44" customFormat="1" ht="9.75" customHeight="1" x14ac:dyDescent="0.15">
      <c r="A82" s="448" t="s">
        <v>557</v>
      </c>
      <c r="B82" s="44">
        <v>5334</v>
      </c>
      <c r="C82" s="44">
        <v>115500</v>
      </c>
      <c r="D82" s="44">
        <v>115500</v>
      </c>
      <c r="E82" s="44">
        <v>115500</v>
      </c>
      <c r="F82" s="44" t="s">
        <v>796</v>
      </c>
      <c r="G82" s="48" t="s">
        <v>796</v>
      </c>
      <c r="H82" s="46" t="s">
        <v>558</v>
      </c>
    </row>
    <row r="83" spans="1:8" s="44" customFormat="1" ht="9.75" customHeight="1" x14ac:dyDescent="0.15">
      <c r="A83" s="448" t="s">
        <v>682</v>
      </c>
      <c r="B83" s="44">
        <v>400</v>
      </c>
      <c r="C83" s="44">
        <v>101388</v>
      </c>
      <c r="D83" s="44">
        <v>101388</v>
      </c>
      <c r="E83" s="44">
        <v>101388</v>
      </c>
      <c r="F83" s="44" t="s">
        <v>796</v>
      </c>
      <c r="G83" s="48" t="s">
        <v>796</v>
      </c>
      <c r="H83" s="46" t="s">
        <v>683</v>
      </c>
    </row>
    <row r="84" spans="1:8" s="44" customFormat="1" ht="9.75" customHeight="1" x14ac:dyDescent="0.15">
      <c r="A84" s="448" t="s">
        <v>784</v>
      </c>
      <c r="B84" s="44" t="s">
        <v>796</v>
      </c>
      <c r="C84" s="44">
        <v>105337</v>
      </c>
      <c r="D84" s="44">
        <v>105337</v>
      </c>
      <c r="E84" s="44">
        <v>45370</v>
      </c>
      <c r="F84" s="44">
        <v>8454</v>
      </c>
      <c r="G84" s="48">
        <v>51513</v>
      </c>
      <c r="H84" s="46" t="s">
        <v>785</v>
      </c>
    </row>
    <row r="85" spans="1:8" s="44" customFormat="1" ht="9.75" customHeight="1" x14ac:dyDescent="0.15">
      <c r="A85" s="448" t="s">
        <v>832</v>
      </c>
      <c r="B85" s="44" t="s">
        <v>796</v>
      </c>
      <c r="C85" s="44" t="s">
        <v>796</v>
      </c>
      <c r="D85" s="44" t="s">
        <v>796</v>
      </c>
      <c r="E85" s="44" t="s">
        <v>796</v>
      </c>
      <c r="F85" s="44" t="s">
        <v>796</v>
      </c>
      <c r="G85" s="48" t="s">
        <v>796</v>
      </c>
      <c r="H85" s="46" t="s">
        <v>833</v>
      </c>
    </row>
    <row r="86" spans="1:8" s="44" customFormat="1" ht="9.75" customHeight="1" x14ac:dyDescent="0.15">
      <c r="A86" s="464"/>
      <c r="G86" s="48"/>
      <c r="H86" s="46"/>
    </row>
    <row r="87" spans="1:8" s="44" customFormat="1" ht="9.75" customHeight="1" x14ac:dyDescent="0.15">
      <c r="A87" s="448" t="s">
        <v>834</v>
      </c>
      <c r="B87" s="44" t="s">
        <v>796</v>
      </c>
      <c r="C87" s="44">
        <v>75747</v>
      </c>
      <c r="D87" s="44">
        <v>75747</v>
      </c>
      <c r="E87" s="44">
        <v>21505</v>
      </c>
      <c r="F87" s="44">
        <v>8454</v>
      </c>
      <c r="G87" s="48">
        <v>45788</v>
      </c>
      <c r="H87" s="46" t="s">
        <v>786</v>
      </c>
    </row>
    <row r="88" spans="1:8" s="44" customFormat="1" ht="9.75" customHeight="1" x14ac:dyDescent="0.15">
      <c r="A88" s="448" t="s">
        <v>835</v>
      </c>
      <c r="B88" s="44" t="s">
        <v>796</v>
      </c>
      <c r="C88" s="44" t="s">
        <v>796</v>
      </c>
      <c r="D88" s="44" t="s">
        <v>796</v>
      </c>
      <c r="E88" s="44" t="s">
        <v>796</v>
      </c>
      <c r="F88" s="44" t="s">
        <v>796</v>
      </c>
      <c r="G88" s="48" t="s">
        <v>796</v>
      </c>
      <c r="H88" s="46" t="s">
        <v>836</v>
      </c>
    </row>
    <row r="89" spans="1:8" s="44" customFormat="1" ht="9.75" customHeight="1" x14ac:dyDescent="0.15">
      <c r="A89" s="464"/>
      <c r="G89" s="48"/>
      <c r="H89" s="46"/>
    </row>
    <row r="90" spans="1:8" s="44" customFormat="1" ht="9.75" customHeight="1" x14ac:dyDescent="0.15">
      <c r="A90" s="448" t="s">
        <v>837</v>
      </c>
      <c r="B90" s="44" t="s">
        <v>796</v>
      </c>
      <c r="C90" s="44" t="s">
        <v>796</v>
      </c>
      <c r="D90" s="44" t="s">
        <v>796</v>
      </c>
      <c r="E90" s="44" t="s">
        <v>796</v>
      </c>
      <c r="F90" s="44" t="s">
        <v>796</v>
      </c>
      <c r="G90" s="48" t="s">
        <v>796</v>
      </c>
      <c r="H90" s="46" t="s">
        <v>787</v>
      </c>
    </row>
    <row r="91" spans="1:8" s="44" customFormat="1" ht="9.75" customHeight="1" x14ac:dyDescent="0.15">
      <c r="A91" s="448" t="s">
        <v>559</v>
      </c>
      <c r="B91" s="44" t="s">
        <v>796</v>
      </c>
      <c r="C91" s="44" t="s">
        <v>796</v>
      </c>
      <c r="D91" s="44" t="s">
        <v>796</v>
      </c>
      <c r="E91" s="44" t="s">
        <v>796</v>
      </c>
      <c r="F91" s="44" t="s">
        <v>796</v>
      </c>
      <c r="G91" s="48" t="s">
        <v>796</v>
      </c>
      <c r="H91" s="46" t="s">
        <v>78</v>
      </c>
    </row>
    <row r="92" spans="1:8" s="44" customFormat="1" ht="9.75" customHeight="1" x14ac:dyDescent="0.15">
      <c r="A92" s="448" t="s">
        <v>560</v>
      </c>
      <c r="B92" s="44" t="s">
        <v>796</v>
      </c>
      <c r="C92" s="44" t="s">
        <v>796</v>
      </c>
      <c r="D92" s="44" t="s">
        <v>796</v>
      </c>
      <c r="E92" s="44" t="s">
        <v>796</v>
      </c>
      <c r="F92" s="44" t="s">
        <v>796</v>
      </c>
      <c r="G92" s="48" t="s">
        <v>796</v>
      </c>
      <c r="H92" s="46" t="s">
        <v>79</v>
      </c>
    </row>
    <row r="93" spans="1:8" s="44" customFormat="1" ht="9.75" customHeight="1" x14ac:dyDescent="0.15">
      <c r="A93" s="448" t="s">
        <v>561</v>
      </c>
      <c r="B93" s="44" t="s">
        <v>796</v>
      </c>
      <c r="C93" s="44" t="s">
        <v>796</v>
      </c>
      <c r="D93" s="44" t="s">
        <v>796</v>
      </c>
      <c r="E93" s="44" t="s">
        <v>796</v>
      </c>
      <c r="F93" s="44" t="s">
        <v>796</v>
      </c>
      <c r="G93" s="48" t="s">
        <v>796</v>
      </c>
      <c r="H93" s="46" t="s">
        <v>80</v>
      </c>
    </row>
    <row r="94" spans="1:8" s="44" customFormat="1" ht="9.75" customHeight="1" x14ac:dyDescent="0.15">
      <c r="A94" s="448" t="s">
        <v>838</v>
      </c>
      <c r="B94" s="44" t="s">
        <v>796</v>
      </c>
      <c r="C94" s="44" t="s">
        <v>796</v>
      </c>
      <c r="D94" s="44" t="s">
        <v>796</v>
      </c>
      <c r="E94" s="44" t="s">
        <v>796</v>
      </c>
      <c r="F94" s="44" t="s">
        <v>796</v>
      </c>
      <c r="G94" s="48" t="s">
        <v>796</v>
      </c>
      <c r="H94" s="46" t="s">
        <v>839</v>
      </c>
    </row>
    <row r="95" spans="1:8" s="44" customFormat="1" ht="9.75" customHeight="1" x14ac:dyDescent="0.15">
      <c r="A95" s="464"/>
      <c r="G95" s="48"/>
      <c r="H95" s="46"/>
    </row>
    <row r="96" spans="1:8" s="44" customFormat="1" ht="9.75" customHeight="1" x14ac:dyDescent="0.15">
      <c r="A96" s="448" t="s">
        <v>840</v>
      </c>
      <c r="B96" s="44" t="s">
        <v>796</v>
      </c>
      <c r="C96" s="44" t="s">
        <v>796</v>
      </c>
      <c r="D96" s="44" t="s">
        <v>796</v>
      </c>
      <c r="E96" s="44" t="s">
        <v>796</v>
      </c>
      <c r="F96" s="44" t="s">
        <v>796</v>
      </c>
      <c r="G96" s="48" t="s">
        <v>796</v>
      </c>
      <c r="H96" s="46" t="s">
        <v>788</v>
      </c>
    </row>
    <row r="97" spans="1:8" s="44" customFormat="1" ht="9.75" customHeight="1" x14ac:dyDescent="0.15">
      <c r="A97" s="448" t="s">
        <v>562</v>
      </c>
      <c r="B97" s="44" t="s">
        <v>796</v>
      </c>
      <c r="C97" s="44" t="s">
        <v>796</v>
      </c>
      <c r="D97" s="44" t="s">
        <v>796</v>
      </c>
      <c r="E97" s="44" t="s">
        <v>796</v>
      </c>
      <c r="F97" s="44" t="s">
        <v>796</v>
      </c>
      <c r="G97" s="48" t="s">
        <v>796</v>
      </c>
      <c r="H97" s="46" t="s">
        <v>66</v>
      </c>
    </row>
    <row r="98" spans="1:8" s="44" customFormat="1" ht="9.75" customHeight="1" x14ac:dyDescent="0.15">
      <c r="A98" s="448" t="s">
        <v>563</v>
      </c>
      <c r="B98" s="44" t="s">
        <v>796</v>
      </c>
      <c r="C98" s="44" t="s">
        <v>796</v>
      </c>
      <c r="D98" s="44" t="s">
        <v>796</v>
      </c>
      <c r="E98" s="44" t="s">
        <v>796</v>
      </c>
      <c r="F98" s="44" t="s">
        <v>796</v>
      </c>
      <c r="G98" s="48" t="s">
        <v>796</v>
      </c>
      <c r="H98" s="46" t="s">
        <v>67</v>
      </c>
    </row>
    <row r="99" spans="1:8" s="44" customFormat="1" ht="9.75" customHeight="1" x14ac:dyDescent="0.15">
      <c r="A99" s="448" t="s">
        <v>564</v>
      </c>
      <c r="B99" s="44" t="s">
        <v>796</v>
      </c>
      <c r="C99" s="44" t="s">
        <v>796</v>
      </c>
      <c r="D99" s="44" t="s">
        <v>796</v>
      </c>
      <c r="E99" s="44" t="s">
        <v>796</v>
      </c>
      <c r="F99" s="44" t="s">
        <v>796</v>
      </c>
      <c r="G99" s="48" t="s">
        <v>796</v>
      </c>
      <c r="H99" s="46" t="s">
        <v>68</v>
      </c>
    </row>
    <row r="100" spans="1:8" s="44" customFormat="1" ht="9.75" customHeight="1" x14ac:dyDescent="0.15">
      <c r="A100" s="448" t="s">
        <v>565</v>
      </c>
      <c r="B100" s="44" t="s">
        <v>796</v>
      </c>
      <c r="C100" s="44" t="s">
        <v>796</v>
      </c>
      <c r="D100" s="44" t="s">
        <v>796</v>
      </c>
      <c r="E100" s="44" t="s">
        <v>796</v>
      </c>
      <c r="F100" s="44" t="s">
        <v>796</v>
      </c>
      <c r="G100" s="48" t="s">
        <v>796</v>
      </c>
      <c r="H100" s="47" t="s">
        <v>81</v>
      </c>
    </row>
    <row r="101" spans="1:8" s="44" customFormat="1" ht="9.75" customHeight="1" x14ac:dyDescent="0.15">
      <c r="A101" s="448" t="s">
        <v>566</v>
      </c>
      <c r="B101" s="44" t="s">
        <v>796</v>
      </c>
      <c r="C101" s="44" t="s">
        <v>796</v>
      </c>
      <c r="D101" s="44" t="s">
        <v>796</v>
      </c>
      <c r="E101" s="44" t="s">
        <v>796</v>
      </c>
      <c r="F101" s="44" t="s">
        <v>796</v>
      </c>
      <c r="G101" s="48" t="s">
        <v>796</v>
      </c>
      <c r="H101" s="46" t="s">
        <v>82</v>
      </c>
    </row>
    <row r="102" spans="1:8" s="44" customFormat="1" ht="9.75" customHeight="1" x14ac:dyDescent="0.15">
      <c r="A102" s="448" t="s">
        <v>567</v>
      </c>
      <c r="B102" s="44" t="s">
        <v>796</v>
      </c>
      <c r="C102" s="44" t="s">
        <v>796</v>
      </c>
      <c r="D102" s="44" t="s">
        <v>796</v>
      </c>
      <c r="E102" s="44" t="s">
        <v>796</v>
      </c>
      <c r="F102" s="44" t="s">
        <v>796</v>
      </c>
      <c r="G102" s="48" t="s">
        <v>796</v>
      </c>
      <c r="H102" s="46" t="s">
        <v>83</v>
      </c>
    </row>
    <row r="103" spans="1:8" s="44" customFormat="1" ht="9.75" customHeight="1" x14ac:dyDescent="0.15">
      <c r="A103" s="448" t="s">
        <v>568</v>
      </c>
      <c r="B103" s="44" t="s">
        <v>796</v>
      </c>
      <c r="C103" s="44" t="s">
        <v>796</v>
      </c>
      <c r="D103" s="44" t="s">
        <v>796</v>
      </c>
      <c r="E103" s="44" t="s">
        <v>796</v>
      </c>
      <c r="F103" s="44" t="s">
        <v>796</v>
      </c>
      <c r="G103" s="48" t="s">
        <v>796</v>
      </c>
      <c r="H103" s="46" t="s">
        <v>84</v>
      </c>
    </row>
    <row r="104" spans="1:8" s="44" customFormat="1" ht="9.75" customHeight="1" x14ac:dyDescent="0.15">
      <c r="A104" s="448" t="s">
        <v>569</v>
      </c>
      <c r="B104" s="44" t="s">
        <v>796</v>
      </c>
      <c r="C104" s="44" t="s">
        <v>796</v>
      </c>
      <c r="D104" s="44" t="s">
        <v>796</v>
      </c>
      <c r="E104" s="44" t="s">
        <v>796</v>
      </c>
      <c r="F104" s="44" t="s">
        <v>796</v>
      </c>
      <c r="G104" s="48" t="s">
        <v>796</v>
      </c>
      <c r="H104" s="46" t="s">
        <v>85</v>
      </c>
    </row>
    <row r="105" spans="1:8" s="44" customFormat="1" ht="9.75" customHeight="1" x14ac:dyDescent="0.15">
      <c r="A105" s="448" t="s">
        <v>570</v>
      </c>
      <c r="B105" s="44" t="s">
        <v>796</v>
      </c>
      <c r="C105" s="44" t="s">
        <v>796</v>
      </c>
      <c r="D105" s="44" t="s">
        <v>796</v>
      </c>
      <c r="E105" s="44" t="s">
        <v>796</v>
      </c>
      <c r="F105" s="44" t="s">
        <v>796</v>
      </c>
      <c r="G105" s="48" t="s">
        <v>796</v>
      </c>
      <c r="H105" s="46" t="s">
        <v>69</v>
      </c>
    </row>
    <row r="106" spans="1:8" s="44" customFormat="1" ht="9.75" customHeight="1" x14ac:dyDescent="0.15">
      <c r="A106" s="448" t="s">
        <v>571</v>
      </c>
      <c r="B106" s="44" t="s">
        <v>796</v>
      </c>
      <c r="C106" s="44" t="s">
        <v>796</v>
      </c>
      <c r="D106" s="44" t="s">
        <v>796</v>
      </c>
      <c r="E106" s="44" t="s">
        <v>796</v>
      </c>
      <c r="F106" s="44" t="s">
        <v>796</v>
      </c>
      <c r="G106" s="48" t="s">
        <v>796</v>
      </c>
      <c r="H106" s="46" t="s">
        <v>70</v>
      </c>
    </row>
    <row r="107" spans="1:8" s="44" customFormat="1" ht="9.75" customHeight="1" x14ac:dyDescent="0.15">
      <c r="A107" s="448" t="s">
        <v>572</v>
      </c>
      <c r="B107" s="44" t="s">
        <v>796</v>
      </c>
      <c r="C107" s="44" t="s">
        <v>796</v>
      </c>
      <c r="D107" s="44" t="s">
        <v>796</v>
      </c>
      <c r="E107" s="44" t="s">
        <v>796</v>
      </c>
      <c r="F107" s="44" t="s">
        <v>796</v>
      </c>
      <c r="G107" s="48" t="s">
        <v>796</v>
      </c>
      <c r="H107" s="46" t="s">
        <v>71</v>
      </c>
    </row>
    <row r="108" spans="1:8" s="44" customFormat="1" ht="9.75" customHeight="1" x14ac:dyDescent="0.15">
      <c r="A108" s="448" t="s">
        <v>841</v>
      </c>
      <c r="B108" s="44" t="s">
        <v>796</v>
      </c>
      <c r="C108" s="44" t="s">
        <v>796</v>
      </c>
      <c r="D108" s="44" t="s">
        <v>796</v>
      </c>
      <c r="E108" s="44" t="s">
        <v>796</v>
      </c>
      <c r="F108" s="44" t="s">
        <v>796</v>
      </c>
      <c r="G108" s="48" t="s">
        <v>796</v>
      </c>
      <c r="H108" s="46" t="s">
        <v>842</v>
      </c>
    </row>
    <row r="109" spans="1:8" s="44" customFormat="1" ht="9.75" customHeight="1" x14ac:dyDescent="0.15">
      <c r="A109" s="448" t="s">
        <v>573</v>
      </c>
      <c r="B109" s="44" t="s">
        <v>796</v>
      </c>
      <c r="C109" s="44" t="s">
        <v>796</v>
      </c>
      <c r="D109" s="44" t="s">
        <v>796</v>
      </c>
      <c r="E109" s="44" t="s">
        <v>796</v>
      </c>
      <c r="F109" s="44" t="s">
        <v>796</v>
      </c>
      <c r="G109" s="48" t="s">
        <v>796</v>
      </c>
      <c r="H109" s="46" t="s">
        <v>66</v>
      </c>
    </row>
    <row r="110" spans="1:8" s="44" customFormat="1" ht="9.75" customHeight="1" x14ac:dyDescent="0.15">
      <c r="A110" s="519" t="s">
        <v>574</v>
      </c>
      <c r="B110" s="544" t="s">
        <v>796</v>
      </c>
      <c r="C110" s="545" t="s">
        <v>796</v>
      </c>
      <c r="D110" s="545" t="s">
        <v>796</v>
      </c>
      <c r="E110" s="545" t="s">
        <v>796</v>
      </c>
      <c r="F110" s="545" t="s">
        <v>796</v>
      </c>
      <c r="G110" s="547" t="s">
        <v>796</v>
      </c>
      <c r="H110" s="546" t="s">
        <v>67</v>
      </c>
    </row>
    <row r="111" spans="1:8" ht="21.75" customHeight="1" x14ac:dyDescent="0.15"/>
  </sheetData>
  <mergeCells count="3">
    <mergeCell ref="R4:R8"/>
    <mergeCell ref="R40:R44"/>
    <mergeCell ref="H76:H80"/>
  </mergeCells>
  <phoneticPr fontId="34"/>
  <pageMargins left="0.59055118110236227" right="0.59055118110236227" top="0.59055118110236227" bottom="0.59055118110236227" header="0.31496062992125984" footer="0.11811023622047245"/>
  <pageSetup paperSize="9" scale="90" pageOrder="overThenDown" orientation="portrait" r:id="rId1"/>
  <headerFooter alignWithMargins="0"/>
  <rowBreaks count="1" manualBreakCount="1">
    <brk id="74" max="17" man="1"/>
  </rowBreaks>
  <colBreaks count="1" manualBreakCount="1">
    <brk id="9" min="1" max="10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C621-F025-490C-A4A1-C48929564876}">
  <dimension ref="A1:X123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2" sqref="A2"/>
    </sheetView>
  </sheetViews>
  <sheetFormatPr defaultColWidth="8.125" defaultRowHeight="13.5" x14ac:dyDescent="0.15"/>
  <cols>
    <col min="1" max="1" width="3" style="49" customWidth="1"/>
    <col min="2" max="2" width="2.875" style="49" customWidth="1"/>
    <col min="3" max="3" width="5.5" style="49" customWidth="1"/>
    <col min="4" max="4" width="0.75" style="49" customWidth="1"/>
    <col min="5" max="11" width="9.625" style="49" customWidth="1"/>
    <col min="12" max="16" width="7.75" style="49" customWidth="1"/>
    <col min="17" max="17" width="9.625" style="49" customWidth="1"/>
    <col min="18" max="20" width="7.75" style="49" customWidth="1"/>
    <col min="21" max="21" width="7.5" style="49" customWidth="1"/>
    <col min="22" max="22" width="2.375" style="49" customWidth="1"/>
    <col min="23" max="23" width="3" style="49" customWidth="1"/>
    <col min="24" max="16384" width="8.125" style="49"/>
  </cols>
  <sheetData>
    <row r="1" spans="1:22" ht="12.75" customHeight="1" x14ac:dyDescent="0.15"/>
    <row r="2" spans="1:22" s="74" customFormat="1" ht="12.75" customHeight="1" x14ac:dyDescent="0.15">
      <c r="A2" s="91" t="s">
        <v>180</v>
      </c>
      <c r="B2" s="91"/>
      <c r="C2" s="91"/>
      <c r="D2" s="91"/>
      <c r="E2" s="91"/>
      <c r="F2" s="386"/>
      <c r="G2" s="387"/>
      <c r="H2" s="387"/>
      <c r="I2" s="90"/>
      <c r="J2" s="90"/>
      <c r="K2" s="90"/>
      <c r="L2" s="90"/>
      <c r="M2" s="90"/>
      <c r="N2" s="90"/>
      <c r="O2" s="90"/>
      <c r="P2" s="90"/>
      <c r="Q2" s="90"/>
    </row>
    <row r="3" spans="1:22" s="74" customFormat="1" ht="12.75" customHeight="1" x14ac:dyDescent="0.15">
      <c r="A3" s="548" t="s">
        <v>179</v>
      </c>
      <c r="B3" s="549"/>
      <c r="C3" s="550"/>
      <c r="D3" s="550"/>
      <c r="E3" s="550"/>
      <c r="F3" s="386"/>
      <c r="G3" s="387"/>
      <c r="H3" s="387"/>
      <c r="I3" s="90"/>
      <c r="J3" s="90"/>
      <c r="K3" s="466" t="s">
        <v>86</v>
      </c>
      <c r="L3" s="90"/>
      <c r="M3" s="90"/>
      <c r="N3" s="90"/>
      <c r="O3" s="90"/>
      <c r="P3" s="551" t="s">
        <v>874</v>
      </c>
      <c r="Q3" s="551"/>
      <c r="R3" s="89"/>
    </row>
    <row r="4" spans="1:22" s="66" customFormat="1" ht="10.5" customHeight="1" x14ac:dyDescent="0.15">
      <c r="A4" s="1009" t="s">
        <v>502</v>
      </c>
      <c r="B4" s="1009"/>
      <c r="C4" s="1009"/>
      <c r="D4" s="1010"/>
      <c r="E4" s="88"/>
      <c r="F4" s="1015"/>
      <c r="G4" s="1015"/>
      <c r="H4" s="1015"/>
      <c r="I4" s="1015"/>
      <c r="J4" s="1015"/>
      <c r="K4" s="1015"/>
      <c r="L4" s="1015"/>
      <c r="M4" s="1015"/>
      <c r="N4" s="1015"/>
      <c r="O4" s="1015"/>
      <c r="P4" s="1016"/>
      <c r="Q4" s="1000" t="s">
        <v>523</v>
      </c>
      <c r="R4" s="510"/>
      <c r="S4" s="74"/>
      <c r="T4" s="74"/>
      <c r="U4" s="74"/>
      <c r="V4" s="74"/>
    </row>
    <row r="5" spans="1:22" s="66" customFormat="1" ht="11.45" customHeight="1" x14ac:dyDescent="0.15">
      <c r="A5" s="1011"/>
      <c r="B5" s="1011"/>
      <c r="C5" s="1011"/>
      <c r="D5" s="1012"/>
      <c r="E5" s="68" t="s">
        <v>176</v>
      </c>
      <c r="F5" s="689"/>
      <c r="G5" s="689"/>
      <c r="H5" s="690" t="s">
        <v>175</v>
      </c>
      <c r="I5" s="687"/>
      <c r="J5" s="691"/>
      <c r="K5" s="690" t="s">
        <v>174</v>
      </c>
      <c r="L5" s="687"/>
      <c r="M5" s="688"/>
      <c r="N5" s="690" t="s">
        <v>173</v>
      </c>
      <c r="O5" s="692"/>
      <c r="P5" s="693"/>
      <c r="Q5" s="1017"/>
      <c r="R5" s="510"/>
      <c r="S5" s="74"/>
      <c r="T5" s="74"/>
      <c r="U5" s="74"/>
      <c r="V5" s="74"/>
    </row>
    <row r="6" spans="1:22" s="66" customFormat="1" ht="11.45" customHeight="1" x14ac:dyDescent="0.15">
      <c r="A6" s="1011"/>
      <c r="B6" s="1011"/>
      <c r="C6" s="1011"/>
      <c r="D6" s="1012"/>
      <c r="E6" s="88"/>
      <c r="F6" s="72"/>
      <c r="G6" s="72"/>
      <c r="H6" s="68" t="s">
        <v>170</v>
      </c>
      <c r="I6" s="552"/>
      <c r="J6" s="553"/>
      <c r="K6" s="68" t="s">
        <v>171</v>
      </c>
      <c r="L6" s="554"/>
      <c r="M6" s="555"/>
      <c r="N6" s="68" t="s">
        <v>170</v>
      </c>
      <c r="O6" s="556"/>
      <c r="P6" s="511"/>
      <c r="Q6" s="1017"/>
      <c r="R6" s="510"/>
      <c r="S6" s="74"/>
      <c r="T6" s="74"/>
      <c r="U6" s="74"/>
      <c r="V6" s="74"/>
    </row>
    <row r="7" spans="1:22" s="66" customFormat="1" ht="11.45" customHeight="1" x14ac:dyDescent="0.15">
      <c r="A7" s="1011"/>
      <c r="B7" s="1011"/>
      <c r="C7" s="1011"/>
      <c r="D7" s="1012"/>
      <c r="E7" s="68" t="s">
        <v>415</v>
      </c>
      <c r="F7" s="69" t="s">
        <v>584</v>
      </c>
      <c r="G7" s="69" t="s">
        <v>585</v>
      </c>
      <c r="H7" s="69" t="s">
        <v>178</v>
      </c>
      <c r="I7" s="510" t="s">
        <v>584</v>
      </c>
      <c r="J7" s="694" t="s">
        <v>585</v>
      </c>
      <c r="K7" s="1007" t="s">
        <v>169</v>
      </c>
      <c r="L7" s="694" t="s">
        <v>584</v>
      </c>
      <c r="M7" s="694" t="s">
        <v>585</v>
      </c>
      <c r="N7" s="1007" t="s">
        <v>586</v>
      </c>
      <c r="O7" s="690" t="s">
        <v>584</v>
      </c>
      <c r="P7" s="694" t="s">
        <v>585</v>
      </c>
      <c r="Q7" s="1017"/>
      <c r="R7" s="510"/>
      <c r="S7" s="74"/>
      <c r="T7" s="74"/>
      <c r="U7" s="74"/>
      <c r="V7" s="74"/>
    </row>
    <row r="8" spans="1:22" s="66" customFormat="1" ht="11.45" customHeight="1" x14ac:dyDescent="0.15">
      <c r="A8" s="1011"/>
      <c r="B8" s="1011"/>
      <c r="C8" s="1011"/>
      <c r="D8" s="1012"/>
      <c r="E8" s="1007"/>
      <c r="F8" s="1007" t="s">
        <v>587</v>
      </c>
      <c r="G8" s="1007" t="s">
        <v>588</v>
      </c>
      <c r="H8" s="67" t="s">
        <v>48</v>
      </c>
      <c r="I8" s="1007" t="s">
        <v>587</v>
      </c>
      <c r="J8" s="1007" t="s">
        <v>588</v>
      </c>
      <c r="K8" s="1007"/>
      <c r="L8" s="1007" t="s">
        <v>587</v>
      </c>
      <c r="M8" s="1007" t="s">
        <v>588</v>
      </c>
      <c r="N8" s="1007"/>
      <c r="O8" s="1007" t="s">
        <v>587</v>
      </c>
      <c r="P8" s="1007" t="s">
        <v>588</v>
      </c>
      <c r="Q8" s="1017"/>
      <c r="R8" s="510"/>
      <c r="S8" s="74"/>
      <c r="T8" s="74"/>
      <c r="U8" s="74"/>
      <c r="V8" s="74"/>
    </row>
    <row r="9" spans="1:22" s="66" customFormat="1" ht="11.45" customHeight="1" x14ac:dyDescent="0.15">
      <c r="A9" s="1013"/>
      <c r="B9" s="1013"/>
      <c r="C9" s="1013"/>
      <c r="D9" s="1014"/>
      <c r="E9" s="1018"/>
      <c r="F9" s="1008"/>
      <c r="G9" s="1008"/>
      <c r="H9" s="512"/>
      <c r="I9" s="1008"/>
      <c r="J9" s="1008"/>
      <c r="K9" s="512" t="s">
        <v>415</v>
      </c>
      <c r="L9" s="1008"/>
      <c r="M9" s="1008"/>
      <c r="N9" s="557" t="s">
        <v>415</v>
      </c>
      <c r="O9" s="1008"/>
      <c r="P9" s="1008"/>
      <c r="Q9" s="558"/>
      <c r="S9" s="74"/>
      <c r="T9" s="74"/>
      <c r="U9" s="74"/>
      <c r="V9" s="74"/>
    </row>
    <row r="10" spans="1:22" s="51" customFormat="1" ht="9.75" customHeight="1" x14ac:dyDescent="0.15">
      <c r="A10" s="695" t="s">
        <v>687</v>
      </c>
      <c r="B10" s="516" t="s">
        <v>875</v>
      </c>
      <c r="C10" s="52"/>
      <c r="D10" s="176"/>
      <c r="E10" s="83">
        <v>145229769</v>
      </c>
      <c r="F10" s="82">
        <v>144787326</v>
      </c>
      <c r="G10" s="82">
        <v>442443</v>
      </c>
      <c r="H10" s="82">
        <v>145016852</v>
      </c>
      <c r="I10" s="82">
        <v>144574409</v>
      </c>
      <c r="J10" s="82">
        <v>442443</v>
      </c>
      <c r="K10" s="82">
        <v>212917</v>
      </c>
      <c r="L10" s="82">
        <v>212917</v>
      </c>
      <c r="M10" s="82" t="s">
        <v>796</v>
      </c>
      <c r="N10" s="82" t="s">
        <v>796</v>
      </c>
      <c r="O10" s="82" t="s">
        <v>796</v>
      </c>
      <c r="P10" s="82" t="s">
        <v>796</v>
      </c>
      <c r="Q10" s="65" t="s">
        <v>876</v>
      </c>
      <c r="R10" s="86"/>
      <c r="S10" s="74"/>
      <c r="T10" s="74"/>
      <c r="U10" s="74"/>
      <c r="V10" s="74"/>
    </row>
    <row r="11" spans="1:22" s="51" customFormat="1" ht="9.75" customHeight="1" x14ac:dyDescent="0.15">
      <c r="A11" s="169" t="s">
        <v>214</v>
      </c>
      <c r="B11" s="516">
        <v>3</v>
      </c>
      <c r="C11" s="52"/>
      <c r="D11" s="176"/>
      <c r="E11" s="83">
        <v>144648208</v>
      </c>
      <c r="F11" s="82">
        <v>144149620</v>
      </c>
      <c r="G11" s="82">
        <v>498588</v>
      </c>
      <c r="H11" s="82">
        <v>144402535</v>
      </c>
      <c r="I11" s="82">
        <v>143903947</v>
      </c>
      <c r="J11" s="82">
        <v>498588</v>
      </c>
      <c r="K11" s="82">
        <v>245673</v>
      </c>
      <c r="L11" s="82">
        <v>245673</v>
      </c>
      <c r="M11" s="82" t="s">
        <v>796</v>
      </c>
      <c r="N11" s="82" t="s">
        <v>796</v>
      </c>
      <c r="O11" s="82" t="s">
        <v>796</v>
      </c>
      <c r="P11" s="82" t="s">
        <v>796</v>
      </c>
      <c r="Q11" s="65" t="s">
        <v>877</v>
      </c>
      <c r="R11" s="86"/>
      <c r="S11" s="74"/>
      <c r="T11" s="74"/>
      <c r="U11" s="74"/>
      <c r="V11" s="74"/>
    </row>
    <row r="12" spans="1:22" s="51" customFormat="1" ht="9.75" customHeight="1" x14ac:dyDescent="0.15">
      <c r="A12" s="169" t="s">
        <v>214</v>
      </c>
      <c r="B12" s="516">
        <v>4</v>
      </c>
      <c r="C12" s="52"/>
      <c r="D12" s="176"/>
      <c r="E12" s="83">
        <v>156575830</v>
      </c>
      <c r="F12" s="82">
        <v>156179142</v>
      </c>
      <c r="G12" s="82">
        <v>396688</v>
      </c>
      <c r="H12" s="82">
        <v>156351040</v>
      </c>
      <c r="I12" s="82">
        <v>155954352</v>
      </c>
      <c r="J12" s="82">
        <v>396688</v>
      </c>
      <c r="K12" s="82">
        <v>224790</v>
      </c>
      <c r="L12" s="82">
        <v>224790</v>
      </c>
      <c r="M12" s="82" t="s">
        <v>796</v>
      </c>
      <c r="N12" s="82" t="s">
        <v>796</v>
      </c>
      <c r="O12" s="82" t="s">
        <v>796</v>
      </c>
      <c r="P12" s="82" t="s">
        <v>796</v>
      </c>
      <c r="Q12" s="65" t="s">
        <v>878</v>
      </c>
      <c r="R12" s="86"/>
      <c r="S12" s="74"/>
      <c r="T12" s="74"/>
      <c r="U12" s="74"/>
      <c r="V12" s="74"/>
    </row>
    <row r="13" spans="1:22" s="51" customFormat="1" ht="9.75" customHeight="1" x14ac:dyDescent="0.15">
      <c r="A13" s="169" t="s">
        <v>214</v>
      </c>
      <c r="B13" s="516">
        <v>5</v>
      </c>
      <c r="C13" s="52"/>
      <c r="D13" s="176"/>
      <c r="E13" s="83">
        <v>147886058</v>
      </c>
      <c r="F13" s="82">
        <v>147499114</v>
      </c>
      <c r="G13" s="82">
        <v>386944</v>
      </c>
      <c r="H13" s="82">
        <v>147663243</v>
      </c>
      <c r="I13" s="82">
        <v>147276299</v>
      </c>
      <c r="J13" s="82">
        <v>386944</v>
      </c>
      <c r="K13" s="82">
        <v>222815</v>
      </c>
      <c r="L13" s="82">
        <v>222815</v>
      </c>
      <c r="M13" s="82" t="s">
        <v>796</v>
      </c>
      <c r="N13" s="82" t="s">
        <v>796</v>
      </c>
      <c r="O13" s="82" t="s">
        <v>796</v>
      </c>
      <c r="P13" s="82" t="s">
        <v>796</v>
      </c>
      <c r="Q13" s="65" t="s">
        <v>809</v>
      </c>
      <c r="R13" s="86"/>
      <c r="S13" s="74"/>
      <c r="T13" s="74"/>
      <c r="U13" s="74"/>
      <c r="V13" s="74"/>
    </row>
    <row r="14" spans="1:22" s="51" customFormat="1" ht="9.75" customHeight="1" x14ac:dyDescent="0.15">
      <c r="A14" s="169" t="s">
        <v>214</v>
      </c>
      <c r="B14" s="516">
        <v>6</v>
      </c>
      <c r="C14" s="52"/>
      <c r="D14" s="176"/>
      <c r="E14" s="83">
        <v>137085987</v>
      </c>
      <c r="F14" s="82">
        <v>136750815</v>
      </c>
      <c r="G14" s="82">
        <v>335172</v>
      </c>
      <c r="H14" s="82">
        <v>136893962</v>
      </c>
      <c r="I14" s="82">
        <v>136558790</v>
      </c>
      <c r="J14" s="82">
        <v>335172</v>
      </c>
      <c r="K14" s="82">
        <v>192025</v>
      </c>
      <c r="L14" s="82">
        <v>192025</v>
      </c>
      <c r="M14" s="82" t="s">
        <v>796</v>
      </c>
      <c r="N14" s="82" t="s">
        <v>796</v>
      </c>
      <c r="O14" s="82" t="s">
        <v>796</v>
      </c>
      <c r="P14" s="82" t="s">
        <v>796</v>
      </c>
      <c r="Q14" s="65" t="s">
        <v>879</v>
      </c>
      <c r="R14" s="86"/>
      <c r="S14" s="74"/>
      <c r="T14" s="74"/>
      <c r="U14" s="74"/>
      <c r="V14" s="74"/>
    </row>
    <row r="15" spans="1:22" s="51" customFormat="1" ht="9.75" customHeight="1" x14ac:dyDescent="0.15">
      <c r="A15" s="169"/>
      <c r="B15" s="169"/>
      <c r="C15" s="514"/>
      <c r="D15" s="172"/>
      <c r="E15" s="83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59"/>
      <c r="R15" s="73"/>
      <c r="S15" s="74"/>
      <c r="T15" s="74"/>
      <c r="U15" s="74"/>
      <c r="V15" s="74"/>
    </row>
    <row r="16" spans="1:22" s="51" customFormat="1" ht="9.75" customHeight="1" x14ac:dyDescent="0.15">
      <c r="A16" s="516" t="s">
        <v>687</v>
      </c>
      <c r="B16" s="516" t="s">
        <v>880</v>
      </c>
      <c r="C16" s="467"/>
      <c r="D16" s="174"/>
      <c r="E16" s="83">
        <v>145063939</v>
      </c>
      <c r="F16" s="82">
        <v>144674670</v>
      </c>
      <c r="G16" s="82">
        <v>389269</v>
      </c>
      <c r="H16" s="82">
        <v>144841139</v>
      </c>
      <c r="I16" s="82">
        <v>144451870</v>
      </c>
      <c r="J16" s="82">
        <v>389269</v>
      </c>
      <c r="K16" s="82">
        <v>222800</v>
      </c>
      <c r="L16" s="82">
        <v>222800</v>
      </c>
      <c r="M16" s="82" t="s">
        <v>796</v>
      </c>
      <c r="N16" s="87" t="s">
        <v>796</v>
      </c>
      <c r="O16" s="82" t="s">
        <v>796</v>
      </c>
      <c r="P16" s="87" t="s">
        <v>796</v>
      </c>
      <c r="Q16" s="64" t="s">
        <v>881</v>
      </c>
      <c r="R16" s="86"/>
      <c r="S16" s="74"/>
      <c r="T16" s="74"/>
      <c r="U16" s="74"/>
      <c r="V16" s="74"/>
    </row>
    <row r="17" spans="1:22" s="51" customFormat="1" ht="9.75" customHeight="1" x14ac:dyDescent="0.15">
      <c r="A17" s="169" t="s">
        <v>214</v>
      </c>
      <c r="B17" s="516">
        <v>6</v>
      </c>
      <c r="C17" s="467"/>
      <c r="D17" s="174"/>
      <c r="E17" s="83">
        <v>135095395</v>
      </c>
      <c r="F17" s="82">
        <v>134768669</v>
      </c>
      <c r="G17" s="82">
        <v>326726</v>
      </c>
      <c r="H17" s="82">
        <v>134903125</v>
      </c>
      <c r="I17" s="82">
        <v>134576399</v>
      </c>
      <c r="J17" s="82">
        <v>326726</v>
      </c>
      <c r="K17" s="82">
        <v>192270</v>
      </c>
      <c r="L17" s="82">
        <v>192270</v>
      </c>
      <c r="M17" s="82" t="s">
        <v>796</v>
      </c>
      <c r="N17" s="87" t="s">
        <v>796</v>
      </c>
      <c r="O17" s="82" t="s">
        <v>796</v>
      </c>
      <c r="P17" s="87" t="s">
        <v>796</v>
      </c>
      <c r="Q17" s="64" t="s">
        <v>882</v>
      </c>
      <c r="R17" s="86"/>
      <c r="S17" s="74"/>
      <c r="T17" s="74"/>
      <c r="U17" s="74"/>
      <c r="V17" s="74"/>
    </row>
    <row r="18" spans="1:22" s="51" customFormat="1" ht="9.75" customHeight="1" x14ac:dyDescent="0.15">
      <c r="A18" s="169"/>
      <c r="B18" s="169"/>
      <c r="C18" s="514"/>
      <c r="D18" s="172"/>
      <c r="E18" s="83"/>
      <c r="F18" s="82"/>
      <c r="G18" s="82"/>
      <c r="H18" s="82"/>
      <c r="I18" s="82"/>
      <c r="J18" s="82"/>
      <c r="K18" s="82"/>
      <c r="L18" s="82"/>
      <c r="M18" s="82"/>
      <c r="N18" s="82"/>
      <c r="O18" s="55"/>
      <c r="P18" s="82"/>
      <c r="Q18" s="59"/>
      <c r="R18" s="73"/>
      <c r="S18" s="84"/>
      <c r="T18" s="74"/>
      <c r="U18" s="74"/>
      <c r="V18" s="74"/>
    </row>
    <row r="19" spans="1:22" s="51" customFormat="1" ht="9.75" customHeight="1" x14ac:dyDescent="0.15">
      <c r="A19" s="516" t="s">
        <v>687</v>
      </c>
      <c r="B19" s="516" t="s">
        <v>797</v>
      </c>
      <c r="C19" s="516" t="s">
        <v>604</v>
      </c>
      <c r="D19" s="174"/>
      <c r="E19" s="83">
        <v>36580809</v>
      </c>
      <c r="F19" s="82">
        <v>36484344</v>
      </c>
      <c r="G19" s="82">
        <v>96465</v>
      </c>
      <c r="H19" s="82">
        <v>36523132</v>
      </c>
      <c r="I19" s="82">
        <v>36426667</v>
      </c>
      <c r="J19" s="82">
        <v>96465</v>
      </c>
      <c r="K19" s="82">
        <v>57677</v>
      </c>
      <c r="L19" s="82">
        <v>57677</v>
      </c>
      <c r="M19" s="82" t="s">
        <v>796</v>
      </c>
      <c r="N19" s="82" t="s">
        <v>796</v>
      </c>
      <c r="O19" s="82" t="s">
        <v>796</v>
      </c>
      <c r="P19" s="82" t="s">
        <v>796</v>
      </c>
      <c r="Q19" s="60" t="s">
        <v>883</v>
      </c>
      <c r="R19" s="86"/>
      <c r="S19" s="84"/>
      <c r="T19" s="74"/>
      <c r="U19" s="74"/>
      <c r="V19" s="74"/>
    </row>
    <row r="20" spans="1:22" s="51" customFormat="1" ht="9.75" customHeight="1" x14ac:dyDescent="0.15">
      <c r="A20" s="169" t="s">
        <v>214</v>
      </c>
      <c r="B20" s="169" t="s">
        <v>214</v>
      </c>
      <c r="C20" s="516" t="s">
        <v>605</v>
      </c>
      <c r="D20" s="174"/>
      <c r="E20" s="83">
        <v>32786110</v>
      </c>
      <c r="F20" s="82">
        <v>32711413</v>
      </c>
      <c r="G20" s="82">
        <v>74697</v>
      </c>
      <c r="H20" s="82">
        <v>32741057</v>
      </c>
      <c r="I20" s="82">
        <v>32666360</v>
      </c>
      <c r="J20" s="82">
        <v>74697</v>
      </c>
      <c r="K20" s="82">
        <v>45053</v>
      </c>
      <c r="L20" s="82">
        <v>45053</v>
      </c>
      <c r="M20" s="82" t="s">
        <v>796</v>
      </c>
      <c r="N20" s="82" t="s">
        <v>796</v>
      </c>
      <c r="O20" s="82" t="s">
        <v>796</v>
      </c>
      <c r="P20" s="82" t="s">
        <v>796</v>
      </c>
      <c r="Q20" s="63" t="s">
        <v>884</v>
      </c>
      <c r="R20" s="86"/>
      <c r="S20" s="84"/>
      <c r="T20" s="74"/>
      <c r="U20" s="74"/>
      <c r="V20" s="74"/>
    </row>
    <row r="21" spans="1:22" s="51" customFormat="1" ht="9.75" customHeight="1" x14ac:dyDescent="0.15">
      <c r="A21" s="169" t="s">
        <v>214</v>
      </c>
      <c r="B21" s="169" t="s">
        <v>214</v>
      </c>
      <c r="C21" s="516" t="s">
        <v>606</v>
      </c>
      <c r="D21" s="174"/>
      <c r="E21" s="83">
        <v>31755673</v>
      </c>
      <c r="F21" s="82">
        <v>31677387</v>
      </c>
      <c r="G21" s="82">
        <v>78286</v>
      </c>
      <c r="H21" s="82">
        <v>31702094</v>
      </c>
      <c r="I21" s="82">
        <v>31623808</v>
      </c>
      <c r="J21" s="82">
        <v>78286</v>
      </c>
      <c r="K21" s="82">
        <v>53579</v>
      </c>
      <c r="L21" s="82">
        <v>53579</v>
      </c>
      <c r="M21" s="82" t="s">
        <v>796</v>
      </c>
      <c r="N21" s="82" t="s">
        <v>796</v>
      </c>
      <c r="O21" s="82" t="s">
        <v>796</v>
      </c>
      <c r="P21" s="82" t="s">
        <v>796</v>
      </c>
      <c r="Q21" s="62" t="s">
        <v>885</v>
      </c>
      <c r="R21" s="78"/>
      <c r="S21" s="84"/>
      <c r="T21" s="74"/>
      <c r="U21" s="74"/>
      <c r="V21" s="74"/>
    </row>
    <row r="22" spans="1:22" s="51" customFormat="1" ht="9.75" customHeight="1" x14ac:dyDescent="0.15">
      <c r="A22" s="169" t="s">
        <v>214</v>
      </c>
      <c r="B22" s="169" t="s">
        <v>214</v>
      </c>
      <c r="C22" s="516" t="s">
        <v>524</v>
      </c>
      <c r="D22" s="174"/>
      <c r="E22" s="83">
        <v>35963395</v>
      </c>
      <c r="F22" s="82">
        <v>35877671</v>
      </c>
      <c r="G22" s="82">
        <v>85724</v>
      </c>
      <c r="H22" s="82">
        <v>35927679</v>
      </c>
      <c r="I22" s="82">
        <v>35841955</v>
      </c>
      <c r="J22" s="82">
        <v>85724</v>
      </c>
      <c r="K22" s="82">
        <v>35716</v>
      </c>
      <c r="L22" s="82">
        <v>35716</v>
      </c>
      <c r="M22" s="82" t="s">
        <v>796</v>
      </c>
      <c r="N22" s="82" t="s">
        <v>796</v>
      </c>
      <c r="O22" s="82" t="s">
        <v>796</v>
      </c>
      <c r="P22" s="82" t="s">
        <v>796</v>
      </c>
      <c r="Q22" s="61" t="s">
        <v>886</v>
      </c>
      <c r="R22" s="78"/>
      <c r="S22" s="84"/>
      <c r="T22" s="74"/>
      <c r="U22" s="74"/>
      <c r="V22" s="74"/>
    </row>
    <row r="23" spans="1:22" s="51" customFormat="1" ht="9.75" customHeight="1" x14ac:dyDescent="0.15">
      <c r="A23" s="516" t="s">
        <v>687</v>
      </c>
      <c r="B23" s="516" t="s">
        <v>887</v>
      </c>
      <c r="C23" s="516" t="s">
        <v>888</v>
      </c>
      <c r="D23" s="174"/>
      <c r="E23" s="83">
        <v>34590217</v>
      </c>
      <c r="F23" s="82">
        <v>34502198</v>
      </c>
      <c r="G23" s="82">
        <v>88019</v>
      </c>
      <c r="H23" s="82">
        <v>34532295</v>
      </c>
      <c r="I23" s="82">
        <v>34444276</v>
      </c>
      <c r="J23" s="82">
        <v>88019</v>
      </c>
      <c r="K23" s="82">
        <v>57922</v>
      </c>
      <c r="L23" s="82">
        <v>57922</v>
      </c>
      <c r="M23" s="82" t="s">
        <v>796</v>
      </c>
      <c r="N23" s="82" t="s">
        <v>796</v>
      </c>
      <c r="O23" s="82" t="s">
        <v>796</v>
      </c>
      <c r="P23" s="82" t="s">
        <v>796</v>
      </c>
      <c r="Q23" s="60" t="s">
        <v>889</v>
      </c>
      <c r="R23" s="78"/>
      <c r="S23" s="84"/>
      <c r="T23" s="74"/>
      <c r="U23" s="74"/>
      <c r="V23" s="74"/>
    </row>
    <row r="24" spans="1:22" s="51" customFormat="1" ht="9.75" customHeight="1" x14ac:dyDescent="0.15">
      <c r="A24" s="169"/>
      <c r="B24" s="169"/>
      <c r="C24" s="514"/>
      <c r="D24" s="172"/>
      <c r="E24" s="83"/>
      <c r="F24" s="82"/>
      <c r="G24" s="82"/>
      <c r="H24" s="82"/>
      <c r="I24" s="82"/>
      <c r="J24" s="82"/>
      <c r="K24" s="82"/>
      <c r="L24" s="82"/>
      <c r="M24" s="82"/>
      <c r="N24" s="82"/>
      <c r="O24" s="55"/>
      <c r="P24" s="82"/>
      <c r="Q24" s="59"/>
      <c r="R24" s="86"/>
      <c r="S24" s="84"/>
      <c r="T24" s="74"/>
      <c r="U24" s="74"/>
      <c r="V24" s="74"/>
    </row>
    <row r="25" spans="1:22" s="51" customFormat="1" ht="9.75" customHeight="1" x14ac:dyDescent="0.15">
      <c r="A25" s="516" t="s">
        <v>687</v>
      </c>
      <c r="B25" s="516" t="s">
        <v>797</v>
      </c>
      <c r="C25" s="169" t="s">
        <v>589</v>
      </c>
      <c r="D25" s="168"/>
      <c r="E25" s="83">
        <v>12811398</v>
      </c>
      <c r="F25" s="82">
        <v>12791042</v>
      </c>
      <c r="G25" s="82">
        <v>20356</v>
      </c>
      <c r="H25" s="82">
        <v>12793537</v>
      </c>
      <c r="I25" s="82">
        <v>12773181</v>
      </c>
      <c r="J25" s="82">
        <v>20356</v>
      </c>
      <c r="K25" s="82">
        <v>17861</v>
      </c>
      <c r="L25" s="82">
        <v>17861</v>
      </c>
      <c r="M25" s="82" t="s">
        <v>796</v>
      </c>
      <c r="N25" s="82" t="s">
        <v>796</v>
      </c>
      <c r="O25" s="82" t="s">
        <v>796</v>
      </c>
      <c r="P25" s="82" t="s">
        <v>796</v>
      </c>
      <c r="Q25" s="58" t="s">
        <v>890</v>
      </c>
      <c r="R25" s="78"/>
      <c r="S25" s="84"/>
      <c r="T25" s="74"/>
      <c r="U25" s="74"/>
      <c r="V25" s="74"/>
    </row>
    <row r="26" spans="1:22" s="51" customFormat="1" ht="9.75" customHeight="1" x14ac:dyDescent="0.15">
      <c r="A26" s="169" t="s">
        <v>214</v>
      </c>
      <c r="B26" s="169" t="s">
        <v>214</v>
      </c>
      <c r="C26" s="169" t="s">
        <v>590</v>
      </c>
      <c r="D26" s="168"/>
      <c r="E26" s="83">
        <v>11388657</v>
      </c>
      <c r="F26" s="82">
        <v>11347246</v>
      </c>
      <c r="G26" s="82">
        <v>41411</v>
      </c>
      <c r="H26" s="82">
        <v>11368927</v>
      </c>
      <c r="I26" s="82">
        <v>11327516</v>
      </c>
      <c r="J26" s="82">
        <v>41411</v>
      </c>
      <c r="K26" s="82">
        <v>19730</v>
      </c>
      <c r="L26" s="82">
        <v>19730</v>
      </c>
      <c r="M26" s="82" t="s">
        <v>796</v>
      </c>
      <c r="N26" s="82" t="s">
        <v>796</v>
      </c>
      <c r="O26" s="82" t="s">
        <v>796</v>
      </c>
      <c r="P26" s="82" t="s">
        <v>796</v>
      </c>
      <c r="Q26" s="53" t="s">
        <v>397</v>
      </c>
      <c r="R26" s="78"/>
      <c r="S26" s="84"/>
      <c r="T26" s="74"/>
      <c r="U26" s="74"/>
      <c r="V26" s="74"/>
    </row>
    <row r="27" spans="1:22" s="51" customFormat="1" ht="9.75" customHeight="1" x14ac:dyDescent="0.15">
      <c r="A27" s="169" t="s">
        <v>214</v>
      </c>
      <c r="B27" s="169" t="s">
        <v>214</v>
      </c>
      <c r="C27" s="169" t="s">
        <v>591</v>
      </c>
      <c r="D27" s="168"/>
      <c r="E27" s="83">
        <v>12380754</v>
      </c>
      <c r="F27" s="82">
        <v>12346056</v>
      </c>
      <c r="G27" s="82">
        <v>34698</v>
      </c>
      <c r="H27" s="82">
        <v>12360668</v>
      </c>
      <c r="I27" s="82">
        <v>12325970</v>
      </c>
      <c r="J27" s="82">
        <v>34698</v>
      </c>
      <c r="K27" s="82">
        <v>20086</v>
      </c>
      <c r="L27" s="82">
        <v>20086</v>
      </c>
      <c r="M27" s="82" t="s">
        <v>796</v>
      </c>
      <c r="N27" s="82" t="s">
        <v>796</v>
      </c>
      <c r="O27" s="82" t="s">
        <v>796</v>
      </c>
      <c r="P27" s="85" t="s">
        <v>796</v>
      </c>
      <c r="Q27" s="53" t="s">
        <v>398</v>
      </c>
      <c r="R27" s="78"/>
      <c r="S27" s="84"/>
      <c r="T27" s="74"/>
      <c r="U27" s="74"/>
      <c r="V27" s="74"/>
    </row>
    <row r="28" spans="1:22" s="51" customFormat="1" ht="9.75" customHeight="1" x14ac:dyDescent="0.15">
      <c r="A28" s="169" t="s">
        <v>214</v>
      </c>
      <c r="B28" s="169" t="s">
        <v>214</v>
      </c>
      <c r="C28" s="169" t="s">
        <v>592</v>
      </c>
      <c r="D28" s="168"/>
      <c r="E28" s="83">
        <v>11706668</v>
      </c>
      <c r="F28" s="82">
        <v>11678721</v>
      </c>
      <c r="G28" s="82">
        <v>27947</v>
      </c>
      <c r="H28" s="82">
        <v>11694292</v>
      </c>
      <c r="I28" s="82">
        <v>11666345</v>
      </c>
      <c r="J28" s="82">
        <v>27947</v>
      </c>
      <c r="K28" s="82">
        <v>12376</v>
      </c>
      <c r="L28" s="82">
        <v>12376</v>
      </c>
      <c r="M28" s="82" t="s">
        <v>796</v>
      </c>
      <c r="N28" s="82" t="s">
        <v>796</v>
      </c>
      <c r="O28" s="82" t="s">
        <v>796</v>
      </c>
      <c r="P28" s="82" t="s">
        <v>796</v>
      </c>
      <c r="Q28" s="53" t="s">
        <v>399</v>
      </c>
      <c r="R28" s="78"/>
      <c r="S28" s="84"/>
      <c r="T28" s="74"/>
      <c r="U28" s="74"/>
      <c r="V28" s="74"/>
    </row>
    <row r="29" spans="1:22" s="51" customFormat="1" ht="9.75" customHeight="1" x14ac:dyDescent="0.15">
      <c r="A29" s="169" t="s">
        <v>214</v>
      </c>
      <c r="B29" s="169" t="s">
        <v>214</v>
      </c>
      <c r="C29" s="169" t="s">
        <v>593</v>
      </c>
      <c r="D29" s="168"/>
      <c r="E29" s="83">
        <v>11403273</v>
      </c>
      <c r="F29" s="82">
        <v>11386486</v>
      </c>
      <c r="G29" s="82">
        <v>16787</v>
      </c>
      <c r="H29" s="82">
        <v>11388630</v>
      </c>
      <c r="I29" s="82">
        <v>11371843</v>
      </c>
      <c r="J29" s="82">
        <v>16787</v>
      </c>
      <c r="K29" s="82">
        <v>14643</v>
      </c>
      <c r="L29" s="82">
        <v>14643</v>
      </c>
      <c r="M29" s="82" t="s">
        <v>796</v>
      </c>
      <c r="N29" s="82" t="s">
        <v>796</v>
      </c>
      <c r="O29" s="82" t="s">
        <v>796</v>
      </c>
      <c r="P29" s="82" t="s">
        <v>796</v>
      </c>
      <c r="Q29" s="53" t="s">
        <v>891</v>
      </c>
      <c r="R29" s="78"/>
      <c r="S29" s="84"/>
      <c r="T29" s="74"/>
      <c r="U29" s="74"/>
      <c r="V29" s="74"/>
    </row>
    <row r="30" spans="1:22" s="51" customFormat="1" ht="9.75" customHeight="1" x14ac:dyDescent="0.15">
      <c r="A30" s="169" t="s">
        <v>214</v>
      </c>
      <c r="B30" s="169" t="s">
        <v>214</v>
      </c>
      <c r="C30" s="169" t="s">
        <v>594</v>
      </c>
      <c r="D30" s="168"/>
      <c r="E30" s="83">
        <v>9676169</v>
      </c>
      <c r="F30" s="82">
        <v>9646206</v>
      </c>
      <c r="G30" s="82">
        <v>29963</v>
      </c>
      <c r="H30" s="82">
        <v>9658135</v>
      </c>
      <c r="I30" s="82">
        <v>9628172</v>
      </c>
      <c r="J30" s="82">
        <v>29963</v>
      </c>
      <c r="K30" s="82">
        <v>18034</v>
      </c>
      <c r="L30" s="82">
        <v>18034</v>
      </c>
      <c r="M30" s="82" t="s">
        <v>796</v>
      </c>
      <c r="N30" s="82" t="s">
        <v>796</v>
      </c>
      <c r="O30" s="82" t="s">
        <v>796</v>
      </c>
      <c r="P30" s="82" t="s">
        <v>796</v>
      </c>
      <c r="Q30" s="53" t="s">
        <v>400</v>
      </c>
      <c r="R30" s="78"/>
      <c r="S30" s="84"/>
      <c r="T30" s="74"/>
      <c r="U30" s="74"/>
      <c r="V30" s="74"/>
    </row>
    <row r="31" spans="1:22" s="51" customFormat="1" ht="9.75" customHeight="1" x14ac:dyDescent="0.15">
      <c r="A31" s="169" t="s">
        <v>214</v>
      </c>
      <c r="B31" s="169" t="s">
        <v>214</v>
      </c>
      <c r="C31" s="169" t="s">
        <v>595</v>
      </c>
      <c r="D31" s="168"/>
      <c r="E31" s="83">
        <v>9557809</v>
      </c>
      <c r="F31" s="82">
        <v>9525741</v>
      </c>
      <c r="G31" s="82">
        <v>32068</v>
      </c>
      <c r="H31" s="82">
        <v>9543405</v>
      </c>
      <c r="I31" s="82">
        <v>9511337</v>
      </c>
      <c r="J31" s="82">
        <v>32068</v>
      </c>
      <c r="K31" s="82">
        <v>14404</v>
      </c>
      <c r="L31" s="82">
        <v>14404</v>
      </c>
      <c r="M31" s="82" t="s">
        <v>796</v>
      </c>
      <c r="N31" s="82" t="s">
        <v>796</v>
      </c>
      <c r="O31" s="82" t="s">
        <v>796</v>
      </c>
      <c r="P31" s="82" t="s">
        <v>796</v>
      </c>
      <c r="Q31" s="53" t="s">
        <v>401</v>
      </c>
      <c r="R31" s="78"/>
      <c r="S31" s="74"/>
      <c r="T31" s="74"/>
      <c r="U31" s="74"/>
      <c r="V31" s="74"/>
    </row>
    <row r="32" spans="1:22" s="51" customFormat="1" ht="9.75" customHeight="1" x14ac:dyDescent="0.15">
      <c r="A32" s="169" t="s">
        <v>214</v>
      </c>
      <c r="B32" s="169" t="s">
        <v>214</v>
      </c>
      <c r="C32" s="169" t="s">
        <v>596</v>
      </c>
      <c r="D32" s="168"/>
      <c r="E32" s="83">
        <v>10911240</v>
      </c>
      <c r="F32" s="82">
        <v>10884068</v>
      </c>
      <c r="G32" s="82">
        <v>27172</v>
      </c>
      <c r="H32" s="82">
        <v>10893214</v>
      </c>
      <c r="I32" s="82">
        <v>10866042</v>
      </c>
      <c r="J32" s="82">
        <v>27172</v>
      </c>
      <c r="K32" s="82">
        <v>18026</v>
      </c>
      <c r="L32" s="82">
        <v>18026</v>
      </c>
      <c r="M32" s="82" t="s">
        <v>796</v>
      </c>
      <c r="N32" s="82" t="s">
        <v>796</v>
      </c>
      <c r="O32" s="82" t="s">
        <v>796</v>
      </c>
      <c r="P32" s="82" t="s">
        <v>796</v>
      </c>
      <c r="Q32" s="53" t="s">
        <v>402</v>
      </c>
      <c r="R32" s="78"/>
      <c r="S32" s="74"/>
      <c r="T32" s="74"/>
      <c r="U32" s="74"/>
      <c r="V32" s="74"/>
    </row>
    <row r="33" spans="1:22" s="51" customFormat="1" ht="9.75" customHeight="1" x14ac:dyDescent="0.15">
      <c r="A33" s="169" t="s">
        <v>214</v>
      </c>
      <c r="B33" s="169" t="s">
        <v>214</v>
      </c>
      <c r="C33" s="169" t="s">
        <v>597</v>
      </c>
      <c r="D33" s="168"/>
      <c r="E33" s="83">
        <v>11286624</v>
      </c>
      <c r="F33" s="82">
        <v>11267578</v>
      </c>
      <c r="G33" s="82">
        <v>19046</v>
      </c>
      <c r="H33" s="82">
        <v>11265475</v>
      </c>
      <c r="I33" s="82">
        <v>11246429</v>
      </c>
      <c r="J33" s="82">
        <v>19046</v>
      </c>
      <c r="K33" s="82">
        <v>21149</v>
      </c>
      <c r="L33" s="82">
        <v>21149</v>
      </c>
      <c r="M33" s="82" t="s">
        <v>796</v>
      </c>
      <c r="N33" s="82" t="s">
        <v>796</v>
      </c>
      <c r="O33" s="82" t="s">
        <v>796</v>
      </c>
      <c r="P33" s="82" t="s">
        <v>796</v>
      </c>
      <c r="Q33" s="53" t="s">
        <v>403</v>
      </c>
      <c r="R33" s="78"/>
      <c r="S33" s="74"/>
      <c r="T33" s="74"/>
      <c r="U33" s="74"/>
      <c r="V33" s="74"/>
    </row>
    <row r="34" spans="1:22" s="51" customFormat="1" ht="9.75" customHeight="1" x14ac:dyDescent="0.15">
      <c r="A34" s="169" t="s">
        <v>214</v>
      </c>
      <c r="B34" s="169" t="s">
        <v>214</v>
      </c>
      <c r="C34" s="468" t="s">
        <v>688</v>
      </c>
      <c r="D34" s="168"/>
      <c r="E34" s="83">
        <v>11498647</v>
      </c>
      <c r="F34" s="82">
        <v>11475912</v>
      </c>
      <c r="G34" s="82">
        <v>22735</v>
      </c>
      <c r="H34" s="82">
        <v>11484896</v>
      </c>
      <c r="I34" s="82">
        <v>11462161</v>
      </c>
      <c r="J34" s="82">
        <v>22735</v>
      </c>
      <c r="K34" s="82">
        <v>13751</v>
      </c>
      <c r="L34" s="82">
        <v>13751</v>
      </c>
      <c r="M34" s="82" t="s">
        <v>796</v>
      </c>
      <c r="N34" s="82" t="s">
        <v>796</v>
      </c>
      <c r="O34" s="82" t="s">
        <v>796</v>
      </c>
      <c r="P34" s="82" t="s">
        <v>796</v>
      </c>
      <c r="Q34" s="53" t="s">
        <v>404</v>
      </c>
      <c r="R34" s="78"/>
      <c r="S34" s="74"/>
      <c r="T34" s="74"/>
      <c r="U34" s="74"/>
      <c r="V34" s="74"/>
    </row>
    <row r="35" spans="1:22" s="51" customFormat="1" ht="9.75" customHeight="1" x14ac:dyDescent="0.15">
      <c r="A35" s="169" t="s">
        <v>214</v>
      </c>
      <c r="B35" s="169" t="s">
        <v>214</v>
      </c>
      <c r="C35" s="468" t="s">
        <v>689</v>
      </c>
      <c r="D35" s="168"/>
      <c r="E35" s="83">
        <v>11658763</v>
      </c>
      <c r="F35" s="82">
        <v>11622029</v>
      </c>
      <c r="G35" s="82">
        <v>36734</v>
      </c>
      <c r="H35" s="82">
        <v>11648643</v>
      </c>
      <c r="I35" s="82">
        <v>11611909</v>
      </c>
      <c r="J35" s="82">
        <v>36734</v>
      </c>
      <c r="K35" s="82">
        <v>10120</v>
      </c>
      <c r="L35" s="82">
        <v>10120</v>
      </c>
      <c r="M35" s="82" t="s">
        <v>796</v>
      </c>
      <c r="N35" s="82" t="s">
        <v>796</v>
      </c>
      <c r="O35" s="82" t="s">
        <v>796</v>
      </c>
      <c r="P35" s="82" t="s">
        <v>796</v>
      </c>
      <c r="Q35" s="53" t="s">
        <v>405</v>
      </c>
      <c r="R35" s="78"/>
      <c r="S35" s="74"/>
      <c r="T35" s="74"/>
      <c r="U35" s="74"/>
      <c r="V35" s="74"/>
    </row>
    <row r="36" spans="1:22" s="51" customFormat="1" ht="9.75" customHeight="1" x14ac:dyDescent="0.15">
      <c r="A36" s="169" t="s">
        <v>214</v>
      </c>
      <c r="B36" s="169" t="s">
        <v>214</v>
      </c>
      <c r="C36" s="468" t="s">
        <v>690</v>
      </c>
      <c r="D36" s="168"/>
      <c r="E36" s="83">
        <v>12805985</v>
      </c>
      <c r="F36" s="82">
        <v>12779730</v>
      </c>
      <c r="G36" s="82">
        <v>26255</v>
      </c>
      <c r="H36" s="82">
        <v>12794140</v>
      </c>
      <c r="I36" s="82">
        <v>12767885</v>
      </c>
      <c r="J36" s="82">
        <v>26255</v>
      </c>
      <c r="K36" s="82">
        <v>11845</v>
      </c>
      <c r="L36" s="82">
        <v>11845</v>
      </c>
      <c r="M36" s="82" t="s">
        <v>796</v>
      </c>
      <c r="N36" s="82" t="s">
        <v>796</v>
      </c>
      <c r="O36" s="82" t="s">
        <v>796</v>
      </c>
      <c r="P36" s="82" t="s">
        <v>796</v>
      </c>
      <c r="Q36" s="53" t="s">
        <v>406</v>
      </c>
      <c r="R36" s="78"/>
      <c r="S36" s="74"/>
      <c r="T36" s="74"/>
      <c r="U36" s="74"/>
      <c r="V36" s="74"/>
    </row>
    <row r="37" spans="1:22" s="51" customFormat="1" ht="9.75" customHeight="1" x14ac:dyDescent="0.15">
      <c r="A37" s="516" t="s">
        <v>687</v>
      </c>
      <c r="B37" s="516" t="s">
        <v>887</v>
      </c>
      <c r="C37" s="169" t="s">
        <v>598</v>
      </c>
      <c r="D37" s="168"/>
      <c r="E37" s="83">
        <v>12478632</v>
      </c>
      <c r="F37" s="82">
        <v>12452714</v>
      </c>
      <c r="G37" s="82">
        <v>25918</v>
      </c>
      <c r="H37" s="82">
        <v>12460336</v>
      </c>
      <c r="I37" s="82">
        <v>12434418</v>
      </c>
      <c r="J37" s="82">
        <v>25918</v>
      </c>
      <c r="K37" s="82">
        <v>18296</v>
      </c>
      <c r="L37" s="82">
        <v>18296</v>
      </c>
      <c r="M37" s="82" t="s">
        <v>796</v>
      </c>
      <c r="N37" s="82" t="s">
        <v>796</v>
      </c>
      <c r="O37" s="82" t="s">
        <v>796</v>
      </c>
      <c r="P37" s="82" t="s">
        <v>796</v>
      </c>
      <c r="Q37" s="58" t="s">
        <v>892</v>
      </c>
      <c r="R37" s="78"/>
      <c r="S37" s="74"/>
      <c r="T37" s="74"/>
      <c r="U37" s="74"/>
      <c r="V37" s="74"/>
    </row>
    <row r="38" spans="1:22" s="51" customFormat="1" ht="9.75" customHeight="1" x14ac:dyDescent="0.15">
      <c r="A38" s="169" t="s">
        <v>214</v>
      </c>
      <c r="B38" s="169" t="s">
        <v>214</v>
      </c>
      <c r="C38" s="169" t="s">
        <v>590</v>
      </c>
      <c r="D38" s="168"/>
      <c r="E38" s="83">
        <v>10513943</v>
      </c>
      <c r="F38" s="82">
        <v>10499008</v>
      </c>
      <c r="G38" s="82">
        <v>14935</v>
      </c>
      <c r="H38" s="82">
        <v>10492757</v>
      </c>
      <c r="I38" s="82">
        <v>10477822</v>
      </c>
      <c r="J38" s="82">
        <v>14935</v>
      </c>
      <c r="K38" s="82">
        <v>21186</v>
      </c>
      <c r="L38" s="82">
        <v>21186</v>
      </c>
      <c r="M38" s="82" t="s">
        <v>796</v>
      </c>
      <c r="N38" s="82" t="s">
        <v>796</v>
      </c>
      <c r="O38" s="82" t="s">
        <v>796</v>
      </c>
      <c r="P38" s="82" t="s">
        <v>796</v>
      </c>
      <c r="Q38" s="53" t="s">
        <v>397</v>
      </c>
      <c r="R38" s="78"/>
      <c r="S38" s="74"/>
      <c r="T38" s="74"/>
      <c r="U38" s="74"/>
      <c r="V38" s="74"/>
    </row>
    <row r="39" spans="1:22" s="51" customFormat="1" ht="9.75" customHeight="1" x14ac:dyDescent="0.15">
      <c r="A39" s="559" t="s">
        <v>214</v>
      </c>
      <c r="B39" s="559" t="s">
        <v>214</v>
      </c>
      <c r="C39" s="560" t="s">
        <v>599</v>
      </c>
      <c r="D39" s="561"/>
      <c r="E39" s="562">
        <v>11597642</v>
      </c>
      <c r="F39" s="563">
        <v>11550476</v>
      </c>
      <c r="G39" s="563">
        <v>47166</v>
      </c>
      <c r="H39" s="563">
        <v>11579202</v>
      </c>
      <c r="I39" s="563">
        <v>11532036</v>
      </c>
      <c r="J39" s="563">
        <v>47166</v>
      </c>
      <c r="K39" s="563">
        <v>18440</v>
      </c>
      <c r="L39" s="563">
        <v>18440</v>
      </c>
      <c r="M39" s="563" t="s">
        <v>796</v>
      </c>
      <c r="N39" s="563" t="s">
        <v>796</v>
      </c>
      <c r="O39" s="563" t="s">
        <v>796</v>
      </c>
      <c r="P39" s="563" t="s">
        <v>796</v>
      </c>
      <c r="Q39" s="564" t="s">
        <v>398</v>
      </c>
      <c r="R39" s="78"/>
      <c r="S39" s="74"/>
      <c r="T39" s="74"/>
      <c r="U39" s="74"/>
      <c r="V39" s="74"/>
    </row>
    <row r="40" spans="1:22" s="51" customFormat="1" ht="9.75" customHeight="1" x14ac:dyDescent="0.15">
      <c r="A40" s="81"/>
      <c r="B40" s="81"/>
      <c r="C40" s="86"/>
      <c r="D40" s="81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79"/>
      <c r="R40" s="78"/>
      <c r="S40" s="74"/>
      <c r="T40" s="74"/>
      <c r="U40" s="74"/>
      <c r="V40" s="74"/>
    </row>
    <row r="41" spans="1:22" s="75" customFormat="1" ht="9.75" customHeight="1" x14ac:dyDescent="0.15">
      <c r="A41" s="77"/>
      <c r="B41" s="77"/>
      <c r="C41" s="77"/>
      <c r="D41" s="77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4"/>
      <c r="T41" s="74"/>
      <c r="U41" s="74"/>
      <c r="V41" s="74"/>
    </row>
    <row r="42" spans="1:22" s="74" customFormat="1" ht="12.75" customHeight="1" x14ac:dyDescent="0.15">
      <c r="A42" s="548" t="s">
        <v>177</v>
      </c>
      <c r="B42" s="565"/>
      <c r="C42" s="566"/>
      <c r="D42" s="566"/>
      <c r="E42" s="566"/>
      <c r="K42" s="466" t="s">
        <v>86</v>
      </c>
      <c r="S42" s="566"/>
      <c r="T42" s="551" t="s">
        <v>874</v>
      </c>
      <c r="U42" s="566"/>
    </row>
    <row r="43" spans="1:22" s="66" customFormat="1" ht="10.5" customHeight="1" x14ac:dyDescent="0.15">
      <c r="A43" s="1009" t="s">
        <v>502</v>
      </c>
      <c r="B43" s="1009"/>
      <c r="C43" s="1009"/>
      <c r="D43" s="1010"/>
      <c r="E43" s="68"/>
      <c r="F43" s="1015"/>
      <c r="G43" s="1015"/>
      <c r="H43" s="1015"/>
      <c r="I43" s="1015"/>
      <c r="J43" s="1015"/>
      <c r="K43" s="1015"/>
      <c r="L43" s="1015"/>
      <c r="M43" s="1015"/>
      <c r="N43" s="1015"/>
      <c r="O43" s="1015"/>
      <c r="P43" s="1015"/>
      <c r="Q43" s="1015"/>
      <c r="R43" s="1015"/>
      <c r="S43" s="696"/>
      <c r="T43" s="678"/>
      <c r="U43" s="1000" t="s">
        <v>523</v>
      </c>
    </row>
    <row r="44" spans="1:22" s="66" customFormat="1" ht="11.45" customHeight="1" x14ac:dyDescent="0.15">
      <c r="A44" s="1011"/>
      <c r="B44" s="1011"/>
      <c r="C44" s="1011"/>
      <c r="D44" s="1012"/>
      <c r="E44" s="68" t="s">
        <v>176</v>
      </c>
      <c r="F44" s="689"/>
      <c r="G44" s="688"/>
      <c r="H44" s="690" t="s">
        <v>175</v>
      </c>
      <c r="I44" s="687"/>
      <c r="J44" s="691"/>
      <c r="K44" s="690" t="s">
        <v>174</v>
      </c>
      <c r="L44" s="687"/>
      <c r="M44" s="688"/>
      <c r="N44" s="690" t="s">
        <v>173</v>
      </c>
      <c r="O44" s="692"/>
      <c r="P44" s="693"/>
      <c r="Q44" s="690" t="s">
        <v>600</v>
      </c>
      <c r="R44" s="687"/>
      <c r="S44" s="697"/>
      <c r="T44" s="694" t="s">
        <v>172</v>
      </c>
      <c r="U44" s="1017"/>
      <c r="V44" s="73"/>
    </row>
    <row r="45" spans="1:22" s="66" customFormat="1" ht="21" customHeight="1" x14ac:dyDescent="0.15">
      <c r="A45" s="1011"/>
      <c r="B45" s="1011"/>
      <c r="C45" s="1011"/>
      <c r="D45" s="1012"/>
      <c r="E45" s="68"/>
      <c r="F45" s="72"/>
      <c r="G45" s="511"/>
      <c r="H45" s="68" t="s">
        <v>171</v>
      </c>
      <c r="I45" s="552"/>
      <c r="J45" s="553"/>
      <c r="K45" s="68" t="s">
        <v>171</v>
      </c>
      <c r="L45" s="567"/>
      <c r="M45" s="568"/>
      <c r="N45" s="68" t="s">
        <v>170</v>
      </c>
      <c r="O45" s="556"/>
      <c r="P45" s="511"/>
      <c r="Q45" s="67" t="s">
        <v>170</v>
      </c>
      <c r="R45" s="71"/>
      <c r="S45" s="70"/>
      <c r="T45" s="512" t="s">
        <v>601</v>
      </c>
      <c r="U45" s="1017"/>
    </row>
    <row r="46" spans="1:22" s="66" customFormat="1" ht="15" customHeight="1" x14ac:dyDescent="0.15">
      <c r="A46" s="1011"/>
      <c r="B46" s="1011"/>
      <c r="C46" s="1011"/>
      <c r="D46" s="1012"/>
      <c r="E46" s="68" t="s">
        <v>415</v>
      </c>
      <c r="F46" s="69" t="s">
        <v>584</v>
      </c>
      <c r="G46" s="69" t="s">
        <v>585</v>
      </c>
      <c r="H46" s="68" t="s">
        <v>602</v>
      </c>
      <c r="I46" s="694" t="s">
        <v>584</v>
      </c>
      <c r="J46" s="694" t="s">
        <v>585</v>
      </c>
      <c r="K46" s="1007" t="s">
        <v>169</v>
      </c>
      <c r="L46" s="694" t="s">
        <v>584</v>
      </c>
      <c r="M46" s="694" t="s">
        <v>585</v>
      </c>
      <c r="N46" s="1007" t="s">
        <v>586</v>
      </c>
      <c r="O46" s="694" t="s">
        <v>584</v>
      </c>
      <c r="P46" s="694" t="s">
        <v>585</v>
      </c>
      <c r="Q46" s="1007" t="s">
        <v>893</v>
      </c>
      <c r="R46" s="694" t="s">
        <v>584</v>
      </c>
      <c r="S46" s="694" t="s">
        <v>585</v>
      </c>
      <c r="T46" s="694" t="s">
        <v>585</v>
      </c>
      <c r="U46" s="1017"/>
    </row>
    <row r="47" spans="1:22" s="66" customFormat="1" ht="14.25" customHeight="1" x14ac:dyDescent="0.15">
      <c r="A47" s="1011"/>
      <c r="B47" s="1011"/>
      <c r="C47" s="1011"/>
      <c r="D47" s="1012"/>
      <c r="E47" s="1007"/>
      <c r="F47" s="1007" t="s">
        <v>587</v>
      </c>
      <c r="G47" s="1007" t="s">
        <v>588</v>
      </c>
      <c r="H47" s="67" t="s">
        <v>48</v>
      </c>
      <c r="I47" s="1007" t="s">
        <v>587</v>
      </c>
      <c r="J47" s="1007" t="s">
        <v>588</v>
      </c>
      <c r="K47" s="1007"/>
      <c r="L47" s="1007" t="s">
        <v>587</v>
      </c>
      <c r="M47" s="1007" t="s">
        <v>588</v>
      </c>
      <c r="N47" s="1007"/>
      <c r="O47" s="1007" t="s">
        <v>587</v>
      </c>
      <c r="P47" s="1007" t="s">
        <v>588</v>
      </c>
      <c r="Q47" s="1007"/>
      <c r="R47" s="1007" t="s">
        <v>587</v>
      </c>
      <c r="S47" s="1007" t="s">
        <v>588</v>
      </c>
      <c r="T47" s="1007" t="s">
        <v>588</v>
      </c>
      <c r="U47" s="1017"/>
    </row>
    <row r="48" spans="1:22" s="66" customFormat="1" ht="11.45" customHeight="1" x14ac:dyDescent="0.15">
      <c r="A48" s="1013"/>
      <c r="B48" s="1013"/>
      <c r="C48" s="1013"/>
      <c r="D48" s="1014"/>
      <c r="E48" s="1019"/>
      <c r="F48" s="1008"/>
      <c r="G48" s="1008"/>
      <c r="H48" s="512"/>
      <c r="I48" s="1008"/>
      <c r="J48" s="1008"/>
      <c r="K48" s="512" t="s">
        <v>415</v>
      </c>
      <c r="L48" s="1008"/>
      <c r="M48" s="1008"/>
      <c r="N48" s="557" t="s">
        <v>415</v>
      </c>
      <c r="O48" s="1008"/>
      <c r="P48" s="1008"/>
      <c r="Q48" s="512" t="s">
        <v>415</v>
      </c>
      <c r="R48" s="1008"/>
      <c r="S48" s="1008"/>
      <c r="T48" s="1008"/>
      <c r="U48" s="558"/>
    </row>
    <row r="49" spans="1:24" s="51" customFormat="1" ht="9.75" customHeight="1" x14ac:dyDescent="0.15">
      <c r="A49" s="695" t="s">
        <v>687</v>
      </c>
      <c r="B49" s="516" t="s">
        <v>875</v>
      </c>
      <c r="C49" s="52"/>
      <c r="D49" s="176"/>
      <c r="E49" s="57">
        <v>10603153</v>
      </c>
      <c r="F49" s="55">
        <v>10481207</v>
      </c>
      <c r="G49" s="55">
        <v>121946</v>
      </c>
      <c r="H49" s="55">
        <v>7998782</v>
      </c>
      <c r="I49" s="55">
        <v>7945265</v>
      </c>
      <c r="J49" s="55">
        <v>53517</v>
      </c>
      <c r="K49" s="55">
        <v>7834</v>
      </c>
      <c r="L49" s="55">
        <v>7834</v>
      </c>
      <c r="M49" s="55" t="s">
        <v>796</v>
      </c>
      <c r="N49" s="55" t="s">
        <v>796</v>
      </c>
      <c r="O49" s="55" t="s">
        <v>796</v>
      </c>
      <c r="P49" s="55" t="s">
        <v>796</v>
      </c>
      <c r="Q49" s="55">
        <v>2557914</v>
      </c>
      <c r="R49" s="55">
        <v>2528108</v>
      </c>
      <c r="S49" s="55">
        <v>29806</v>
      </c>
      <c r="T49" s="54">
        <v>38623</v>
      </c>
      <c r="U49" s="65" t="s">
        <v>876</v>
      </c>
      <c r="V49" s="52"/>
      <c r="W49" s="185"/>
      <c r="X49" s="185"/>
    </row>
    <row r="50" spans="1:24" s="51" customFormat="1" ht="9.75" customHeight="1" x14ac:dyDescent="0.15">
      <c r="A50" s="169" t="s">
        <v>214</v>
      </c>
      <c r="B50" s="516">
        <v>3</v>
      </c>
      <c r="C50" s="52"/>
      <c r="D50" s="176"/>
      <c r="E50" s="57">
        <v>9623233</v>
      </c>
      <c r="F50" s="55">
        <v>9556452</v>
      </c>
      <c r="G50" s="55">
        <v>66781</v>
      </c>
      <c r="H50" s="55">
        <v>8345118</v>
      </c>
      <c r="I50" s="55">
        <v>8328435</v>
      </c>
      <c r="J50" s="55">
        <v>16683</v>
      </c>
      <c r="K50" s="55">
        <v>5901</v>
      </c>
      <c r="L50" s="55">
        <v>5901</v>
      </c>
      <c r="M50" s="55" t="s">
        <v>796</v>
      </c>
      <c r="N50" s="55" t="s">
        <v>796</v>
      </c>
      <c r="O50" s="55" t="s">
        <v>796</v>
      </c>
      <c r="P50" s="55" t="s">
        <v>796</v>
      </c>
      <c r="Q50" s="55">
        <v>1237692</v>
      </c>
      <c r="R50" s="55">
        <v>1222116</v>
      </c>
      <c r="S50" s="55">
        <v>15576</v>
      </c>
      <c r="T50" s="54">
        <v>34522</v>
      </c>
      <c r="U50" s="65" t="s">
        <v>877</v>
      </c>
      <c r="V50" s="52"/>
      <c r="W50" s="185"/>
      <c r="X50" s="185"/>
    </row>
    <row r="51" spans="1:24" s="51" customFormat="1" ht="9.75" customHeight="1" x14ac:dyDescent="0.15">
      <c r="A51" s="169" t="s">
        <v>214</v>
      </c>
      <c r="B51" s="516">
        <v>4</v>
      </c>
      <c r="C51" s="52"/>
      <c r="D51" s="176"/>
      <c r="E51" s="57">
        <v>11362314</v>
      </c>
      <c r="F51" s="55">
        <v>11290857</v>
      </c>
      <c r="G51" s="55">
        <v>71457</v>
      </c>
      <c r="H51" s="55">
        <v>8920402</v>
      </c>
      <c r="I51" s="55">
        <v>8895856</v>
      </c>
      <c r="J51" s="55">
        <v>24546</v>
      </c>
      <c r="K51" s="55">
        <v>5361</v>
      </c>
      <c r="L51" s="55">
        <v>5361</v>
      </c>
      <c r="M51" s="55" t="s">
        <v>796</v>
      </c>
      <c r="N51" s="55" t="s">
        <v>796</v>
      </c>
      <c r="O51" s="55" t="s">
        <v>796</v>
      </c>
      <c r="P51" s="55" t="s">
        <v>796</v>
      </c>
      <c r="Q51" s="55">
        <v>2408940</v>
      </c>
      <c r="R51" s="55">
        <v>2389640</v>
      </c>
      <c r="S51" s="55">
        <v>19300</v>
      </c>
      <c r="T51" s="54">
        <v>27611</v>
      </c>
      <c r="U51" s="65" t="s">
        <v>878</v>
      </c>
      <c r="V51" s="52"/>
      <c r="W51" s="185"/>
      <c r="X51" s="185"/>
    </row>
    <row r="52" spans="1:24" s="51" customFormat="1" ht="9.75" customHeight="1" x14ac:dyDescent="0.15">
      <c r="A52" s="169" t="s">
        <v>214</v>
      </c>
      <c r="B52" s="516">
        <v>5</v>
      </c>
      <c r="C52" s="52"/>
      <c r="D52" s="176"/>
      <c r="E52" s="57">
        <v>11404745</v>
      </c>
      <c r="F52" s="55">
        <v>11343754</v>
      </c>
      <c r="G52" s="55">
        <v>60991</v>
      </c>
      <c r="H52" s="55">
        <v>8517062</v>
      </c>
      <c r="I52" s="55">
        <v>8505071</v>
      </c>
      <c r="J52" s="55">
        <v>11991</v>
      </c>
      <c r="K52" s="55">
        <v>6525</v>
      </c>
      <c r="L52" s="55">
        <v>6525</v>
      </c>
      <c r="M52" s="55" t="s">
        <v>796</v>
      </c>
      <c r="N52" s="55" t="s">
        <v>796</v>
      </c>
      <c r="O52" s="55" t="s">
        <v>796</v>
      </c>
      <c r="P52" s="55" t="s">
        <v>796</v>
      </c>
      <c r="Q52" s="55">
        <v>2850984</v>
      </c>
      <c r="R52" s="55">
        <v>2832158</v>
      </c>
      <c r="S52" s="55">
        <v>18826</v>
      </c>
      <c r="T52" s="54">
        <v>30174</v>
      </c>
      <c r="U52" s="65" t="s">
        <v>809</v>
      </c>
      <c r="V52" s="52"/>
      <c r="W52" s="185"/>
      <c r="X52" s="185"/>
    </row>
    <row r="53" spans="1:24" s="51" customFormat="1" ht="9.75" customHeight="1" x14ac:dyDescent="0.15">
      <c r="A53" s="169" t="s">
        <v>214</v>
      </c>
      <c r="B53" s="516">
        <v>6</v>
      </c>
      <c r="C53" s="52"/>
      <c r="D53" s="176"/>
      <c r="E53" s="57">
        <v>9564801</v>
      </c>
      <c r="F53" s="55">
        <v>9487670</v>
      </c>
      <c r="G53" s="55">
        <v>77131</v>
      </c>
      <c r="H53" s="55">
        <v>6868851</v>
      </c>
      <c r="I53" s="55">
        <v>6846307</v>
      </c>
      <c r="J53" s="55">
        <v>22544</v>
      </c>
      <c r="K53" s="55">
        <v>2829</v>
      </c>
      <c r="L53" s="55">
        <v>2829</v>
      </c>
      <c r="M53" s="55" t="s">
        <v>796</v>
      </c>
      <c r="N53" s="55" t="s">
        <v>796</v>
      </c>
      <c r="O53" s="55" t="s">
        <v>796</v>
      </c>
      <c r="P53" s="55" t="s">
        <v>796</v>
      </c>
      <c r="Q53" s="55">
        <v>2663761</v>
      </c>
      <c r="R53" s="55">
        <v>2638534</v>
      </c>
      <c r="S53" s="55">
        <v>25227</v>
      </c>
      <c r="T53" s="54">
        <v>29360</v>
      </c>
      <c r="U53" s="65" t="s">
        <v>879</v>
      </c>
      <c r="V53" s="52"/>
      <c r="W53" s="185"/>
      <c r="X53" s="185"/>
    </row>
    <row r="54" spans="1:24" s="51" customFormat="1" ht="9.75" customHeight="1" x14ac:dyDescent="0.15">
      <c r="A54" s="169"/>
      <c r="B54" s="169"/>
      <c r="C54" s="514"/>
      <c r="D54" s="172"/>
      <c r="E54" s="57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4"/>
      <c r="U54" s="59"/>
      <c r="V54" s="52"/>
      <c r="W54" s="185"/>
      <c r="X54" s="185"/>
    </row>
    <row r="55" spans="1:24" s="51" customFormat="1" ht="9.75" customHeight="1" x14ac:dyDescent="0.15">
      <c r="A55" s="516" t="s">
        <v>687</v>
      </c>
      <c r="B55" s="516" t="s">
        <v>880</v>
      </c>
      <c r="C55" s="467"/>
      <c r="D55" s="174"/>
      <c r="E55" s="57">
        <v>9978300</v>
      </c>
      <c r="F55" s="55">
        <v>9915396</v>
      </c>
      <c r="G55" s="55">
        <v>62904</v>
      </c>
      <c r="H55" s="55">
        <v>7214879</v>
      </c>
      <c r="I55" s="55">
        <v>7204672</v>
      </c>
      <c r="J55" s="55">
        <v>10207</v>
      </c>
      <c r="K55" s="55">
        <v>1829</v>
      </c>
      <c r="L55" s="55">
        <v>1829</v>
      </c>
      <c r="M55" s="55" t="s">
        <v>796</v>
      </c>
      <c r="N55" s="55" t="s">
        <v>796</v>
      </c>
      <c r="O55" s="55" t="s">
        <v>796</v>
      </c>
      <c r="P55" s="55" t="s">
        <v>796</v>
      </c>
      <c r="Q55" s="55">
        <v>2729265</v>
      </c>
      <c r="R55" s="55">
        <v>2708895</v>
      </c>
      <c r="S55" s="55">
        <v>20370</v>
      </c>
      <c r="T55" s="54">
        <v>32327</v>
      </c>
      <c r="U55" s="64" t="s">
        <v>881</v>
      </c>
      <c r="V55" s="55"/>
      <c r="W55" s="55"/>
      <c r="X55" s="185"/>
    </row>
    <row r="56" spans="1:24" s="51" customFormat="1" ht="9.75" customHeight="1" x14ac:dyDescent="0.15">
      <c r="A56" s="169" t="s">
        <v>214</v>
      </c>
      <c r="B56" s="516">
        <v>6</v>
      </c>
      <c r="C56" s="467"/>
      <c r="D56" s="174"/>
      <c r="E56" s="57">
        <v>11382081</v>
      </c>
      <c r="F56" s="55">
        <v>11297111</v>
      </c>
      <c r="G56" s="55">
        <v>84970</v>
      </c>
      <c r="H56" s="55">
        <v>8108010</v>
      </c>
      <c r="I56" s="55">
        <v>8084359</v>
      </c>
      <c r="J56" s="55">
        <v>23651</v>
      </c>
      <c r="K56" s="55">
        <v>1805</v>
      </c>
      <c r="L56" s="55">
        <v>1805</v>
      </c>
      <c r="M56" s="55" t="s">
        <v>796</v>
      </c>
      <c r="N56" s="55" t="s">
        <v>796</v>
      </c>
      <c r="O56" s="55" t="s">
        <v>796</v>
      </c>
      <c r="P56" s="55" t="s">
        <v>796</v>
      </c>
      <c r="Q56" s="55">
        <v>3239882</v>
      </c>
      <c r="R56" s="55">
        <v>3210947</v>
      </c>
      <c r="S56" s="55">
        <v>28935</v>
      </c>
      <c r="T56" s="54">
        <v>32384</v>
      </c>
      <c r="U56" s="64" t="s">
        <v>882</v>
      </c>
      <c r="V56" s="52"/>
      <c r="W56" s="185"/>
      <c r="X56" s="185"/>
    </row>
    <row r="57" spans="1:24" s="51" customFormat="1" ht="9.75" customHeight="1" x14ac:dyDescent="0.15">
      <c r="A57" s="169"/>
      <c r="B57" s="169"/>
      <c r="C57" s="514"/>
      <c r="D57" s="172"/>
      <c r="E57" s="57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4"/>
      <c r="U57" s="59"/>
      <c r="V57" s="52"/>
      <c r="W57" s="185"/>
      <c r="X57" s="185"/>
    </row>
    <row r="58" spans="1:24" s="51" customFormat="1" ht="9.75" customHeight="1" x14ac:dyDescent="0.15">
      <c r="A58" s="516" t="s">
        <v>687</v>
      </c>
      <c r="B58" s="516" t="s">
        <v>797</v>
      </c>
      <c r="C58" s="516" t="s">
        <v>604</v>
      </c>
      <c r="D58" s="174"/>
      <c r="E58" s="57">
        <v>9978300</v>
      </c>
      <c r="F58" s="55">
        <v>9915396</v>
      </c>
      <c r="G58" s="55">
        <v>62904</v>
      </c>
      <c r="H58" s="55">
        <v>7214879</v>
      </c>
      <c r="I58" s="55">
        <v>7204672</v>
      </c>
      <c r="J58" s="55">
        <v>10207</v>
      </c>
      <c r="K58" s="55">
        <v>1829</v>
      </c>
      <c r="L58" s="55">
        <v>1829</v>
      </c>
      <c r="M58" s="55" t="s">
        <v>796</v>
      </c>
      <c r="N58" s="55" t="s">
        <v>796</v>
      </c>
      <c r="O58" s="55" t="s">
        <v>796</v>
      </c>
      <c r="P58" s="55" t="s">
        <v>796</v>
      </c>
      <c r="Q58" s="55">
        <v>2729265</v>
      </c>
      <c r="R58" s="55">
        <v>2708895</v>
      </c>
      <c r="S58" s="55">
        <v>20370</v>
      </c>
      <c r="T58" s="54">
        <v>32327</v>
      </c>
      <c r="U58" s="60" t="s">
        <v>883</v>
      </c>
      <c r="V58" s="52"/>
      <c r="W58" s="185"/>
      <c r="X58" s="185"/>
    </row>
    <row r="59" spans="1:24" s="51" customFormat="1" ht="9.75" customHeight="1" x14ac:dyDescent="0.15">
      <c r="A59" s="169" t="s">
        <v>214</v>
      </c>
      <c r="B59" s="169" t="s">
        <v>214</v>
      </c>
      <c r="C59" s="516" t="s">
        <v>605</v>
      </c>
      <c r="D59" s="174"/>
      <c r="E59" s="57">
        <v>10099548</v>
      </c>
      <c r="F59" s="55">
        <v>10022529</v>
      </c>
      <c r="G59" s="55">
        <v>77019</v>
      </c>
      <c r="H59" s="55">
        <v>7243967</v>
      </c>
      <c r="I59" s="55">
        <v>7225258</v>
      </c>
      <c r="J59" s="55">
        <v>18709</v>
      </c>
      <c r="K59" s="55">
        <v>2825</v>
      </c>
      <c r="L59" s="55">
        <v>2825</v>
      </c>
      <c r="M59" s="55" t="s">
        <v>796</v>
      </c>
      <c r="N59" s="55" t="s">
        <v>796</v>
      </c>
      <c r="O59" s="55" t="s">
        <v>796</v>
      </c>
      <c r="P59" s="55" t="s">
        <v>796</v>
      </c>
      <c r="Q59" s="55">
        <v>2816891</v>
      </c>
      <c r="R59" s="55">
        <v>2794446</v>
      </c>
      <c r="S59" s="55">
        <v>22445</v>
      </c>
      <c r="T59" s="54">
        <v>35865</v>
      </c>
      <c r="U59" s="63" t="s">
        <v>884</v>
      </c>
      <c r="V59" s="52"/>
      <c r="W59" s="185"/>
      <c r="X59" s="185"/>
    </row>
    <row r="60" spans="1:24" s="51" customFormat="1" ht="9.75" customHeight="1" x14ac:dyDescent="0.15">
      <c r="A60" s="169" t="s">
        <v>214</v>
      </c>
      <c r="B60" s="169" t="s">
        <v>214</v>
      </c>
      <c r="C60" s="516" t="s">
        <v>606</v>
      </c>
      <c r="D60" s="174"/>
      <c r="E60" s="57">
        <v>11148587</v>
      </c>
      <c r="F60" s="55">
        <v>11066557</v>
      </c>
      <c r="G60" s="55">
        <v>82030</v>
      </c>
      <c r="H60" s="55">
        <v>7633176</v>
      </c>
      <c r="I60" s="55">
        <v>7612704</v>
      </c>
      <c r="J60" s="55">
        <v>20472</v>
      </c>
      <c r="K60" s="55">
        <v>2313</v>
      </c>
      <c r="L60" s="55">
        <v>2313</v>
      </c>
      <c r="M60" s="55" t="s">
        <v>796</v>
      </c>
      <c r="N60" s="55" t="s">
        <v>796</v>
      </c>
      <c r="O60" s="55" t="s">
        <v>796</v>
      </c>
      <c r="P60" s="55" t="s">
        <v>796</v>
      </c>
      <c r="Q60" s="55">
        <v>3477688</v>
      </c>
      <c r="R60" s="55">
        <v>3451540</v>
      </c>
      <c r="S60" s="55">
        <v>26148</v>
      </c>
      <c r="T60" s="54">
        <v>35410</v>
      </c>
      <c r="U60" s="62" t="s">
        <v>885</v>
      </c>
      <c r="V60" s="52"/>
      <c r="W60" s="185"/>
      <c r="X60" s="185"/>
    </row>
    <row r="61" spans="1:24" s="51" customFormat="1" ht="9.75" customHeight="1" x14ac:dyDescent="0.15">
      <c r="A61" s="169" t="s">
        <v>214</v>
      </c>
      <c r="B61" s="169" t="s">
        <v>214</v>
      </c>
      <c r="C61" s="516" t="s">
        <v>524</v>
      </c>
      <c r="D61" s="174"/>
      <c r="E61" s="57">
        <v>9564801</v>
      </c>
      <c r="F61" s="55">
        <v>9487670</v>
      </c>
      <c r="G61" s="55">
        <v>77131</v>
      </c>
      <c r="H61" s="55">
        <v>6868851</v>
      </c>
      <c r="I61" s="55">
        <v>6846307</v>
      </c>
      <c r="J61" s="55">
        <v>22544</v>
      </c>
      <c r="K61" s="55">
        <v>2829</v>
      </c>
      <c r="L61" s="55">
        <v>2829</v>
      </c>
      <c r="M61" s="55" t="s">
        <v>796</v>
      </c>
      <c r="N61" s="55" t="s">
        <v>796</v>
      </c>
      <c r="O61" s="55" t="s">
        <v>796</v>
      </c>
      <c r="P61" s="55" t="s">
        <v>796</v>
      </c>
      <c r="Q61" s="55">
        <v>2663761</v>
      </c>
      <c r="R61" s="55">
        <v>2638534</v>
      </c>
      <c r="S61" s="55">
        <v>25227</v>
      </c>
      <c r="T61" s="54">
        <v>29360</v>
      </c>
      <c r="U61" s="61" t="s">
        <v>886</v>
      </c>
      <c r="V61" s="52"/>
      <c r="W61" s="185"/>
      <c r="X61" s="185"/>
    </row>
    <row r="62" spans="1:24" s="51" customFormat="1" ht="9.75" customHeight="1" x14ac:dyDescent="0.15">
      <c r="A62" s="516" t="s">
        <v>687</v>
      </c>
      <c r="B62" s="516" t="s">
        <v>887</v>
      </c>
      <c r="C62" s="516" t="s">
        <v>888</v>
      </c>
      <c r="D62" s="174"/>
      <c r="E62" s="57">
        <v>11382081</v>
      </c>
      <c r="F62" s="55">
        <v>11297111</v>
      </c>
      <c r="G62" s="55">
        <v>84970</v>
      </c>
      <c r="H62" s="55">
        <v>8108010</v>
      </c>
      <c r="I62" s="55">
        <v>8084359</v>
      </c>
      <c r="J62" s="55">
        <v>23651</v>
      </c>
      <c r="K62" s="55">
        <v>1805</v>
      </c>
      <c r="L62" s="55">
        <v>1805</v>
      </c>
      <c r="M62" s="55" t="s">
        <v>796</v>
      </c>
      <c r="N62" s="55" t="s">
        <v>796</v>
      </c>
      <c r="O62" s="55" t="s">
        <v>796</v>
      </c>
      <c r="P62" s="55" t="s">
        <v>796</v>
      </c>
      <c r="Q62" s="55">
        <v>3239882</v>
      </c>
      <c r="R62" s="55">
        <v>3210947</v>
      </c>
      <c r="S62" s="55">
        <v>28935</v>
      </c>
      <c r="T62" s="54">
        <v>32384</v>
      </c>
      <c r="U62" s="60" t="s">
        <v>889</v>
      </c>
      <c r="V62" s="52"/>
      <c r="W62" s="185"/>
      <c r="X62" s="185"/>
    </row>
    <row r="63" spans="1:24" s="51" customFormat="1" ht="9.75" customHeight="1" x14ac:dyDescent="0.15">
      <c r="A63" s="169"/>
      <c r="B63" s="169"/>
      <c r="C63" s="514"/>
      <c r="D63" s="172"/>
      <c r="E63" s="57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4"/>
      <c r="U63" s="59"/>
      <c r="V63" s="52"/>
      <c r="W63" s="185"/>
      <c r="X63" s="185"/>
    </row>
    <row r="64" spans="1:24" s="51" customFormat="1" ht="9.75" customHeight="1" x14ac:dyDescent="0.15">
      <c r="A64" s="516" t="s">
        <v>687</v>
      </c>
      <c r="B64" s="516" t="s">
        <v>797</v>
      </c>
      <c r="C64" s="169" t="s">
        <v>589</v>
      </c>
      <c r="D64" s="168"/>
      <c r="E64" s="57">
        <v>10600600</v>
      </c>
      <c r="F64" s="55">
        <v>10526156</v>
      </c>
      <c r="G64" s="55">
        <v>74444</v>
      </c>
      <c r="H64" s="55">
        <v>7720243</v>
      </c>
      <c r="I64" s="55">
        <v>7701790</v>
      </c>
      <c r="J64" s="55">
        <v>18453</v>
      </c>
      <c r="K64" s="55">
        <v>5788</v>
      </c>
      <c r="L64" s="55">
        <v>5788</v>
      </c>
      <c r="M64" s="55" t="s">
        <v>796</v>
      </c>
      <c r="N64" s="55" t="s">
        <v>796</v>
      </c>
      <c r="O64" s="55" t="s">
        <v>796</v>
      </c>
      <c r="P64" s="55" t="s">
        <v>796</v>
      </c>
      <c r="Q64" s="56">
        <v>2844812</v>
      </c>
      <c r="R64" s="56">
        <v>2818578</v>
      </c>
      <c r="S64" s="55">
        <v>26234</v>
      </c>
      <c r="T64" s="54">
        <v>29757</v>
      </c>
      <c r="U64" s="58" t="s">
        <v>890</v>
      </c>
      <c r="V64" s="52"/>
      <c r="W64" s="185"/>
      <c r="X64" s="185"/>
    </row>
    <row r="65" spans="1:24" s="51" customFormat="1" ht="9.75" customHeight="1" x14ac:dyDescent="0.15">
      <c r="A65" s="169" t="s">
        <v>214</v>
      </c>
      <c r="B65" s="169" t="s">
        <v>214</v>
      </c>
      <c r="C65" s="169" t="s">
        <v>590</v>
      </c>
      <c r="D65" s="168"/>
      <c r="E65" s="57">
        <v>10518649</v>
      </c>
      <c r="F65" s="55">
        <v>10451601</v>
      </c>
      <c r="G65" s="55">
        <v>67048</v>
      </c>
      <c r="H65" s="55">
        <v>7926515</v>
      </c>
      <c r="I65" s="55">
        <v>7912101</v>
      </c>
      <c r="J65" s="55">
        <v>14414</v>
      </c>
      <c r="K65" s="55">
        <v>5131</v>
      </c>
      <c r="L65" s="55">
        <v>5131</v>
      </c>
      <c r="M65" s="55" t="s">
        <v>796</v>
      </c>
      <c r="N65" s="55" t="s">
        <v>796</v>
      </c>
      <c r="O65" s="55" t="s">
        <v>796</v>
      </c>
      <c r="P65" s="55" t="s">
        <v>796</v>
      </c>
      <c r="Q65" s="56">
        <v>2552941</v>
      </c>
      <c r="R65" s="56">
        <v>2534369</v>
      </c>
      <c r="S65" s="55">
        <v>18572</v>
      </c>
      <c r="T65" s="54">
        <v>34062</v>
      </c>
      <c r="U65" s="53" t="s">
        <v>397</v>
      </c>
      <c r="V65" s="52"/>
      <c r="W65" s="185"/>
      <c r="X65" s="185"/>
    </row>
    <row r="66" spans="1:24" s="51" customFormat="1" ht="9.75" customHeight="1" x14ac:dyDescent="0.15">
      <c r="A66" s="169" t="s">
        <v>214</v>
      </c>
      <c r="B66" s="169" t="s">
        <v>214</v>
      </c>
      <c r="C66" s="169" t="s">
        <v>591</v>
      </c>
      <c r="D66" s="168"/>
      <c r="E66" s="57">
        <v>9978300</v>
      </c>
      <c r="F66" s="55">
        <v>9915396</v>
      </c>
      <c r="G66" s="55">
        <v>62904</v>
      </c>
      <c r="H66" s="55">
        <v>7214879</v>
      </c>
      <c r="I66" s="55">
        <v>7204672</v>
      </c>
      <c r="J66" s="55">
        <v>10207</v>
      </c>
      <c r="K66" s="55">
        <v>1829</v>
      </c>
      <c r="L66" s="55">
        <v>1829</v>
      </c>
      <c r="M66" s="55" t="s">
        <v>796</v>
      </c>
      <c r="N66" s="55" t="s">
        <v>796</v>
      </c>
      <c r="O66" s="55" t="s">
        <v>796</v>
      </c>
      <c r="P66" s="55" t="s">
        <v>796</v>
      </c>
      <c r="Q66" s="56">
        <v>2729265</v>
      </c>
      <c r="R66" s="56">
        <v>2708895</v>
      </c>
      <c r="S66" s="55">
        <v>20370</v>
      </c>
      <c r="T66" s="54">
        <v>32327</v>
      </c>
      <c r="U66" s="53" t="s">
        <v>398</v>
      </c>
      <c r="V66" s="52"/>
      <c r="W66" s="185"/>
      <c r="X66" s="185"/>
    </row>
    <row r="67" spans="1:24" s="51" customFormat="1" ht="9.75" customHeight="1" x14ac:dyDescent="0.15">
      <c r="A67" s="169" t="s">
        <v>214</v>
      </c>
      <c r="B67" s="169" t="s">
        <v>214</v>
      </c>
      <c r="C67" s="169" t="s">
        <v>592</v>
      </c>
      <c r="D67" s="168"/>
      <c r="E67" s="57">
        <v>10801327</v>
      </c>
      <c r="F67" s="55">
        <v>10736896</v>
      </c>
      <c r="G67" s="55">
        <v>64431</v>
      </c>
      <c r="H67" s="55">
        <v>8158743</v>
      </c>
      <c r="I67" s="55">
        <v>8146720</v>
      </c>
      <c r="J67" s="55">
        <v>12023</v>
      </c>
      <c r="K67" s="55">
        <v>5200</v>
      </c>
      <c r="L67" s="55">
        <v>5200</v>
      </c>
      <c r="M67" s="55" t="s">
        <v>796</v>
      </c>
      <c r="N67" s="55" t="s">
        <v>796</v>
      </c>
      <c r="O67" s="55" t="s">
        <v>796</v>
      </c>
      <c r="P67" s="55" t="s">
        <v>796</v>
      </c>
      <c r="Q67" s="56">
        <v>2600892</v>
      </c>
      <c r="R67" s="56">
        <v>2584976</v>
      </c>
      <c r="S67" s="55">
        <v>15916</v>
      </c>
      <c r="T67" s="54">
        <v>36492</v>
      </c>
      <c r="U67" s="53" t="s">
        <v>399</v>
      </c>
      <c r="V67" s="52"/>
      <c r="W67" s="185"/>
      <c r="X67" s="185"/>
    </row>
    <row r="68" spans="1:24" s="51" customFormat="1" ht="9.75" customHeight="1" x14ac:dyDescent="0.15">
      <c r="A68" s="169" t="s">
        <v>214</v>
      </c>
      <c r="B68" s="169" t="s">
        <v>214</v>
      </c>
      <c r="C68" s="169" t="s">
        <v>593</v>
      </c>
      <c r="D68" s="168"/>
      <c r="E68" s="57">
        <v>9823932</v>
      </c>
      <c r="F68" s="55">
        <v>9744959</v>
      </c>
      <c r="G68" s="55">
        <v>78973</v>
      </c>
      <c r="H68" s="55">
        <v>7159448</v>
      </c>
      <c r="I68" s="55">
        <v>7137882</v>
      </c>
      <c r="J68" s="55">
        <v>21566</v>
      </c>
      <c r="K68" s="55">
        <v>2952</v>
      </c>
      <c r="L68" s="55">
        <v>2952</v>
      </c>
      <c r="M68" s="55" t="s">
        <v>796</v>
      </c>
      <c r="N68" s="55" t="s">
        <v>796</v>
      </c>
      <c r="O68" s="55" t="s">
        <v>796</v>
      </c>
      <c r="P68" s="55" t="s">
        <v>796</v>
      </c>
      <c r="Q68" s="56">
        <v>2624185</v>
      </c>
      <c r="R68" s="56">
        <v>2604125</v>
      </c>
      <c r="S68" s="55">
        <v>20060</v>
      </c>
      <c r="T68" s="54">
        <v>37347</v>
      </c>
      <c r="U68" s="53" t="s">
        <v>891</v>
      </c>
      <c r="V68" s="52"/>
      <c r="W68" s="185"/>
      <c r="X68" s="185"/>
    </row>
    <row r="69" spans="1:24" s="51" customFormat="1" ht="9.75" customHeight="1" x14ac:dyDescent="0.15">
      <c r="A69" s="169" t="s">
        <v>214</v>
      </c>
      <c r="B69" s="169" t="s">
        <v>214</v>
      </c>
      <c r="C69" s="169" t="s">
        <v>594</v>
      </c>
      <c r="D69" s="168"/>
      <c r="E69" s="57">
        <v>10099548</v>
      </c>
      <c r="F69" s="55">
        <v>10022529</v>
      </c>
      <c r="G69" s="55">
        <v>77019</v>
      </c>
      <c r="H69" s="55">
        <v>7243967</v>
      </c>
      <c r="I69" s="55">
        <v>7225258</v>
      </c>
      <c r="J69" s="55">
        <v>18709</v>
      </c>
      <c r="K69" s="55">
        <v>2825</v>
      </c>
      <c r="L69" s="55">
        <v>2825</v>
      </c>
      <c r="M69" s="55" t="s">
        <v>796</v>
      </c>
      <c r="N69" s="55" t="s">
        <v>796</v>
      </c>
      <c r="O69" s="55" t="s">
        <v>796</v>
      </c>
      <c r="P69" s="55" t="s">
        <v>796</v>
      </c>
      <c r="Q69" s="56">
        <v>2816891</v>
      </c>
      <c r="R69" s="56">
        <v>2794446</v>
      </c>
      <c r="S69" s="55">
        <v>22445</v>
      </c>
      <c r="T69" s="54">
        <v>35865</v>
      </c>
      <c r="U69" s="53" t="s">
        <v>400</v>
      </c>
      <c r="V69" s="52"/>
      <c r="W69" s="185"/>
      <c r="X69" s="185"/>
    </row>
    <row r="70" spans="1:24" s="51" customFormat="1" ht="9.75" customHeight="1" x14ac:dyDescent="0.15">
      <c r="A70" s="169" t="s">
        <v>214</v>
      </c>
      <c r="B70" s="169" t="s">
        <v>214</v>
      </c>
      <c r="C70" s="169" t="s">
        <v>595</v>
      </c>
      <c r="D70" s="168"/>
      <c r="E70" s="57">
        <v>10609452</v>
      </c>
      <c r="F70" s="55">
        <v>10534040</v>
      </c>
      <c r="G70" s="55">
        <v>75412</v>
      </c>
      <c r="H70" s="55">
        <v>7458169</v>
      </c>
      <c r="I70" s="55">
        <v>7434413</v>
      </c>
      <c r="J70" s="55">
        <v>23756</v>
      </c>
      <c r="K70" s="55">
        <v>5739</v>
      </c>
      <c r="L70" s="55">
        <v>5739</v>
      </c>
      <c r="M70" s="55" t="s">
        <v>796</v>
      </c>
      <c r="N70" s="55" t="s">
        <v>796</v>
      </c>
      <c r="O70" s="55" t="s">
        <v>796</v>
      </c>
      <c r="P70" s="55" t="s">
        <v>796</v>
      </c>
      <c r="Q70" s="56">
        <v>3114734</v>
      </c>
      <c r="R70" s="56">
        <v>3093888</v>
      </c>
      <c r="S70" s="55">
        <v>20846</v>
      </c>
      <c r="T70" s="54">
        <v>30810</v>
      </c>
      <c r="U70" s="53" t="s">
        <v>401</v>
      </c>
      <c r="V70" s="52"/>
      <c r="W70" s="185"/>
      <c r="X70" s="185"/>
    </row>
    <row r="71" spans="1:24" s="51" customFormat="1" ht="9.75" customHeight="1" x14ac:dyDescent="0.15">
      <c r="A71" s="169" t="s">
        <v>214</v>
      </c>
      <c r="B71" s="169" t="s">
        <v>214</v>
      </c>
      <c r="C71" s="169" t="s">
        <v>596</v>
      </c>
      <c r="D71" s="168"/>
      <c r="E71" s="57">
        <v>10856992</v>
      </c>
      <c r="F71" s="55">
        <v>10783041</v>
      </c>
      <c r="G71" s="55">
        <v>73951</v>
      </c>
      <c r="H71" s="55">
        <v>7486333</v>
      </c>
      <c r="I71" s="55">
        <v>7464652</v>
      </c>
      <c r="J71" s="55">
        <v>21681</v>
      </c>
      <c r="K71" s="55">
        <v>4990</v>
      </c>
      <c r="L71" s="55">
        <v>4990</v>
      </c>
      <c r="M71" s="55" t="s">
        <v>796</v>
      </c>
      <c r="N71" s="55" t="s">
        <v>796</v>
      </c>
      <c r="O71" s="55" t="s">
        <v>796</v>
      </c>
      <c r="P71" s="55" t="s">
        <v>796</v>
      </c>
      <c r="Q71" s="56">
        <v>3333610</v>
      </c>
      <c r="R71" s="56">
        <v>3313399</v>
      </c>
      <c r="S71" s="55">
        <v>20211</v>
      </c>
      <c r="T71" s="54">
        <v>32059</v>
      </c>
      <c r="U71" s="53" t="s">
        <v>402</v>
      </c>
      <c r="V71" s="52"/>
      <c r="W71" s="185"/>
      <c r="X71" s="185"/>
    </row>
    <row r="72" spans="1:24" s="51" customFormat="1" ht="9.75" customHeight="1" x14ac:dyDescent="0.15">
      <c r="A72" s="169" t="s">
        <v>214</v>
      </c>
      <c r="B72" s="169" t="s">
        <v>214</v>
      </c>
      <c r="C72" s="169" t="s">
        <v>597</v>
      </c>
      <c r="D72" s="168"/>
      <c r="E72" s="57">
        <v>11148587</v>
      </c>
      <c r="F72" s="55">
        <v>11066557</v>
      </c>
      <c r="G72" s="55">
        <v>82030</v>
      </c>
      <c r="H72" s="55">
        <v>7633176</v>
      </c>
      <c r="I72" s="55">
        <v>7612704</v>
      </c>
      <c r="J72" s="55">
        <v>20472</v>
      </c>
      <c r="K72" s="55">
        <v>2313</v>
      </c>
      <c r="L72" s="55">
        <v>2313</v>
      </c>
      <c r="M72" s="55" t="s">
        <v>796</v>
      </c>
      <c r="N72" s="55" t="s">
        <v>796</v>
      </c>
      <c r="O72" s="55" t="s">
        <v>796</v>
      </c>
      <c r="P72" s="55" t="s">
        <v>796</v>
      </c>
      <c r="Q72" s="56">
        <v>3477688</v>
      </c>
      <c r="R72" s="56">
        <v>3451540</v>
      </c>
      <c r="S72" s="55">
        <v>26148</v>
      </c>
      <c r="T72" s="54">
        <v>35410</v>
      </c>
      <c r="U72" s="53" t="s">
        <v>403</v>
      </c>
      <c r="V72" s="52"/>
      <c r="W72" s="185"/>
      <c r="X72" s="185"/>
    </row>
    <row r="73" spans="1:24" s="51" customFormat="1" ht="9.75" customHeight="1" x14ac:dyDescent="0.15">
      <c r="A73" s="169" t="s">
        <v>214</v>
      </c>
      <c r="B73" s="169" t="s">
        <v>214</v>
      </c>
      <c r="C73" s="468" t="s">
        <v>688</v>
      </c>
      <c r="D73" s="168"/>
      <c r="E73" s="57">
        <v>10227890</v>
      </c>
      <c r="F73" s="55">
        <v>10141129</v>
      </c>
      <c r="G73" s="55">
        <v>86761</v>
      </c>
      <c r="H73" s="55">
        <v>7296812</v>
      </c>
      <c r="I73" s="55">
        <v>7261838</v>
      </c>
      <c r="J73" s="55">
        <v>34974</v>
      </c>
      <c r="K73" s="55">
        <v>2847</v>
      </c>
      <c r="L73" s="55">
        <v>2847</v>
      </c>
      <c r="M73" s="55" t="s">
        <v>796</v>
      </c>
      <c r="N73" s="55" t="s">
        <v>796</v>
      </c>
      <c r="O73" s="55" t="s">
        <v>796</v>
      </c>
      <c r="P73" s="55" t="s">
        <v>796</v>
      </c>
      <c r="Q73" s="56">
        <v>2899005</v>
      </c>
      <c r="R73" s="56">
        <v>2876444</v>
      </c>
      <c r="S73" s="55">
        <v>22561</v>
      </c>
      <c r="T73" s="54">
        <v>29226</v>
      </c>
      <c r="U73" s="53" t="s">
        <v>404</v>
      </c>
      <c r="V73" s="52"/>
      <c r="W73" s="185"/>
      <c r="X73" s="185"/>
    </row>
    <row r="74" spans="1:24" s="51" customFormat="1" ht="9.75" customHeight="1" x14ac:dyDescent="0.15">
      <c r="A74" s="169" t="s">
        <v>214</v>
      </c>
      <c r="B74" s="169" t="s">
        <v>214</v>
      </c>
      <c r="C74" s="468" t="s">
        <v>689</v>
      </c>
      <c r="D74" s="168"/>
      <c r="E74" s="57">
        <v>9885869</v>
      </c>
      <c r="F74" s="55">
        <v>9809322</v>
      </c>
      <c r="G74" s="55">
        <v>76547</v>
      </c>
      <c r="H74" s="55">
        <v>6967923</v>
      </c>
      <c r="I74" s="55">
        <v>6944739</v>
      </c>
      <c r="J74" s="55">
        <v>23184</v>
      </c>
      <c r="K74" s="55">
        <v>2624</v>
      </c>
      <c r="L74" s="55">
        <v>2624</v>
      </c>
      <c r="M74" s="55" t="s">
        <v>796</v>
      </c>
      <c r="N74" s="55" t="s">
        <v>796</v>
      </c>
      <c r="O74" s="55" t="s">
        <v>796</v>
      </c>
      <c r="P74" s="55" t="s">
        <v>796</v>
      </c>
      <c r="Q74" s="56">
        <v>2881632</v>
      </c>
      <c r="R74" s="56">
        <v>2861959</v>
      </c>
      <c r="S74" s="55">
        <v>19673</v>
      </c>
      <c r="T74" s="54">
        <v>33690</v>
      </c>
      <c r="U74" s="53" t="s">
        <v>405</v>
      </c>
      <c r="V74" s="52"/>
      <c r="W74" s="185"/>
      <c r="X74" s="185"/>
    </row>
    <row r="75" spans="1:24" s="51" customFormat="1" ht="9.75" customHeight="1" x14ac:dyDescent="0.15">
      <c r="A75" s="169" t="s">
        <v>214</v>
      </c>
      <c r="B75" s="169" t="s">
        <v>214</v>
      </c>
      <c r="C75" s="468" t="s">
        <v>690</v>
      </c>
      <c r="D75" s="168"/>
      <c r="E75" s="57">
        <v>9564801</v>
      </c>
      <c r="F75" s="55">
        <v>9487670</v>
      </c>
      <c r="G75" s="55">
        <v>77131</v>
      </c>
      <c r="H75" s="55">
        <v>6868851</v>
      </c>
      <c r="I75" s="55">
        <v>6846307</v>
      </c>
      <c r="J75" s="55">
        <v>22544</v>
      </c>
      <c r="K75" s="55">
        <v>2829</v>
      </c>
      <c r="L75" s="55">
        <v>2829</v>
      </c>
      <c r="M75" s="55" t="s">
        <v>796</v>
      </c>
      <c r="N75" s="55" t="s">
        <v>796</v>
      </c>
      <c r="O75" s="55" t="s">
        <v>796</v>
      </c>
      <c r="P75" s="55" t="s">
        <v>796</v>
      </c>
      <c r="Q75" s="56">
        <v>2663761</v>
      </c>
      <c r="R75" s="56">
        <v>2638534</v>
      </c>
      <c r="S75" s="55">
        <v>25227</v>
      </c>
      <c r="T75" s="54">
        <v>29360</v>
      </c>
      <c r="U75" s="53" t="s">
        <v>406</v>
      </c>
      <c r="V75" s="52"/>
      <c r="W75" s="185"/>
      <c r="X75" s="185"/>
    </row>
    <row r="76" spans="1:24" s="51" customFormat="1" ht="9.75" customHeight="1" x14ac:dyDescent="0.15">
      <c r="A76" s="516" t="s">
        <v>687</v>
      </c>
      <c r="B76" s="516" t="s">
        <v>887</v>
      </c>
      <c r="C76" s="169" t="s">
        <v>598</v>
      </c>
      <c r="D76" s="168"/>
      <c r="E76" s="57">
        <v>10289708</v>
      </c>
      <c r="F76" s="55">
        <v>10199911</v>
      </c>
      <c r="G76" s="55">
        <v>89797</v>
      </c>
      <c r="H76" s="55">
        <v>7271588</v>
      </c>
      <c r="I76" s="55">
        <v>7243314</v>
      </c>
      <c r="J76" s="55">
        <v>28274</v>
      </c>
      <c r="K76" s="55">
        <v>2247</v>
      </c>
      <c r="L76" s="55">
        <v>2247</v>
      </c>
      <c r="M76" s="55" t="s">
        <v>796</v>
      </c>
      <c r="N76" s="55" t="s">
        <v>796</v>
      </c>
      <c r="O76" s="55" t="s">
        <v>796</v>
      </c>
      <c r="P76" s="55" t="s">
        <v>796</v>
      </c>
      <c r="Q76" s="56">
        <v>2978932</v>
      </c>
      <c r="R76" s="56">
        <v>2954350</v>
      </c>
      <c r="S76" s="55">
        <v>24582</v>
      </c>
      <c r="T76" s="54">
        <v>36941</v>
      </c>
      <c r="U76" s="58" t="s">
        <v>892</v>
      </c>
      <c r="V76" s="52"/>
      <c r="W76" s="185"/>
      <c r="X76" s="185"/>
    </row>
    <row r="77" spans="1:24" s="51" customFormat="1" ht="9.75" customHeight="1" x14ac:dyDescent="0.15">
      <c r="A77" s="169" t="s">
        <v>214</v>
      </c>
      <c r="B77" s="169" t="s">
        <v>214</v>
      </c>
      <c r="C77" s="169" t="s">
        <v>590</v>
      </c>
      <c r="D77" s="168"/>
      <c r="E77" s="57">
        <v>10499862</v>
      </c>
      <c r="F77" s="55">
        <v>10397764</v>
      </c>
      <c r="G77" s="55">
        <v>102098</v>
      </c>
      <c r="H77" s="55">
        <v>7294715</v>
      </c>
      <c r="I77" s="55">
        <v>7248712</v>
      </c>
      <c r="J77" s="55">
        <v>46003</v>
      </c>
      <c r="K77" s="55">
        <v>2208</v>
      </c>
      <c r="L77" s="55">
        <v>2208</v>
      </c>
      <c r="M77" s="55" t="s">
        <v>796</v>
      </c>
      <c r="N77" s="55" t="s">
        <v>796</v>
      </c>
      <c r="O77" s="55" t="s">
        <v>796</v>
      </c>
      <c r="P77" s="55" t="s">
        <v>796</v>
      </c>
      <c r="Q77" s="56">
        <v>3173232</v>
      </c>
      <c r="R77" s="56">
        <v>3146844</v>
      </c>
      <c r="S77" s="55">
        <v>26388</v>
      </c>
      <c r="T77" s="54">
        <v>29707</v>
      </c>
      <c r="U77" s="53" t="s">
        <v>397</v>
      </c>
      <c r="V77" s="52"/>
      <c r="W77" s="185"/>
      <c r="X77" s="185"/>
    </row>
    <row r="78" spans="1:24" s="51" customFormat="1" ht="9.75" customHeight="1" x14ac:dyDescent="0.15">
      <c r="A78" s="559" t="s">
        <v>214</v>
      </c>
      <c r="B78" s="559" t="s">
        <v>214</v>
      </c>
      <c r="C78" s="560" t="s">
        <v>599</v>
      </c>
      <c r="D78" s="561"/>
      <c r="E78" s="569">
        <v>11382081</v>
      </c>
      <c r="F78" s="570">
        <v>11297111</v>
      </c>
      <c r="G78" s="570">
        <v>84970</v>
      </c>
      <c r="H78" s="570">
        <v>8108010</v>
      </c>
      <c r="I78" s="570">
        <v>8084359</v>
      </c>
      <c r="J78" s="570">
        <v>23651</v>
      </c>
      <c r="K78" s="570">
        <v>1805</v>
      </c>
      <c r="L78" s="570">
        <v>1805</v>
      </c>
      <c r="M78" s="570" t="s">
        <v>796</v>
      </c>
      <c r="N78" s="570" t="s">
        <v>796</v>
      </c>
      <c r="O78" s="570" t="s">
        <v>796</v>
      </c>
      <c r="P78" s="570" t="s">
        <v>796</v>
      </c>
      <c r="Q78" s="570">
        <v>3239882</v>
      </c>
      <c r="R78" s="570">
        <v>3210947</v>
      </c>
      <c r="S78" s="570">
        <v>28935</v>
      </c>
      <c r="T78" s="571">
        <v>32384</v>
      </c>
      <c r="U78" s="564" t="s">
        <v>398</v>
      </c>
      <c r="V78" s="52"/>
      <c r="W78" s="185"/>
      <c r="X78" s="185"/>
    </row>
    <row r="79" spans="1:24" s="51" customFormat="1" ht="9.9499999999999993" customHeight="1" x14ac:dyDescent="0.15">
      <c r="N79" s="698"/>
      <c r="O79" s="698"/>
      <c r="P79" s="698"/>
    </row>
    <row r="80" spans="1:24" s="50" customFormat="1" ht="11.45" customHeight="1" x14ac:dyDescent="0.15"/>
    <row r="81" s="50" customFormat="1" ht="11.45" customHeight="1" x14ac:dyDescent="0.15"/>
    <row r="82" s="50" customFormat="1" ht="11.45" customHeight="1" x14ac:dyDescent="0.15"/>
    <row r="83" s="50" customFormat="1" ht="11.45" customHeight="1" x14ac:dyDescent="0.15"/>
    <row r="84" s="50" customFormat="1" ht="11.45" customHeight="1" x14ac:dyDescent="0.15"/>
    <row r="85" s="50" customFormat="1" ht="11.45" customHeight="1" x14ac:dyDescent="0.15"/>
    <row r="86" s="50" customFormat="1" ht="11.45" customHeight="1" x14ac:dyDescent="0.15"/>
    <row r="87" s="50" customFormat="1" ht="11.45" customHeight="1" x14ac:dyDescent="0.15"/>
    <row r="88" s="50" customFormat="1" ht="11.45" customHeight="1" x14ac:dyDescent="0.15"/>
    <row r="89" s="50" customFormat="1" ht="11.45" customHeight="1" x14ac:dyDescent="0.15"/>
    <row r="90" s="50" customFormat="1" ht="11.45" customHeight="1" x14ac:dyDescent="0.15"/>
    <row r="91" s="50" customFormat="1" ht="11.45" customHeight="1" x14ac:dyDescent="0.15"/>
    <row r="92" ht="11.45" customHeight="1" x14ac:dyDescent="0.15"/>
    <row r="93" ht="11.45" customHeight="1" x14ac:dyDescent="0.15"/>
    <row r="94" ht="11.45" customHeight="1" x14ac:dyDescent="0.15"/>
    <row r="95" ht="11.45" customHeight="1" x14ac:dyDescent="0.15"/>
    <row r="96" ht="11.45" customHeight="1" x14ac:dyDescent="0.15"/>
    <row r="97" ht="11.45" customHeight="1" x14ac:dyDescent="0.15"/>
    <row r="98" ht="11.45" customHeight="1" x14ac:dyDescent="0.15"/>
    <row r="99" ht="11.45" customHeight="1" x14ac:dyDescent="0.15"/>
    <row r="100" ht="11.45" customHeight="1" x14ac:dyDescent="0.15"/>
    <row r="101" ht="11.45" customHeight="1" x14ac:dyDescent="0.15"/>
    <row r="102" ht="11.45" customHeight="1" x14ac:dyDescent="0.15"/>
    <row r="103" ht="11.45" customHeight="1" x14ac:dyDescent="0.15"/>
    <row r="104" ht="11.45" customHeight="1" x14ac:dyDescent="0.15"/>
    <row r="105" ht="11.45" customHeight="1" x14ac:dyDescent="0.15"/>
    <row r="106" ht="11.45" customHeight="1" x14ac:dyDescent="0.15"/>
    <row r="107" ht="11.45" customHeight="1" x14ac:dyDescent="0.15"/>
    <row r="108" ht="11.45" customHeight="1" x14ac:dyDescent="0.15"/>
    <row r="109" ht="11.45" customHeight="1" x14ac:dyDescent="0.15"/>
    <row r="110" ht="12.95" customHeight="1" x14ac:dyDescent="0.15"/>
    <row r="111" ht="12.95" customHeight="1" x14ac:dyDescent="0.15"/>
    <row r="112" ht="12.95" customHeight="1" x14ac:dyDescent="0.15"/>
    <row r="113" ht="12.95" customHeight="1" x14ac:dyDescent="0.15"/>
    <row r="114" ht="12.95" customHeight="1" x14ac:dyDescent="0.15"/>
    <row r="115" ht="12.95" customHeight="1" x14ac:dyDescent="0.15"/>
    <row r="116" ht="12.9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</sheetData>
  <mergeCells count="32">
    <mergeCell ref="T47:T48"/>
    <mergeCell ref="U43:U47"/>
    <mergeCell ref="K46:K47"/>
    <mergeCell ref="N46:N47"/>
    <mergeCell ref="Q46:Q47"/>
    <mergeCell ref="L47:L48"/>
    <mergeCell ref="F47:F48"/>
    <mergeCell ref="G47:G48"/>
    <mergeCell ref="I47:I48"/>
    <mergeCell ref="J47:J48"/>
    <mergeCell ref="S47:S48"/>
    <mergeCell ref="M8:M9"/>
    <mergeCell ref="O8:O9"/>
    <mergeCell ref="P8:P9"/>
    <mergeCell ref="A43:D48"/>
    <mergeCell ref="F43:R43"/>
    <mergeCell ref="M47:M48"/>
    <mergeCell ref="O47:O48"/>
    <mergeCell ref="P47:P48"/>
    <mergeCell ref="R47:R48"/>
    <mergeCell ref="A4:D9"/>
    <mergeCell ref="F4:P4"/>
    <mergeCell ref="Q4:Q8"/>
    <mergeCell ref="K7:K8"/>
    <mergeCell ref="N7:N8"/>
    <mergeCell ref="E8:E9"/>
    <mergeCell ref="E47:E48"/>
    <mergeCell ref="F8:F9"/>
    <mergeCell ref="G8:G9"/>
    <mergeCell ref="I8:I9"/>
    <mergeCell ref="J8:J9"/>
    <mergeCell ref="L8:L9"/>
  </mergeCells>
  <phoneticPr fontId="34"/>
  <pageMargins left="0.59055118110236227" right="0.59055118110236227" top="0.59055118110236227" bottom="0.59055118110236227" header="0.59055118110236227" footer="0.15748031496062992"/>
  <pageSetup paperSize="9" scale="94" fitToHeight="0" orientation="portrait" r:id="rId1"/>
  <headerFooter alignWithMargins="0"/>
  <colBreaks count="1" manualBreakCount="1">
    <brk id="11" max="7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5573-FC5B-41B4-80CD-2CAFF51AA09D}">
  <dimension ref="A1:U48"/>
  <sheetViews>
    <sheetView view="pageBreakPreview" zoomScaleNormal="50" zoomScaleSheetLayoutView="100" workbookViewId="0"/>
  </sheetViews>
  <sheetFormatPr defaultColWidth="8.125" defaultRowHeight="17.25" x14ac:dyDescent="0.2"/>
  <cols>
    <col min="1" max="1" width="2.375" style="92" customWidth="1"/>
    <col min="2" max="2" width="11.125" style="92" customWidth="1"/>
    <col min="3" max="3" width="8.75" style="92" customWidth="1"/>
    <col min="4" max="4" width="7.75" style="92" customWidth="1"/>
    <col min="5" max="18" width="7.5" style="92" customWidth="1"/>
    <col min="19" max="19" width="0.875" style="92" customWidth="1"/>
    <col min="20" max="20" width="18.75" style="414" customWidth="1"/>
    <col min="21" max="21" width="8.75" style="93" customWidth="1"/>
    <col min="22" max="16384" width="8.125" style="92"/>
  </cols>
  <sheetData>
    <row r="1" spans="1:21" s="395" customFormat="1" ht="17.25" customHeight="1" x14ac:dyDescent="0.15">
      <c r="A1" s="393"/>
      <c r="B1" s="393" t="s">
        <v>207</v>
      </c>
      <c r="C1" s="394"/>
      <c r="D1" s="91"/>
      <c r="E1" s="91"/>
      <c r="F1" s="91"/>
      <c r="G1" s="91"/>
      <c r="H1" s="91"/>
      <c r="I1" s="393"/>
      <c r="J1" s="393"/>
      <c r="K1" s="91"/>
      <c r="L1" s="450"/>
      <c r="M1" s="450"/>
      <c r="N1" s="450"/>
      <c r="O1" s="450"/>
      <c r="P1" s="450"/>
      <c r="Q1" s="450"/>
      <c r="U1" s="450"/>
    </row>
    <row r="2" spans="1:21" s="397" customFormat="1" ht="17.25" customHeight="1" x14ac:dyDescent="0.15">
      <c r="A2" s="91"/>
      <c r="B2" s="393" t="s">
        <v>440</v>
      </c>
      <c r="C2" s="394"/>
      <c r="D2" s="91"/>
      <c r="E2" s="91"/>
      <c r="F2" s="91"/>
      <c r="G2" s="393"/>
      <c r="H2" s="393"/>
      <c r="I2" s="393"/>
      <c r="J2" s="393"/>
      <c r="K2" s="91"/>
      <c r="L2" s="396"/>
      <c r="M2" s="396"/>
      <c r="N2" s="396"/>
      <c r="O2" s="396"/>
      <c r="U2" s="396"/>
    </row>
    <row r="3" spans="1:21" s="49" customFormat="1" ht="17.25" customHeight="1" x14ac:dyDescent="0.15">
      <c r="A3" s="91"/>
      <c r="B3" s="716" t="s">
        <v>894</v>
      </c>
      <c r="C3" s="1152"/>
      <c r="D3" s="1153"/>
      <c r="E3" s="1153"/>
      <c r="F3" s="1153"/>
      <c r="G3" s="1153"/>
      <c r="H3" s="1153"/>
      <c r="I3" s="1153"/>
      <c r="J3" s="1153"/>
      <c r="K3" s="1153"/>
      <c r="L3" s="727"/>
      <c r="M3" s="727"/>
      <c r="N3" s="727"/>
      <c r="O3" s="727"/>
      <c r="P3" s="727"/>
      <c r="Q3" s="718"/>
      <c r="R3" s="719" t="s">
        <v>603</v>
      </c>
      <c r="S3" s="719"/>
      <c r="T3" s="719"/>
      <c r="U3" s="265"/>
    </row>
    <row r="4" spans="1:21" s="400" customFormat="1" ht="16.5" customHeight="1" x14ac:dyDescent="0.15">
      <c r="A4" s="398"/>
      <c r="B4" s="399"/>
      <c r="C4" s="699"/>
      <c r="D4" s="119"/>
      <c r="E4" s="119"/>
      <c r="F4" s="119"/>
      <c r="G4" s="119"/>
      <c r="H4" s="119"/>
      <c r="I4" s="119"/>
      <c r="J4" s="119"/>
      <c r="K4" s="118"/>
      <c r="L4" s="117"/>
      <c r="M4" s="116"/>
      <c r="N4" s="116"/>
      <c r="O4" s="116"/>
      <c r="P4" s="116"/>
      <c r="Q4" s="115"/>
      <c r="R4" s="114"/>
      <c r="S4" s="695"/>
      <c r="T4" s="1154"/>
      <c r="U4" s="73"/>
    </row>
    <row r="5" spans="1:21" s="400" customFormat="1" ht="16.5" customHeight="1" x14ac:dyDescent="0.15">
      <c r="A5" s="401"/>
      <c r="B5" s="402" t="s">
        <v>441</v>
      </c>
      <c r="C5" s="111" t="s">
        <v>206</v>
      </c>
      <c r="D5" s="107" t="s">
        <v>442</v>
      </c>
      <c r="E5" s="107" t="s">
        <v>443</v>
      </c>
      <c r="F5" s="107" t="s">
        <v>444</v>
      </c>
      <c r="G5" s="107" t="s">
        <v>445</v>
      </c>
      <c r="H5" s="107" t="s">
        <v>446</v>
      </c>
      <c r="I5" s="107" t="s">
        <v>447</v>
      </c>
      <c r="J5" s="700"/>
      <c r="K5" s="701"/>
      <c r="L5" s="109" t="s">
        <v>448</v>
      </c>
      <c r="M5" s="110" t="s">
        <v>449</v>
      </c>
      <c r="N5" s="110" t="s">
        <v>450</v>
      </c>
      <c r="O5" s="110" t="s">
        <v>451</v>
      </c>
      <c r="P5" s="112" t="s">
        <v>452</v>
      </c>
      <c r="Q5" s="702"/>
      <c r="R5" s="703"/>
      <c r="S5" s="514"/>
      <c r="T5" s="111" t="s">
        <v>205</v>
      </c>
      <c r="U5" s="73"/>
    </row>
    <row r="6" spans="1:21" s="400" customFormat="1" ht="16.5" customHeight="1" x14ac:dyDescent="0.15">
      <c r="A6" s="401"/>
      <c r="B6" s="402"/>
      <c r="C6" s="111"/>
      <c r="D6" s="107" t="s">
        <v>203</v>
      </c>
      <c r="E6" s="107" t="s">
        <v>203</v>
      </c>
      <c r="F6" s="107" t="s">
        <v>204</v>
      </c>
      <c r="G6" s="107"/>
      <c r="H6" s="107"/>
      <c r="I6" s="107" t="s">
        <v>203</v>
      </c>
      <c r="J6" s="107" t="s">
        <v>202</v>
      </c>
      <c r="K6" s="704" t="s">
        <v>201</v>
      </c>
      <c r="L6" s="109"/>
      <c r="M6" s="110"/>
      <c r="N6" s="110"/>
      <c r="O6" s="110"/>
      <c r="P6" s="110"/>
      <c r="Q6" s="110" t="s">
        <v>453</v>
      </c>
      <c r="R6" s="109" t="s">
        <v>454</v>
      </c>
      <c r="S6" s="110"/>
      <c r="T6" s="111"/>
      <c r="U6" s="73"/>
    </row>
    <row r="7" spans="1:21" s="400" customFormat="1" ht="33.75" customHeight="1" x14ac:dyDescent="0.15">
      <c r="A7" s="401"/>
      <c r="B7" s="705"/>
      <c r="C7" s="706" t="s">
        <v>691</v>
      </c>
      <c r="D7" s="706" t="s">
        <v>200</v>
      </c>
      <c r="E7" s="706" t="s">
        <v>461</v>
      </c>
      <c r="F7" s="706" t="s">
        <v>462</v>
      </c>
      <c r="G7" s="706" t="s">
        <v>199</v>
      </c>
      <c r="H7" s="706" t="s">
        <v>455</v>
      </c>
      <c r="I7" s="706" t="s">
        <v>692</v>
      </c>
      <c r="J7" s="706" t="s">
        <v>463</v>
      </c>
      <c r="K7" s="572" t="s">
        <v>481</v>
      </c>
      <c r="L7" s="707" t="s">
        <v>456</v>
      </c>
      <c r="M7" s="707" t="s">
        <v>198</v>
      </c>
      <c r="N7" s="707" t="s">
        <v>197</v>
      </c>
      <c r="O7" s="708" t="s">
        <v>196</v>
      </c>
      <c r="P7" s="513" t="s">
        <v>465</v>
      </c>
      <c r="Q7" s="106"/>
      <c r="R7" s="106"/>
      <c r="S7" s="718"/>
      <c r="T7" s="1155"/>
      <c r="U7" s="73"/>
    </row>
    <row r="8" spans="1:21" s="66" customFormat="1" ht="15.6" customHeight="1" x14ac:dyDescent="0.15">
      <c r="A8" s="403"/>
      <c r="B8" s="399"/>
      <c r="C8" s="709"/>
      <c r="D8" s="710"/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0"/>
      <c r="P8" s="710"/>
      <c r="Q8" s="710"/>
      <c r="R8" s="711"/>
      <c r="S8" s="1156"/>
      <c r="T8" s="1157"/>
      <c r="U8" s="89"/>
    </row>
    <row r="9" spans="1:21" s="405" customFormat="1" ht="15.6" customHeight="1" x14ac:dyDescent="0.15">
      <c r="A9" s="403"/>
      <c r="B9" s="404" t="s">
        <v>195</v>
      </c>
      <c r="C9" s="101">
        <v>9209499</v>
      </c>
      <c r="D9" s="100">
        <v>1577483</v>
      </c>
      <c r="E9" s="100">
        <v>1378633</v>
      </c>
      <c r="F9" s="100">
        <v>709067</v>
      </c>
      <c r="G9" s="100">
        <v>2308718</v>
      </c>
      <c r="H9" s="100">
        <v>1243366</v>
      </c>
      <c r="I9" s="100">
        <v>1992232</v>
      </c>
      <c r="J9" s="100">
        <v>735267</v>
      </c>
      <c r="K9" s="100">
        <v>1256965</v>
      </c>
      <c r="L9" s="100">
        <v>438411</v>
      </c>
      <c r="M9" s="100">
        <v>222490</v>
      </c>
      <c r="N9" s="100">
        <v>9416</v>
      </c>
      <c r="O9" s="100">
        <v>11633</v>
      </c>
      <c r="P9" s="100">
        <v>1766549</v>
      </c>
      <c r="Q9" s="100">
        <v>1189157</v>
      </c>
      <c r="R9" s="99">
        <v>577392</v>
      </c>
      <c r="S9" s="100"/>
      <c r="T9" s="1158" t="s">
        <v>1090</v>
      </c>
      <c r="U9" s="403"/>
    </row>
    <row r="10" spans="1:21" s="66" customFormat="1" ht="15.6" customHeight="1" x14ac:dyDescent="0.15">
      <c r="A10" s="403"/>
      <c r="B10" s="399" t="s">
        <v>193</v>
      </c>
      <c r="C10" s="98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103"/>
      <c r="Q10" s="103"/>
      <c r="R10" s="102"/>
      <c r="S10" s="103"/>
      <c r="T10" s="1157"/>
      <c r="U10" s="403"/>
    </row>
    <row r="11" spans="1:21" s="66" customFormat="1" ht="15.6" customHeight="1" x14ac:dyDescent="0.15">
      <c r="A11" s="403"/>
      <c r="B11" s="406" t="s">
        <v>466</v>
      </c>
      <c r="C11" s="98">
        <v>4963621</v>
      </c>
      <c r="D11" s="97">
        <v>815906</v>
      </c>
      <c r="E11" s="105">
        <v>992767</v>
      </c>
      <c r="F11" s="105">
        <v>391127</v>
      </c>
      <c r="G11" s="105">
        <v>924450</v>
      </c>
      <c r="H11" s="105">
        <v>631653</v>
      </c>
      <c r="I11" s="97">
        <v>1207718</v>
      </c>
      <c r="J11" s="105">
        <v>311613</v>
      </c>
      <c r="K11" s="105">
        <v>896105</v>
      </c>
      <c r="L11" s="105">
        <v>143009</v>
      </c>
      <c r="M11" s="105">
        <v>181077</v>
      </c>
      <c r="N11" s="105" t="s">
        <v>796</v>
      </c>
      <c r="O11" s="105">
        <v>3495</v>
      </c>
      <c r="P11" s="97">
        <v>207632</v>
      </c>
      <c r="Q11" s="97">
        <v>76639</v>
      </c>
      <c r="R11" s="96">
        <v>130993</v>
      </c>
      <c r="S11" s="97"/>
      <c r="T11" s="1157" t="s">
        <v>1091</v>
      </c>
      <c r="U11" s="403"/>
    </row>
    <row r="12" spans="1:21" s="66" customFormat="1" ht="15.6" customHeight="1" x14ac:dyDescent="0.15">
      <c r="A12" s="403"/>
      <c r="B12" s="406"/>
      <c r="C12" s="98"/>
      <c r="D12" s="97"/>
      <c r="E12" s="105"/>
      <c r="F12" s="105"/>
      <c r="G12" s="105"/>
      <c r="H12" s="105"/>
      <c r="I12" s="97"/>
      <c r="J12" s="105"/>
      <c r="K12" s="105"/>
      <c r="L12" s="105"/>
      <c r="M12" s="105"/>
      <c r="N12" s="105"/>
      <c r="O12" s="105"/>
      <c r="P12" s="105"/>
      <c r="Q12" s="105"/>
      <c r="R12" s="104"/>
      <c r="S12" s="105"/>
      <c r="T12" s="1157"/>
      <c r="U12" s="403"/>
    </row>
    <row r="13" spans="1:21" s="66" customFormat="1" ht="23.25" customHeight="1" x14ac:dyDescent="0.15">
      <c r="A13" s="403"/>
      <c r="B13" s="406" t="s">
        <v>693</v>
      </c>
      <c r="C13" s="98">
        <v>4245878</v>
      </c>
      <c r="D13" s="97">
        <v>761577</v>
      </c>
      <c r="E13" s="97">
        <v>385866</v>
      </c>
      <c r="F13" s="97">
        <v>317940</v>
      </c>
      <c r="G13" s="97">
        <v>1384268</v>
      </c>
      <c r="H13" s="97">
        <v>611713</v>
      </c>
      <c r="I13" s="97">
        <v>784514</v>
      </c>
      <c r="J13" s="97">
        <v>423654</v>
      </c>
      <c r="K13" s="97">
        <v>360860</v>
      </c>
      <c r="L13" s="97">
        <v>295402</v>
      </c>
      <c r="M13" s="97">
        <v>41413</v>
      </c>
      <c r="N13" s="97">
        <v>9416</v>
      </c>
      <c r="O13" s="97">
        <v>8138</v>
      </c>
      <c r="P13" s="105">
        <v>1558917</v>
      </c>
      <c r="Q13" s="105">
        <v>1112518</v>
      </c>
      <c r="R13" s="104">
        <v>446399</v>
      </c>
      <c r="S13" s="105"/>
      <c r="T13" s="1157" t="s">
        <v>1092</v>
      </c>
      <c r="U13" s="403"/>
    </row>
    <row r="14" spans="1:21" s="66" customFormat="1" ht="15.6" customHeight="1" x14ac:dyDescent="0.15">
      <c r="A14" s="403"/>
      <c r="B14" s="399" t="s">
        <v>193</v>
      </c>
      <c r="C14" s="98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103"/>
      <c r="Q14" s="103"/>
      <c r="R14" s="102"/>
      <c r="S14" s="103"/>
      <c r="T14" s="1157"/>
      <c r="U14" s="403"/>
    </row>
    <row r="15" spans="1:21" s="66" customFormat="1" ht="15.6" customHeight="1" x14ac:dyDescent="0.15">
      <c r="A15" s="403"/>
      <c r="B15" s="407" t="s">
        <v>192</v>
      </c>
      <c r="C15" s="101">
        <v>170274311</v>
      </c>
      <c r="D15" s="100">
        <v>47607457</v>
      </c>
      <c r="E15" s="100">
        <v>36734948</v>
      </c>
      <c r="F15" s="100">
        <v>12696361</v>
      </c>
      <c r="G15" s="100">
        <v>12896422</v>
      </c>
      <c r="H15" s="100">
        <v>36196195</v>
      </c>
      <c r="I15" s="100">
        <v>24142928</v>
      </c>
      <c r="J15" s="100">
        <v>10075352</v>
      </c>
      <c r="K15" s="100">
        <v>14067576</v>
      </c>
      <c r="L15" s="100">
        <v>2291962</v>
      </c>
      <c r="M15" s="100">
        <v>1688845</v>
      </c>
      <c r="N15" s="100">
        <v>67520</v>
      </c>
      <c r="O15" s="100">
        <v>45237</v>
      </c>
      <c r="P15" s="100">
        <v>12916240</v>
      </c>
      <c r="Q15" s="100">
        <v>10096797</v>
      </c>
      <c r="R15" s="99">
        <v>2819443</v>
      </c>
      <c r="S15" s="100"/>
      <c r="T15" s="1158" t="s">
        <v>467</v>
      </c>
      <c r="U15" s="403"/>
    </row>
    <row r="16" spans="1:21" s="66" customFormat="1" ht="15.6" customHeight="1" x14ac:dyDescent="0.15">
      <c r="A16" s="403"/>
      <c r="B16" s="399"/>
      <c r="C16" s="98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103"/>
      <c r="Q16" s="103"/>
      <c r="R16" s="102"/>
      <c r="S16" s="103"/>
      <c r="T16" s="1157"/>
      <c r="U16" s="403"/>
    </row>
    <row r="17" spans="1:21" s="66" customFormat="1" ht="15.6" customHeight="1" x14ac:dyDescent="0.15">
      <c r="A17" s="403"/>
      <c r="B17" s="406" t="s">
        <v>694</v>
      </c>
      <c r="C17" s="98">
        <v>134994773</v>
      </c>
      <c r="D17" s="97">
        <v>42543216</v>
      </c>
      <c r="E17" s="97">
        <v>13372272</v>
      </c>
      <c r="F17" s="97">
        <v>11807736</v>
      </c>
      <c r="G17" s="97">
        <v>9932139</v>
      </c>
      <c r="H17" s="97">
        <v>33970609</v>
      </c>
      <c r="I17" s="97">
        <v>23368801</v>
      </c>
      <c r="J17" s="97">
        <v>9759730</v>
      </c>
      <c r="K17" s="97">
        <v>13609071</v>
      </c>
      <c r="L17" s="97">
        <v>2070143</v>
      </c>
      <c r="M17" s="97">
        <v>1663469</v>
      </c>
      <c r="N17" s="97">
        <v>56928</v>
      </c>
      <c r="O17" s="97">
        <v>25376</v>
      </c>
      <c r="P17" s="97">
        <v>2369976</v>
      </c>
      <c r="Q17" s="97">
        <v>1461544</v>
      </c>
      <c r="R17" s="96">
        <v>908432</v>
      </c>
      <c r="S17" s="97"/>
      <c r="T17" s="1157" t="s">
        <v>1093</v>
      </c>
      <c r="U17" s="403"/>
    </row>
    <row r="18" spans="1:21" s="66" customFormat="1" ht="15.6" customHeight="1" x14ac:dyDescent="0.15">
      <c r="A18" s="403"/>
      <c r="B18" s="406"/>
      <c r="C18" s="98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6"/>
      <c r="S18" s="97"/>
      <c r="T18" s="1157"/>
      <c r="U18" s="403"/>
    </row>
    <row r="19" spans="1:21" s="66" customFormat="1" ht="15.6" customHeight="1" x14ac:dyDescent="0.15">
      <c r="A19" s="403"/>
      <c r="B19" s="406" t="s">
        <v>468</v>
      </c>
      <c r="C19" s="98">
        <v>33128837</v>
      </c>
      <c r="D19" s="97">
        <v>4774005</v>
      </c>
      <c r="E19" s="97">
        <v>23362676</v>
      </c>
      <c r="F19" s="97">
        <v>124198</v>
      </c>
      <c r="G19" s="97">
        <v>2744425</v>
      </c>
      <c r="H19" s="97">
        <v>1906524</v>
      </c>
      <c r="I19" s="97">
        <v>217009</v>
      </c>
      <c r="J19" s="97">
        <v>53929</v>
      </c>
      <c r="K19" s="97">
        <v>163080</v>
      </c>
      <c r="L19" s="97">
        <v>221819</v>
      </c>
      <c r="M19" s="97">
        <v>20710</v>
      </c>
      <c r="N19" s="97">
        <v>1801</v>
      </c>
      <c r="O19" s="97">
        <v>19692</v>
      </c>
      <c r="P19" s="97">
        <v>10395161</v>
      </c>
      <c r="Q19" s="97">
        <v>8533388</v>
      </c>
      <c r="R19" s="96">
        <v>1861773</v>
      </c>
      <c r="S19" s="97"/>
      <c r="T19" s="1157" t="s">
        <v>1094</v>
      </c>
      <c r="U19" s="403"/>
    </row>
    <row r="20" spans="1:21" s="66" customFormat="1" ht="15.6" customHeight="1" x14ac:dyDescent="0.15">
      <c r="A20" s="403"/>
      <c r="B20" s="406"/>
      <c r="C20" s="98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103"/>
      <c r="Q20" s="103"/>
      <c r="R20" s="102"/>
      <c r="S20" s="103"/>
      <c r="T20" s="1157"/>
      <c r="U20" s="403"/>
    </row>
    <row r="21" spans="1:21" s="66" customFormat="1" ht="30.75" customHeight="1" x14ac:dyDescent="0.15">
      <c r="A21" s="403"/>
      <c r="B21" s="406" t="s">
        <v>695</v>
      </c>
      <c r="C21" s="98">
        <v>232175</v>
      </c>
      <c r="D21" s="97" t="s">
        <v>796</v>
      </c>
      <c r="E21" s="97" t="s">
        <v>796</v>
      </c>
      <c r="F21" s="97">
        <v>82577</v>
      </c>
      <c r="G21" s="97">
        <v>15693</v>
      </c>
      <c r="H21" s="97">
        <v>64599</v>
      </c>
      <c r="I21" s="97">
        <v>69306</v>
      </c>
      <c r="J21" s="97">
        <v>69306</v>
      </c>
      <c r="K21" s="97" t="s">
        <v>796</v>
      </c>
      <c r="L21" s="97" t="s">
        <v>796</v>
      </c>
      <c r="M21" s="97" t="s">
        <v>796</v>
      </c>
      <c r="N21" s="97">
        <v>8791</v>
      </c>
      <c r="O21" s="97" t="s">
        <v>796</v>
      </c>
      <c r="P21" s="97">
        <v>31228</v>
      </c>
      <c r="Q21" s="97" t="s">
        <v>796</v>
      </c>
      <c r="R21" s="96">
        <v>31228</v>
      </c>
      <c r="S21" s="97"/>
      <c r="T21" s="1157" t="s">
        <v>457</v>
      </c>
      <c r="U21" s="403"/>
    </row>
    <row r="22" spans="1:21" s="66" customFormat="1" ht="15.6" customHeight="1" x14ac:dyDescent="0.15">
      <c r="A22" s="403"/>
      <c r="B22" s="406"/>
      <c r="C22" s="98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103"/>
      <c r="Q22" s="103"/>
      <c r="R22" s="102"/>
      <c r="S22" s="103"/>
      <c r="T22" s="1157"/>
      <c r="U22" s="403"/>
    </row>
    <row r="23" spans="1:21" s="66" customFormat="1" ht="22.5" customHeight="1" x14ac:dyDescent="0.15">
      <c r="A23" s="403"/>
      <c r="B23" s="406" t="s">
        <v>696</v>
      </c>
      <c r="C23" s="98" t="s">
        <v>796</v>
      </c>
      <c r="D23" s="97" t="s">
        <v>796</v>
      </c>
      <c r="E23" s="97" t="s">
        <v>796</v>
      </c>
      <c r="F23" s="97" t="s">
        <v>796</v>
      </c>
      <c r="G23" s="97" t="s">
        <v>796</v>
      </c>
      <c r="H23" s="97" t="s">
        <v>796</v>
      </c>
      <c r="I23" s="97" t="s">
        <v>796</v>
      </c>
      <c r="J23" s="97" t="s">
        <v>796</v>
      </c>
      <c r="K23" s="97" t="s">
        <v>796</v>
      </c>
      <c r="L23" s="97" t="s">
        <v>796</v>
      </c>
      <c r="M23" s="97" t="s">
        <v>796</v>
      </c>
      <c r="N23" s="97" t="s">
        <v>796</v>
      </c>
      <c r="O23" s="97" t="s">
        <v>796</v>
      </c>
      <c r="P23" s="97" t="s">
        <v>796</v>
      </c>
      <c r="Q23" s="97" t="s">
        <v>796</v>
      </c>
      <c r="R23" s="96" t="s">
        <v>796</v>
      </c>
      <c r="S23" s="97"/>
      <c r="T23" s="1157" t="s">
        <v>1095</v>
      </c>
      <c r="U23" s="403"/>
    </row>
    <row r="24" spans="1:21" s="66" customFormat="1" ht="15.6" customHeight="1" x14ac:dyDescent="0.15">
      <c r="A24" s="403"/>
      <c r="B24" s="406"/>
      <c r="C24" s="98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103"/>
      <c r="Q24" s="103"/>
      <c r="R24" s="102"/>
      <c r="S24" s="103"/>
      <c r="T24" s="1157"/>
      <c r="U24" s="403"/>
    </row>
    <row r="25" spans="1:21" s="66" customFormat="1" ht="15.6" customHeight="1" x14ac:dyDescent="0.15">
      <c r="A25" s="403"/>
      <c r="B25" s="408" t="s">
        <v>459</v>
      </c>
      <c r="C25" s="98">
        <v>1918526</v>
      </c>
      <c r="D25" s="97">
        <v>290236</v>
      </c>
      <c r="E25" s="97" t="s">
        <v>796</v>
      </c>
      <c r="F25" s="97">
        <v>681850</v>
      </c>
      <c r="G25" s="97">
        <v>204165</v>
      </c>
      <c r="H25" s="97">
        <v>254463</v>
      </c>
      <c r="I25" s="97">
        <v>487812</v>
      </c>
      <c r="J25" s="97">
        <v>192387</v>
      </c>
      <c r="K25" s="97">
        <v>295425</v>
      </c>
      <c r="L25" s="97" t="s">
        <v>796</v>
      </c>
      <c r="M25" s="97">
        <v>4666</v>
      </c>
      <c r="N25" s="97" t="s">
        <v>796</v>
      </c>
      <c r="O25" s="97">
        <v>169</v>
      </c>
      <c r="P25" s="97">
        <v>119875</v>
      </c>
      <c r="Q25" s="97">
        <v>101865</v>
      </c>
      <c r="R25" s="96">
        <v>18010</v>
      </c>
      <c r="S25" s="97"/>
      <c r="T25" s="1157" t="s">
        <v>1096</v>
      </c>
      <c r="U25" s="403"/>
    </row>
    <row r="26" spans="1:21" s="66" customFormat="1" ht="15.6" customHeight="1" x14ac:dyDescent="0.15">
      <c r="A26" s="403"/>
      <c r="B26" s="409"/>
      <c r="C26" s="98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6"/>
      <c r="S26" s="97"/>
      <c r="T26" s="1157"/>
      <c r="U26" s="403"/>
    </row>
    <row r="27" spans="1:21" s="66" customFormat="1" ht="15.6" customHeight="1" x14ac:dyDescent="0.15">
      <c r="A27" s="403"/>
      <c r="B27" s="407" t="s">
        <v>188</v>
      </c>
      <c r="C27" s="101">
        <v>169969168</v>
      </c>
      <c r="D27" s="100">
        <v>47476781</v>
      </c>
      <c r="E27" s="100">
        <v>36605881</v>
      </c>
      <c r="F27" s="100">
        <v>12639975</v>
      </c>
      <c r="G27" s="100">
        <v>13016363</v>
      </c>
      <c r="H27" s="100">
        <v>36035920</v>
      </c>
      <c r="I27" s="100">
        <v>24194248</v>
      </c>
      <c r="J27" s="100">
        <v>10048079</v>
      </c>
      <c r="K27" s="100">
        <v>14146169</v>
      </c>
      <c r="L27" s="100">
        <v>2288531</v>
      </c>
      <c r="M27" s="100">
        <v>1736695</v>
      </c>
      <c r="N27" s="100">
        <v>67059</v>
      </c>
      <c r="O27" s="100">
        <v>47169</v>
      </c>
      <c r="P27" s="100">
        <v>12857248</v>
      </c>
      <c r="Q27" s="100">
        <v>10065260</v>
      </c>
      <c r="R27" s="99">
        <v>2791988</v>
      </c>
      <c r="S27" s="100"/>
      <c r="T27" s="1158" t="s">
        <v>469</v>
      </c>
      <c r="U27" s="403"/>
    </row>
    <row r="28" spans="1:21" s="66" customFormat="1" ht="15.6" customHeight="1" x14ac:dyDescent="0.15">
      <c r="A28" s="403"/>
      <c r="B28" s="399"/>
      <c r="C28" s="98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103"/>
      <c r="Q28" s="103"/>
      <c r="R28" s="102"/>
      <c r="S28" s="103"/>
      <c r="T28" s="1157"/>
      <c r="U28" s="403"/>
    </row>
    <row r="29" spans="1:21" s="66" customFormat="1" ht="15.6" customHeight="1" x14ac:dyDescent="0.15">
      <c r="A29" s="89"/>
      <c r="B29" s="406" t="s">
        <v>187</v>
      </c>
      <c r="C29" s="98">
        <v>139789149</v>
      </c>
      <c r="D29" s="97">
        <v>43826119</v>
      </c>
      <c r="E29" s="97">
        <v>34825417</v>
      </c>
      <c r="F29" s="97">
        <v>4314571</v>
      </c>
      <c r="G29" s="97">
        <v>11187756</v>
      </c>
      <c r="H29" s="97">
        <v>30831161</v>
      </c>
      <c r="I29" s="97">
        <v>14804125</v>
      </c>
      <c r="J29" s="97">
        <v>9704765</v>
      </c>
      <c r="K29" s="97">
        <v>5099360</v>
      </c>
      <c r="L29" s="97">
        <v>1743125</v>
      </c>
      <c r="M29" s="97">
        <v>1386105</v>
      </c>
      <c r="N29" s="97">
        <v>46749</v>
      </c>
      <c r="O29" s="97">
        <v>30600</v>
      </c>
      <c r="P29" s="97">
        <v>11657838</v>
      </c>
      <c r="Q29" s="97">
        <v>9731209</v>
      </c>
      <c r="R29" s="96">
        <v>1926629</v>
      </c>
      <c r="S29" s="97"/>
      <c r="T29" s="1157" t="s">
        <v>1097</v>
      </c>
      <c r="U29" s="89"/>
    </row>
    <row r="30" spans="1:21" s="66" customFormat="1" ht="15.6" customHeight="1" x14ac:dyDescent="0.15">
      <c r="A30" s="89"/>
      <c r="B30" s="406"/>
      <c r="C30" s="98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6"/>
      <c r="S30" s="97"/>
      <c r="T30" s="1157"/>
      <c r="U30" s="89"/>
    </row>
    <row r="31" spans="1:21" s="66" customFormat="1" ht="15.6" customHeight="1" x14ac:dyDescent="0.15">
      <c r="A31" s="403"/>
      <c r="B31" s="406" t="s">
        <v>470</v>
      </c>
      <c r="C31" s="98">
        <v>25165755</v>
      </c>
      <c r="D31" s="97">
        <v>3564883</v>
      </c>
      <c r="E31" s="97">
        <v>60890</v>
      </c>
      <c r="F31" s="97">
        <v>8278656</v>
      </c>
      <c r="G31" s="97">
        <v>968608</v>
      </c>
      <c r="H31" s="97">
        <v>4966476</v>
      </c>
      <c r="I31" s="97">
        <v>7326242</v>
      </c>
      <c r="J31" s="97">
        <v>84451</v>
      </c>
      <c r="K31" s="97">
        <v>7241791</v>
      </c>
      <c r="L31" s="97">
        <v>379514</v>
      </c>
      <c r="M31" s="97" t="s">
        <v>796</v>
      </c>
      <c r="N31" s="97">
        <v>798</v>
      </c>
      <c r="O31" s="97">
        <v>14725</v>
      </c>
      <c r="P31" s="97">
        <v>153181</v>
      </c>
      <c r="Q31" s="97">
        <v>148746</v>
      </c>
      <c r="R31" s="96">
        <v>4435</v>
      </c>
      <c r="S31" s="97"/>
      <c r="T31" s="1157" t="s">
        <v>1098</v>
      </c>
      <c r="U31" s="403"/>
    </row>
    <row r="32" spans="1:21" s="66" customFormat="1" ht="15.6" customHeight="1" x14ac:dyDescent="0.15">
      <c r="A32" s="403"/>
      <c r="B32" s="406"/>
      <c r="C32" s="98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6"/>
      <c r="S32" s="97"/>
      <c r="T32" s="1157"/>
      <c r="U32" s="403"/>
    </row>
    <row r="33" spans="1:21" s="66" customFormat="1" ht="31.5" customHeight="1" x14ac:dyDescent="0.15">
      <c r="A33" s="403"/>
      <c r="B33" s="406" t="s">
        <v>697</v>
      </c>
      <c r="C33" s="98">
        <v>1763551</v>
      </c>
      <c r="D33" s="97">
        <v>11068</v>
      </c>
      <c r="E33" s="97">
        <v>955723</v>
      </c>
      <c r="F33" s="97">
        <v>45952</v>
      </c>
      <c r="G33" s="97">
        <v>482207</v>
      </c>
      <c r="H33" s="97">
        <v>42651</v>
      </c>
      <c r="I33" s="97">
        <v>225950</v>
      </c>
      <c r="J33" s="97">
        <v>1</v>
      </c>
      <c r="K33" s="97">
        <v>225949</v>
      </c>
      <c r="L33" s="97">
        <v>8612</v>
      </c>
      <c r="M33" s="97">
        <v>9674</v>
      </c>
      <c r="N33" s="97" t="s">
        <v>796</v>
      </c>
      <c r="O33" s="97">
        <v>699</v>
      </c>
      <c r="P33" s="97">
        <v>804621</v>
      </c>
      <c r="Q33" s="97">
        <v>86557</v>
      </c>
      <c r="R33" s="96">
        <v>718064</v>
      </c>
      <c r="S33" s="97"/>
      <c r="T33" s="1157" t="s">
        <v>460</v>
      </c>
      <c r="U33" s="403"/>
    </row>
    <row r="34" spans="1:21" s="66" customFormat="1" ht="15.6" customHeight="1" x14ac:dyDescent="0.15">
      <c r="A34" s="403"/>
      <c r="B34" s="406"/>
      <c r="C34" s="98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6"/>
      <c r="S34" s="97"/>
      <c r="T34" s="1157"/>
      <c r="U34" s="403"/>
    </row>
    <row r="35" spans="1:21" s="66" customFormat="1" ht="15.6" customHeight="1" x14ac:dyDescent="0.15">
      <c r="A35" s="403"/>
      <c r="B35" s="406" t="s">
        <v>471</v>
      </c>
      <c r="C35" s="98">
        <v>1820919</v>
      </c>
      <c r="D35" s="97">
        <v>438</v>
      </c>
      <c r="E35" s="97">
        <v>31325</v>
      </c>
      <c r="F35" s="97" t="s">
        <v>796</v>
      </c>
      <c r="G35" s="97">
        <v>94203</v>
      </c>
      <c r="H35" s="97">
        <v>1411</v>
      </c>
      <c r="I35" s="97">
        <v>1693542</v>
      </c>
      <c r="J35" s="97">
        <v>208322</v>
      </c>
      <c r="K35" s="97">
        <v>1485220</v>
      </c>
      <c r="L35" s="97">
        <v>49026</v>
      </c>
      <c r="M35" s="97">
        <v>311607</v>
      </c>
      <c r="N35" s="97">
        <v>2</v>
      </c>
      <c r="O35" s="97" t="s">
        <v>796</v>
      </c>
      <c r="P35" s="97">
        <v>162092</v>
      </c>
      <c r="Q35" s="97">
        <v>30107</v>
      </c>
      <c r="R35" s="96">
        <v>131985</v>
      </c>
      <c r="S35" s="97"/>
      <c r="T35" s="1157" t="s">
        <v>1099</v>
      </c>
      <c r="U35" s="403"/>
    </row>
    <row r="36" spans="1:21" s="66" customFormat="1" ht="15.6" customHeight="1" x14ac:dyDescent="0.15">
      <c r="A36" s="403"/>
      <c r="B36" s="406"/>
      <c r="C36" s="98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6"/>
      <c r="S36" s="97"/>
      <c r="T36" s="1157"/>
      <c r="U36" s="403"/>
    </row>
    <row r="37" spans="1:21" s="66" customFormat="1" ht="15.6" customHeight="1" x14ac:dyDescent="0.15">
      <c r="A37" s="403"/>
      <c r="B37" s="406" t="s">
        <v>472</v>
      </c>
      <c r="C37" s="98">
        <v>1429794</v>
      </c>
      <c r="D37" s="97">
        <v>74273</v>
      </c>
      <c r="E37" s="97">
        <v>732526</v>
      </c>
      <c r="F37" s="97">
        <v>796</v>
      </c>
      <c r="G37" s="97">
        <v>283589</v>
      </c>
      <c r="H37" s="97">
        <v>194221</v>
      </c>
      <c r="I37" s="97">
        <v>144389</v>
      </c>
      <c r="J37" s="97">
        <v>50540</v>
      </c>
      <c r="K37" s="97">
        <v>93849</v>
      </c>
      <c r="L37" s="97">
        <v>108254</v>
      </c>
      <c r="M37" s="97">
        <v>29309</v>
      </c>
      <c r="N37" s="97">
        <v>19510</v>
      </c>
      <c r="O37" s="97">
        <v>1145</v>
      </c>
      <c r="P37" s="97">
        <v>79516</v>
      </c>
      <c r="Q37" s="97">
        <v>68641</v>
      </c>
      <c r="R37" s="96">
        <v>10875</v>
      </c>
      <c r="S37" s="97"/>
      <c r="T37" s="1157" t="s">
        <v>1100</v>
      </c>
      <c r="U37" s="403"/>
    </row>
    <row r="38" spans="1:21" s="66" customFormat="1" ht="15.6" customHeight="1" x14ac:dyDescent="0.15">
      <c r="A38" s="403"/>
      <c r="B38" s="399"/>
      <c r="C38" s="98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6"/>
      <c r="S38" s="97"/>
      <c r="T38" s="1157"/>
      <c r="U38" s="403"/>
    </row>
    <row r="39" spans="1:21" s="66" customFormat="1" ht="15.6" customHeight="1" x14ac:dyDescent="0.15">
      <c r="A39" s="403"/>
      <c r="B39" s="407" t="s">
        <v>182</v>
      </c>
      <c r="C39" s="101">
        <v>9514642</v>
      </c>
      <c r="D39" s="100">
        <v>1708159</v>
      </c>
      <c r="E39" s="100">
        <v>1507700</v>
      </c>
      <c r="F39" s="100">
        <v>765453</v>
      </c>
      <c r="G39" s="100">
        <v>2188777</v>
      </c>
      <c r="H39" s="100">
        <v>1403641</v>
      </c>
      <c r="I39" s="100">
        <v>1940912</v>
      </c>
      <c r="J39" s="100">
        <v>762540</v>
      </c>
      <c r="K39" s="100">
        <v>1178372</v>
      </c>
      <c r="L39" s="100">
        <v>441842</v>
      </c>
      <c r="M39" s="100">
        <v>174640</v>
      </c>
      <c r="N39" s="100">
        <v>9877</v>
      </c>
      <c r="O39" s="100">
        <v>9701</v>
      </c>
      <c r="P39" s="100">
        <v>1825541</v>
      </c>
      <c r="Q39" s="100">
        <v>1220694</v>
      </c>
      <c r="R39" s="99">
        <v>604847</v>
      </c>
      <c r="S39" s="100"/>
      <c r="T39" s="1158" t="s">
        <v>473</v>
      </c>
      <c r="U39" s="403"/>
    </row>
    <row r="40" spans="1:21" s="66" customFormat="1" ht="15.6" customHeight="1" x14ac:dyDescent="0.15">
      <c r="A40" s="403"/>
      <c r="B40" s="399"/>
      <c r="C40" s="98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6"/>
      <c r="S40" s="97"/>
      <c r="T40" s="1157"/>
      <c r="U40" s="403"/>
    </row>
    <row r="41" spans="1:21" s="66" customFormat="1" ht="15.6" customHeight="1" x14ac:dyDescent="0.15">
      <c r="A41" s="403"/>
      <c r="B41" s="406" t="s">
        <v>466</v>
      </c>
      <c r="C41" s="98">
        <v>4895870</v>
      </c>
      <c r="D41" s="97">
        <v>849665</v>
      </c>
      <c r="E41" s="97">
        <v>1142303</v>
      </c>
      <c r="F41" s="97">
        <v>372884</v>
      </c>
      <c r="G41" s="97">
        <v>748159</v>
      </c>
      <c r="H41" s="97">
        <v>728110</v>
      </c>
      <c r="I41" s="97">
        <v>1054749</v>
      </c>
      <c r="J41" s="97">
        <v>306899</v>
      </c>
      <c r="K41" s="97">
        <v>747850</v>
      </c>
      <c r="L41" s="97">
        <v>157701</v>
      </c>
      <c r="M41" s="97">
        <v>133975</v>
      </c>
      <c r="N41" s="97" t="s">
        <v>796</v>
      </c>
      <c r="O41" s="97">
        <v>2205</v>
      </c>
      <c r="P41" s="97">
        <v>203516</v>
      </c>
      <c r="Q41" s="97">
        <v>63311</v>
      </c>
      <c r="R41" s="96">
        <v>140205</v>
      </c>
      <c r="S41" s="97"/>
      <c r="T41" s="1157" t="s">
        <v>1091</v>
      </c>
      <c r="U41" s="403"/>
    </row>
    <row r="42" spans="1:21" s="66" customFormat="1" ht="15.6" customHeight="1" x14ac:dyDescent="0.15">
      <c r="A42" s="403"/>
      <c r="B42" s="406"/>
      <c r="C42" s="98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6"/>
      <c r="S42" s="97"/>
      <c r="T42" s="1157"/>
      <c r="U42" s="403"/>
    </row>
    <row r="43" spans="1:21" s="66" customFormat="1" ht="21" customHeight="1" x14ac:dyDescent="0.15">
      <c r="A43" s="403"/>
      <c r="B43" s="406" t="s">
        <v>693</v>
      </c>
      <c r="C43" s="98">
        <v>4618772</v>
      </c>
      <c r="D43" s="97">
        <v>858494</v>
      </c>
      <c r="E43" s="97">
        <v>365397</v>
      </c>
      <c r="F43" s="97">
        <v>392569</v>
      </c>
      <c r="G43" s="97">
        <v>1440618</v>
      </c>
      <c r="H43" s="97">
        <v>675531</v>
      </c>
      <c r="I43" s="97">
        <v>886163</v>
      </c>
      <c r="J43" s="97">
        <v>455641</v>
      </c>
      <c r="K43" s="97">
        <v>430522</v>
      </c>
      <c r="L43" s="97">
        <v>284141</v>
      </c>
      <c r="M43" s="97">
        <v>40665</v>
      </c>
      <c r="N43" s="97">
        <v>9877</v>
      </c>
      <c r="O43" s="97">
        <v>7496</v>
      </c>
      <c r="P43" s="97">
        <v>1622025</v>
      </c>
      <c r="Q43" s="97">
        <v>1157383</v>
      </c>
      <c r="R43" s="96">
        <v>464642</v>
      </c>
      <c r="S43" s="97"/>
      <c r="T43" s="1157" t="s">
        <v>1092</v>
      </c>
      <c r="U43" s="403"/>
    </row>
    <row r="44" spans="1:21" s="66" customFormat="1" ht="15.6" customHeight="1" x14ac:dyDescent="0.15">
      <c r="A44" s="403"/>
      <c r="B44" s="712"/>
      <c r="C44" s="713"/>
      <c r="D44" s="714"/>
      <c r="E44" s="714"/>
      <c r="F44" s="714"/>
      <c r="G44" s="714"/>
      <c r="H44" s="714"/>
      <c r="I44" s="714"/>
      <c r="J44" s="714"/>
      <c r="K44" s="714"/>
      <c r="L44" s="714"/>
      <c r="M44" s="714"/>
      <c r="N44" s="714"/>
      <c r="O44" s="714"/>
      <c r="P44" s="714"/>
      <c r="Q44" s="714"/>
      <c r="R44" s="715"/>
      <c r="S44" s="714"/>
      <c r="T44" s="1159"/>
      <c r="U44" s="89"/>
    </row>
    <row r="45" spans="1:21" s="94" customFormat="1" ht="15.6" customHeight="1" x14ac:dyDescent="0.15">
      <c r="A45" s="410"/>
      <c r="B45" s="95" t="s">
        <v>895</v>
      </c>
      <c r="C45" s="411"/>
      <c r="D45" s="411"/>
      <c r="E45" s="411"/>
      <c r="F45" s="411"/>
      <c r="G45" s="411"/>
      <c r="H45" s="411"/>
      <c r="I45" s="411"/>
      <c r="L45" s="95" t="s">
        <v>896</v>
      </c>
      <c r="M45" s="411"/>
      <c r="N45" s="95"/>
      <c r="O45" s="411"/>
      <c r="P45" s="411"/>
      <c r="Q45" s="411"/>
      <c r="R45" s="411"/>
      <c r="S45" s="411"/>
      <c r="T45" s="411"/>
      <c r="U45" s="412"/>
    </row>
    <row r="46" spans="1:21" s="94" customFormat="1" ht="15.6" customHeight="1" x14ac:dyDescent="0.15">
      <c r="A46" s="410"/>
      <c r="B46" s="94" t="s">
        <v>897</v>
      </c>
      <c r="C46" s="411"/>
      <c r="D46" s="411"/>
      <c r="E46" s="411"/>
      <c r="F46" s="410"/>
      <c r="L46" s="95" t="s">
        <v>898</v>
      </c>
      <c r="M46" s="411"/>
      <c r="N46" s="411"/>
      <c r="O46" s="411"/>
      <c r="P46" s="411"/>
      <c r="Q46" s="411"/>
      <c r="R46" s="411"/>
      <c r="S46" s="411"/>
      <c r="T46" s="411"/>
      <c r="U46" s="412"/>
    </row>
    <row r="47" spans="1:21" s="94" customFormat="1" ht="15.6" customHeight="1" x14ac:dyDescent="0.15">
      <c r="A47" s="410"/>
      <c r="B47" s="94" t="s">
        <v>474</v>
      </c>
      <c r="C47" s="411"/>
      <c r="D47" s="411"/>
      <c r="E47" s="411"/>
      <c r="F47" s="411"/>
      <c r="G47" s="411"/>
      <c r="H47" s="411"/>
      <c r="I47" s="411"/>
      <c r="J47" s="411"/>
      <c r="L47" s="95" t="s">
        <v>899</v>
      </c>
      <c r="M47" s="411"/>
      <c r="N47" s="411"/>
      <c r="O47" s="411"/>
      <c r="P47" s="411"/>
      <c r="Q47" s="411"/>
      <c r="R47" s="411"/>
      <c r="S47" s="411"/>
      <c r="T47" s="411"/>
      <c r="U47" s="412"/>
    </row>
    <row r="48" spans="1:21" s="94" customFormat="1" ht="17.100000000000001" customHeight="1" x14ac:dyDescent="0.15">
      <c r="A48" s="410"/>
      <c r="B48" s="95" t="s">
        <v>900</v>
      </c>
      <c r="C48" s="413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411"/>
      <c r="P48" s="411"/>
      <c r="Q48" s="411"/>
      <c r="R48" s="411"/>
      <c r="S48" s="411"/>
      <c r="T48" s="411"/>
      <c r="U48" s="412"/>
    </row>
  </sheetData>
  <phoneticPr fontId="34"/>
  <pageMargins left="0.59055118110236227" right="0.55118110236220474" top="0.59055118110236227" bottom="0.59055118110236227" header="0.59055118110236227" footer="0.59055118110236227"/>
  <pageSetup paperSize="9" scale="92" orientation="portrait" horizontalDpi="400" r:id="rId1"/>
  <headerFooter alignWithMargins="0">
    <oddHeader xml:space="preserve">&amp;R
</oddHeader>
  </headerFooter>
  <colBreaks count="1" manualBreakCount="1">
    <brk id="11" max="47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5B6D-E4EC-460E-A503-2C3843A6831F}">
  <dimension ref="A1:U49"/>
  <sheetViews>
    <sheetView view="pageBreakPreview" zoomScaleNormal="55" zoomScaleSheetLayoutView="55" workbookViewId="0"/>
  </sheetViews>
  <sheetFormatPr defaultColWidth="8.125" defaultRowHeight="17.25" x14ac:dyDescent="0.2"/>
  <cols>
    <col min="1" max="1" width="2.375" style="92" customWidth="1"/>
    <col min="2" max="2" width="11" style="92" customWidth="1"/>
    <col min="3" max="3" width="8" style="92" customWidth="1"/>
    <col min="4" max="18" width="7.5" style="92" customWidth="1"/>
    <col min="19" max="19" width="0.875" style="92" customWidth="1"/>
    <col min="20" max="20" width="18.75" style="414" customWidth="1"/>
    <col min="21" max="21" width="8.75" style="93" customWidth="1"/>
    <col min="22" max="16384" width="8.125" style="92"/>
  </cols>
  <sheetData>
    <row r="1" spans="1:21" s="395" customFormat="1" ht="17.25" customHeight="1" x14ac:dyDescent="0.1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415"/>
      <c r="M1" s="415"/>
      <c r="N1" s="415"/>
      <c r="O1" s="415"/>
      <c r="P1" s="415"/>
      <c r="Q1" s="415"/>
      <c r="R1" s="405"/>
      <c r="S1" s="405"/>
      <c r="T1" s="405"/>
      <c r="U1" s="415"/>
    </row>
    <row r="2" spans="1:21" s="397" customFormat="1" ht="17.2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415"/>
      <c r="M2" s="415"/>
      <c r="N2" s="415"/>
      <c r="O2" s="415"/>
      <c r="P2" s="405"/>
      <c r="Q2" s="405"/>
      <c r="R2" s="405"/>
      <c r="S2" s="405"/>
      <c r="T2" s="405"/>
      <c r="U2" s="415"/>
    </row>
    <row r="3" spans="1:21" s="49" customFormat="1" ht="17.25" customHeight="1" x14ac:dyDescent="0.15">
      <c r="A3" s="66"/>
      <c r="B3" s="716" t="s">
        <v>901</v>
      </c>
      <c r="C3" s="717"/>
      <c r="D3" s="718"/>
      <c r="E3" s="718"/>
      <c r="F3" s="718"/>
      <c r="G3" s="718"/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9" t="s">
        <v>603</v>
      </c>
      <c r="S3" s="719"/>
      <c r="T3" s="719"/>
      <c r="U3" s="73"/>
    </row>
    <row r="4" spans="1:21" s="66" customFormat="1" ht="17.25" customHeight="1" x14ac:dyDescent="0.15">
      <c r="A4" s="398"/>
      <c r="B4" s="399"/>
      <c r="C4" s="699"/>
      <c r="D4" s="119"/>
      <c r="E4" s="119"/>
      <c r="F4" s="119"/>
      <c r="G4" s="119"/>
      <c r="H4" s="119"/>
      <c r="I4" s="119"/>
      <c r="J4" s="119"/>
      <c r="K4" s="118"/>
      <c r="L4" s="117"/>
      <c r="M4" s="116"/>
      <c r="N4" s="116"/>
      <c r="O4" s="116"/>
      <c r="P4" s="116"/>
      <c r="Q4" s="115"/>
      <c r="R4" s="114"/>
      <c r="S4" s="695"/>
      <c r="T4" s="1154"/>
      <c r="U4" s="73"/>
    </row>
    <row r="5" spans="1:21" s="66" customFormat="1" ht="17.25" customHeight="1" x14ac:dyDescent="0.15">
      <c r="A5" s="401"/>
      <c r="B5" s="402" t="s">
        <v>441</v>
      </c>
      <c r="C5" s="111" t="s">
        <v>206</v>
      </c>
      <c r="D5" s="107" t="s">
        <v>442</v>
      </c>
      <c r="E5" s="107" t="s">
        <v>443</v>
      </c>
      <c r="F5" s="107" t="s">
        <v>444</v>
      </c>
      <c r="G5" s="107" t="s">
        <v>445</v>
      </c>
      <c r="H5" s="107" t="s">
        <v>446</v>
      </c>
      <c r="I5" s="107" t="s">
        <v>447</v>
      </c>
      <c r="J5" s="700"/>
      <c r="K5" s="701"/>
      <c r="L5" s="109" t="s">
        <v>448</v>
      </c>
      <c r="M5" s="110" t="s">
        <v>449</v>
      </c>
      <c r="N5" s="110" t="s">
        <v>450</v>
      </c>
      <c r="O5" s="110" t="s">
        <v>451</v>
      </c>
      <c r="P5" s="112" t="s">
        <v>452</v>
      </c>
      <c r="Q5" s="702"/>
      <c r="R5" s="703"/>
      <c r="S5" s="514"/>
      <c r="T5" s="111" t="s">
        <v>205</v>
      </c>
      <c r="U5" s="73"/>
    </row>
    <row r="6" spans="1:21" s="66" customFormat="1" ht="17.25" customHeight="1" x14ac:dyDescent="0.15">
      <c r="A6" s="401"/>
      <c r="B6" s="402"/>
      <c r="C6" s="111"/>
      <c r="D6" s="107" t="s">
        <v>203</v>
      </c>
      <c r="E6" s="107" t="s">
        <v>203</v>
      </c>
      <c r="F6" s="107" t="s">
        <v>204</v>
      </c>
      <c r="G6" s="107"/>
      <c r="H6" s="107"/>
      <c r="I6" s="107" t="s">
        <v>203</v>
      </c>
      <c r="J6" s="107" t="s">
        <v>202</v>
      </c>
      <c r="K6" s="704" t="s">
        <v>201</v>
      </c>
      <c r="L6" s="109"/>
      <c r="M6" s="110"/>
      <c r="N6" s="110"/>
      <c r="O6" s="110"/>
      <c r="P6" s="110"/>
      <c r="Q6" s="110" t="s">
        <v>453</v>
      </c>
      <c r="R6" s="109" t="s">
        <v>454</v>
      </c>
      <c r="S6" s="110"/>
      <c r="T6" s="111"/>
      <c r="U6" s="73"/>
    </row>
    <row r="7" spans="1:21" s="66" customFormat="1" ht="34.5" customHeight="1" x14ac:dyDescent="0.15">
      <c r="A7" s="401"/>
      <c r="B7" s="705"/>
      <c r="C7" s="706" t="s">
        <v>691</v>
      </c>
      <c r="D7" s="706" t="s">
        <v>200</v>
      </c>
      <c r="E7" s="706" t="s">
        <v>461</v>
      </c>
      <c r="F7" s="706" t="s">
        <v>462</v>
      </c>
      <c r="G7" s="706" t="s">
        <v>199</v>
      </c>
      <c r="H7" s="706" t="s">
        <v>455</v>
      </c>
      <c r="I7" s="706" t="s">
        <v>692</v>
      </c>
      <c r="J7" s="706" t="s">
        <v>463</v>
      </c>
      <c r="K7" s="572" t="s">
        <v>464</v>
      </c>
      <c r="L7" s="707" t="s">
        <v>903</v>
      </c>
      <c r="M7" s="707" t="s">
        <v>198</v>
      </c>
      <c r="N7" s="707" t="s">
        <v>197</v>
      </c>
      <c r="O7" s="708" t="s">
        <v>196</v>
      </c>
      <c r="P7" s="513" t="s">
        <v>465</v>
      </c>
      <c r="Q7" s="106"/>
      <c r="R7" s="106"/>
      <c r="S7" s="718"/>
      <c r="T7" s="1155"/>
      <c r="U7" s="73"/>
    </row>
    <row r="8" spans="1:21" s="66" customFormat="1" ht="15.2" customHeight="1" x14ac:dyDescent="0.15">
      <c r="A8" s="403"/>
      <c r="B8" s="399"/>
      <c r="C8" s="720"/>
      <c r="D8" s="721"/>
      <c r="E8" s="721"/>
      <c r="F8" s="721"/>
      <c r="G8" s="721"/>
      <c r="H8" s="721"/>
      <c r="I8" s="721"/>
      <c r="J8" s="721"/>
      <c r="K8" s="721"/>
      <c r="L8" s="721"/>
      <c r="M8" s="721"/>
      <c r="N8" s="721"/>
      <c r="O8" s="721"/>
      <c r="P8" s="721"/>
      <c r="Q8" s="721"/>
      <c r="R8" s="722"/>
      <c r="S8" s="97"/>
      <c r="T8" s="1154"/>
      <c r="U8" s="89"/>
    </row>
    <row r="9" spans="1:21" s="66" customFormat="1" ht="15.2" customHeight="1" x14ac:dyDescent="0.15">
      <c r="A9" s="403"/>
      <c r="B9" s="404" t="s">
        <v>904</v>
      </c>
      <c r="C9" s="101">
        <v>7968887</v>
      </c>
      <c r="D9" s="100">
        <v>1553756</v>
      </c>
      <c r="E9" s="100">
        <v>1423282</v>
      </c>
      <c r="F9" s="100">
        <v>717657</v>
      </c>
      <c r="G9" s="100">
        <v>1150884</v>
      </c>
      <c r="H9" s="100">
        <v>1366654</v>
      </c>
      <c r="I9" s="100">
        <v>1756654</v>
      </c>
      <c r="J9" s="100">
        <v>631330</v>
      </c>
      <c r="K9" s="100">
        <v>1125324</v>
      </c>
      <c r="L9" s="100">
        <v>427487</v>
      </c>
      <c r="M9" s="100">
        <v>194485</v>
      </c>
      <c r="N9" s="100">
        <v>9362</v>
      </c>
      <c r="O9" s="100">
        <v>11602</v>
      </c>
      <c r="P9" s="100">
        <v>1602366</v>
      </c>
      <c r="Q9" s="100">
        <v>1024554</v>
      </c>
      <c r="R9" s="99">
        <v>577812</v>
      </c>
      <c r="S9" s="100"/>
      <c r="T9" s="1158" t="s">
        <v>194</v>
      </c>
      <c r="U9" s="403"/>
    </row>
    <row r="10" spans="1:21" s="66" customFormat="1" ht="15.2" customHeight="1" x14ac:dyDescent="0.15">
      <c r="A10" s="403"/>
      <c r="B10" s="399" t="s">
        <v>193</v>
      </c>
      <c r="C10" s="98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103"/>
      <c r="Q10" s="103"/>
      <c r="R10" s="102"/>
      <c r="S10" s="103"/>
      <c r="T10" s="1160"/>
      <c r="U10" s="403"/>
    </row>
    <row r="11" spans="1:21" s="66" customFormat="1" ht="15.2" customHeight="1" x14ac:dyDescent="0.15">
      <c r="A11" s="403"/>
      <c r="B11" s="406" t="s">
        <v>466</v>
      </c>
      <c r="C11" s="98">
        <v>4624021</v>
      </c>
      <c r="D11" s="97">
        <v>815259</v>
      </c>
      <c r="E11" s="105">
        <v>1018670</v>
      </c>
      <c r="F11" s="105">
        <v>395341</v>
      </c>
      <c r="G11" s="105">
        <v>606068</v>
      </c>
      <c r="H11" s="105">
        <v>707472</v>
      </c>
      <c r="I11" s="97">
        <v>1081211</v>
      </c>
      <c r="J11" s="105">
        <v>290384</v>
      </c>
      <c r="K11" s="105">
        <v>790827</v>
      </c>
      <c r="L11" s="105">
        <v>154085</v>
      </c>
      <c r="M11" s="105">
        <v>150692</v>
      </c>
      <c r="N11" s="105" t="s">
        <v>796</v>
      </c>
      <c r="O11" s="105">
        <v>3570</v>
      </c>
      <c r="P11" s="97">
        <v>224001</v>
      </c>
      <c r="Q11" s="97">
        <v>74096</v>
      </c>
      <c r="R11" s="96">
        <v>149905</v>
      </c>
      <c r="S11" s="97"/>
      <c r="T11" s="1154" t="s">
        <v>178</v>
      </c>
      <c r="U11" s="403"/>
    </row>
    <row r="12" spans="1:21" s="66" customFormat="1" ht="15.2" customHeight="1" x14ac:dyDescent="0.15">
      <c r="A12" s="403"/>
      <c r="B12" s="406"/>
      <c r="C12" s="98"/>
      <c r="D12" s="97"/>
      <c r="E12" s="105"/>
      <c r="F12" s="105"/>
      <c r="G12" s="105"/>
      <c r="H12" s="105"/>
      <c r="I12" s="97"/>
      <c r="J12" s="105"/>
      <c r="K12" s="105"/>
      <c r="L12" s="105"/>
      <c r="M12" s="105"/>
      <c r="N12" s="105"/>
      <c r="O12" s="105"/>
      <c r="P12" s="105"/>
      <c r="Q12" s="105"/>
      <c r="R12" s="104"/>
      <c r="S12" s="105"/>
      <c r="T12" s="1154"/>
      <c r="U12" s="403"/>
    </row>
    <row r="13" spans="1:21" s="66" customFormat="1" ht="21" customHeight="1" x14ac:dyDescent="0.15">
      <c r="A13" s="403"/>
      <c r="B13" s="406" t="s">
        <v>693</v>
      </c>
      <c r="C13" s="98">
        <v>3344866</v>
      </c>
      <c r="D13" s="97">
        <v>738497</v>
      </c>
      <c r="E13" s="97">
        <v>404612</v>
      </c>
      <c r="F13" s="97">
        <v>322316</v>
      </c>
      <c r="G13" s="97">
        <v>544816</v>
      </c>
      <c r="H13" s="97">
        <v>659182</v>
      </c>
      <c r="I13" s="97">
        <v>675443</v>
      </c>
      <c r="J13" s="97">
        <v>340946</v>
      </c>
      <c r="K13" s="97">
        <v>334497</v>
      </c>
      <c r="L13" s="97">
        <v>273402</v>
      </c>
      <c r="M13" s="97">
        <v>43793</v>
      </c>
      <c r="N13" s="97">
        <v>9362</v>
      </c>
      <c r="O13" s="97">
        <v>8032</v>
      </c>
      <c r="P13" s="105">
        <v>1378365</v>
      </c>
      <c r="Q13" s="105">
        <v>950458</v>
      </c>
      <c r="R13" s="104">
        <v>427907</v>
      </c>
      <c r="S13" s="105"/>
      <c r="T13" s="1154" t="s">
        <v>181</v>
      </c>
      <c r="U13" s="403"/>
    </row>
    <row r="14" spans="1:21" s="66" customFormat="1" ht="15.2" customHeight="1" x14ac:dyDescent="0.15">
      <c r="A14" s="403"/>
      <c r="B14" s="399" t="s">
        <v>193</v>
      </c>
      <c r="C14" s="98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103"/>
      <c r="Q14" s="103"/>
      <c r="R14" s="102"/>
      <c r="S14" s="103"/>
      <c r="T14" s="1160"/>
      <c r="U14" s="403"/>
    </row>
    <row r="15" spans="1:21" s="66" customFormat="1" ht="15.2" customHeight="1" x14ac:dyDescent="0.15">
      <c r="A15" s="403"/>
      <c r="B15" s="407" t="s">
        <v>192</v>
      </c>
      <c r="C15" s="101">
        <v>168033932</v>
      </c>
      <c r="D15" s="100">
        <v>47023539</v>
      </c>
      <c r="E15" s="100">
        <v>35973893</v>
      </c>
      <c r="F15" s="100">
        <v>12631433</v>
      </c>
      <c r="G15" s="100">
        <v>13470623</v>
      </c>
      <c r="H15" s="100">
        <v>35526341</v>
      </c>
      <c r="I15" s="100">
        <v>23408103</v>
      </c>
      <c r="J15" s="100">
        <v>10149150</v>
      </c>
      <c r="K15" s="100">
        <v>13258953</v>
      </c>
      <c r="L15" s="100">
        <v>2272719</v>
      </c>
      <c r="M15" s="100">
        <v>1798484</v>
      </c>
      <c r="N15" s="100">
        <v>68631</v>
      </c>
      <c r="O15" s="100">
        <v>42110</v>
      </c>
      <c r="P15" s="100">
        <v>12794162</v>
      </c>
      <c r="Q15" s="100">
        <v>10105106</v>
      </c>
      <c r="R15" s="99">
        <v>2689056</v>
      </c>
      <c r="S15" s="100"/>
      <c r="T15" s="1161" t="s">
        <v>467</v>
      </c>
      <c r="U15" s="403"/>
    </row>
    <row r="16" spans="1:21" s="66" customFormat="1" ht="15.2" customHeight="1" x14ac:dyDescent="0.15">
      <c r="A16" s="403"/>
      <c r="B16" s="399"/>
      <c r="C16" s="98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103"/>
      <c r="Q16" s="103"/>
      <c r="R16" s="102"/>
      <c r="S16" s="103"/>
      <c r="T16" s="1154"/>
      <c r="U16" s="403"/>
    </row>
    <row r="17" spans="1:21" s="66" customFormat="1" ht="15.2" customHeight="1" x14ac:dyDescent="0.15">
      <c r="A17" s="403"/>
      <c r="B17" s="406" t="s">
        <v>694</v>
      </c>
      <c r="C17" s="98">
        <v>132183798</v>
      </c>
      <c r="D17" s="97">
        <v>41819596</v>
      </c>
      <c r="E17" s="97">
        <v>12887949</v>
      </c>
      <c r="F17" s="97">
        <v>11720538</v>
      </c>
      <c r="G17" s="97">
        <v>9895096</v>
      </c>
      <c r="H17" s="97">
        <v>33131745</v>
      </c>
      <c r="I17" s="97">
        <v>22728874</v>
      </c>
      <c r="J17" s="97">
        <v>9759503</v>
      </c>
      <c r="K17" s="97">
        <v>12969371</v>
      </c>
      <c r="L17" s="97">
        <v>2059443</v>
      </c>
      <c r="M17" s="97">
        <v>1754613</v>
      </c>
      <c r="N17" s="186">
        <v>57983</v>
      </c>
      <c r="O17" s="97">
        <v>20891</v>
      </c>
      <c r="P17" s="97">
        <v>2289148</v>
      </c>
      <c r="Q17" s="97">
        <v>1445492</v>
      </c>
      <c r="R17" s="96">
        <v>843656</v>
      </c>
      <c r="S17" s="97"/>
      <c r="T17" s="1154" t="s">
        <v>191</v>
      </c>
      <c r="U17" s="403"/>
    </row>
    <row r="18" spans="1:21" s="66" customFormat="1" ht="15.2" customHeight="1" x14ac:dyDescent="0.15">
      <c r="A18" s="403"/>
      <c r="B18" s="406"/>
      <c r="C18" s="98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6"/>
      <c r="S18" s="97"/>
      <c r="T18" s="1154"/>
      <c r="U18" s="403"/>
    </row>
    <row r="19" spans="1:21" s="66" customFormat="1" ht="15.2" customHeight="1" x14ac:dyDescent="0.15">
      <c r="A19" s="403"/>
      <c r="B19" s="406" t="s">
        <v>468</v>
      </c>
      <c r="C19" s="98">
        <v>33820231</v>
      </c>
      <c r="D19" s="97">
        <v>4861497</v>
      </c>
      <c r="E19" s="97">
        <v>23085944</v>
      </c>
      <c r="F19" s="97">
        <v>259803</v>
      </c>
      <c r="G19" s="97">
        <v>3379779</v>
      </c>
      <c r="H19" s="97">
        <v>2099666</v>
      </c>
      <c r="I19" s="97">
        <v>133542</v>
      </c>
      <c r="J19" s="97">
        <v>70986</v>
      </c>
      <c r="K19" s="97">
        <v>62556</v>
      </c>
      <c r="L19" s="97">
        <v>213276</v>
      </c>
      <c r="M19" s="97">
        <v>29358</v>
      </c>
      <c r="N19" s="97">
        <v>1907</v>
      </c>
      <c r="O19" s="97">
        <v>21195</v>
      </c>
      <c r="P19" s="97">
        <v>10377913</v>
      </c>
      <c r="Q19" s="97">
        <v>8583555</v>
      </c>
      <c r="R19" s="96">
        <v>1794358</v>
      </c>
      <c r="S19" s="97"/>
      <c r="T19" s="1157" t="s">
        <v>190</v>
      </c>
      <c r="U19" s="403"/>
    </row>
    <row r="20" spans="1:21" s="66" customFormat="1" ht="15.2" customHeight="1" x14ac:dyDescent="0.15">
      <c r="A20" s="403"/>
      <c r="B20" s="406"/>
      <c r="C20" s="98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103"/>
      <c r="Q20" s="103"/>
      <c r="R20" s="102"/>
      <c r="S20" s="103"/>
      <c r="T20" s="1157"/>
      <c r="U20" s="403"/>
    </row>
    <row r="21" spans="1:21" s="66" customFormat="1" ht="30.75" customHeight="1" x14ac:dyDescent="0.15">
      <c r="A21" s="403"/>
      <c r="B21" s="406" t="s">
        <v>695</v>
      </c>
      <c r="C21" s="98">
        <v>262770</v>
      </c>
      <c r="D21" s="97">
        <v>19999</v>
      </c>
      <c r="E21" s="97" t="s">
        <v>796</v>
      </c>
      <c r="F21" s="97">
        <v>82577</v>
      </c>
      <c r="G21" s="97">
        <v>15626</v>
      </c>
      <c r="H21" s="97">
        <v>53307</v>
      </c>
      <c r="I21" s="97">
        <v>91261</v>
      </c>
      <c r="J21" s="97">
        <v>91261</v>
      </c>
      <c r="K21" s="97" t="s">
        <v>796</v>
      </c>
      <c r="L21" s="97" t="s">
        <v>796</v>
      </c>
      <c r="M21" s="97" t="s">
        <v>796</v>
      </c>
      <c r="N21" s="97">
        <v>8741</v>
      </c>
      <c r="O21" s="97" t="s">
        <v>796</v>
      </c>
      <c r="P21" s="97">
        <v>30648</v>
      </c>
      <c r="Q21" s="97" t="s">
        <v>796</v>
      </c>
      <c r="R21" s="96">
        <v>30648</v>
      </c>
      <c r="S21" s="97"/>
      <c r="T21" s="1157" t="s">
        <v>457</v>
      </c>
      <c r="U21" s="403"/>
    </row>
    <row r="22" spans="1:21" s="66" customFormat="1" ht="15.2" customHeight="1" x14ac:dyDescent="0.15">
      <c r="A22" s="403"/>
      <c r="B22" s="406"/>
      <c r="C22" s="98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103"/>
      <c r="Q22" s="103"/>
      <c r="R22" s="102"/>
      <c r="S22" s="103"/>
      <c r="T22" s="1157"/>
      <c r="U22" s="403"/>
    </row>
    <row r="23" spans="1:21" s="66" customFormat="1" ht="23.25" customHeight="1" x14ac:dyDescent="0.15">
      <c r="A23" s="403"/>
      <c r="B23" s="406" t="s">
        <v>698</v>
      </c>
      <c r="C23" s="98" t="s">
        <v>796</v>
      </c>
      <c r="D23" s="97" t="s">
        <v>796</v>
      </c>
      <c r="E23" s="97" t="s">
        <v>796</v>
      </c>
      <c r="F23" s="97" t="s">
        <v>796</v>
      </c>
      <c r="G23" s="97" t="s">
        <v>796</v>
      </c>
      <c r="H23" s="97" t="s">
        <v>796</v>
      </c>
      <c r="I23" s="97" t="s">
        <v>796</v>
      </c>
      <c r="J23" s="97" t="s">
        <v>796</v>
      </c>
      <c r="K23" s="97" t="s">
        <v>796</v>
      </c>
      <c r="L23" s="97" t="s">
        <v>796</v>
      </c>
      <c r="M23" s="97" t="s">
        <v>796</v>
      </c>
      <c r="N23" s="97" t="s">
        <v>796</v>
      </c>
      <c r="O23" s="97" t="s">
        <v>796</v>
      </c>
      <c r="P23" s="97" t="s">
        <v>796</v>
      </c>
      <c r="Q23" s="97" t="s">
        <v>796</v>
      </c>
      <c r="R23" s="96" t="s">
        <v>796</v>
      </c>
      <c r="S23" s="97"/>
      <c r="T23" s="1157" t="s">
        <v>458</v>
      </c>
      <c r="U23" s="403"/>
    </row>
    <row r="24" spans="1:21" s="66" customFormat="1" ht="15.2" customHeight="1" x14ac:dyDescent="0.15">
      <c r="A24" s="403"/>
      <c r="B24" s="406"/>
      <c r="C24" s="98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103"/>
      <c r="Q24" s="103"/>
      <c r="R24" s="102"/>
      <c r="S24" s="103"/>
      <c r="T24" s="1157"/>
      <c r="U24" s="403"/>
    </row>
    <row r="25" spans="1:21" s="66" customFormat="1" ht="15.2" customHeight="1" x14ac:dyDescent="0.15">
      <c r="A25" s="403"/>
      <c r="B25" s="408" t="s">
        <v>459</v>
      </c>
      <c r="C25" s="98">
        <v>1767133</v>
      </c>
      <c r="D25" s="97">
        <v>322447</v>
      </c>
      <c r="E25" s="97" t="s">
        <v>796</v>
      </c>
      <c r="F25" s="97">
        <v>568515</v>
      </c>
      <c r="G25" s="97">
        <v>180122</v>
      </c>
      <c r="H25" s="97">
        <v>241623</v>
      </c>
      <c r="I25" s="97">
        <v>454426</v>
      </c>
      <c r="J25" s="97">
        <v>227400</v>
      </c>
      <c r="K25" s="97">
        <v>227026</v>
      </c>
      <c r="L25" s="97" t="s">
        <v>796</v>
      </c>
      <c r="M25" s="97">
        <v>14513</v>
      </c>
      <c r="N25" s="97" t="s">
        <v>796</v>
      </c>
      <c r="O25" s="97">
        <v>24</v>
      </c>
      <c r="P25" s="97">
        <v>96453</v>
      </c>
      <c r="Q25" s="97">
        <v>76059</v>
      </c>
      <c r="R25" s="96">
        <v>20394</v>
      </c>
      <c r="S25" s="97"/>
      <c r="T25" s="1157" t="s">
        <v>189</v>
      </c>
      <c r="U25" s="403"/>
    </row>
    <row r="26" spans="1:21" s="66" customFormat="1" ht="15.2" customHeight="1" x14ac:dyDescent="0.15">
      <c r="A26" s="403"/>
      <c r="B26" s="409"/>
      <c r="C26" s="98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103"/>
      <c r="Q26" s="103"/>
      <c r="R26" s="102"/>
      <c r="S26" s="103"/>
      <c r="T26" s="1157"/>
      <c r="U26" s="403"/>
    </row>
    <row r="27" spans="1:21" s="66" customFormat="1" ht="15.2" customHeight="1" x14ac:dyDescent="0.15">
      <c r="A27" s="403"/>
      <c r="B27" s="407" t="s">
        <v>188</v>
      </c>
      <c r="C27" s="101">
        <v>167487049</v>
      </c>
      <c r="D27" s="100">
        <v>46977542</v>
      </c>
      <c r="E27" s="100">
        <v>35934456</v>
      </c>
      <c r="F27" s="100">
        <v>12660017</v>
      </c>
      <c r="G27" s="100">
        <v>12995546</v>
      </c>
      <c r="H27" s="100">
        <v>35629960</v>
      </c>
      <c r="I27" s="100">
        <v>23289528</v>
      </c>
      <c r="J27" s="100">
        <v>10068588</v>
      </c>
      <c r="K27" s="100">
        <v>13220940</v>
      </c>
      <c r="L27" s="100">
        <v>2277846</v>
      </c>
      <c r="M27" s="100">
        <v>1795358</v>
      </c>
      <c r="N27" s="100">
        <v>67466</v>
      </c>
      <c r="O27" s="100">
        <v>42007</v>
      </c>
      <c r="P27" s="100">
        <v>12805566</v>
      </c>
      <c r="Q27" s="100">
        <v>10131910</v>
      </c>
      <c r="R27" s="99">
        <v>2673656</v>
      </c>
      <c r="S27" s="100"/>
      <c r="T27" s="1158" t="s">
        <v>469</v>
      </c>
      <c r="U27" s="403"/>
    </row>
    <row r="28" spans="1:21" s="66" customFormat="1" ht="15.2" customHeight="1" x14ac:dyDescent="0.15">
      <c r="A28" s="403"/>
      <c r="B28" s="399"/>
      <c r="C28" s="98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103"/>
      <c r="Q28" s="103"/>
      <c r="R28" s="102"/>
      <c r="S28" s="103"/>
      <c r="T28" s="1157"/>
      <c r="U28" s="403"/>
    </row>
    <row r="29" spans="1:21" s="66" customFormat="1" ht="15.2" customHeight="1" x14ac:dyDescent="0.15">
      <c r="A29" s="89"/>
      <c r="B29" s="406" t="s">
        <v>187</v>
      </c>
      <c r="C29" s="98">
        <v>138057037</v>
      </c>
      <c r="D29" s="97">
        <v>43638733</v>
      </c>
      <c r="E29" s="97">
        <v>34050339</v>
      </c>
      <c r="F29" s="97">
        <v>4237450</v>
      </c>
      <c r="G29" s="97">
        <v>11092148</v>
      </c>
      <c r="H29" s="97">
        <v>30740729</v>
      </c>
      <c r="I29" s="97">
        <v>14297638</v>
      </c>
      <c r="J29" s="97">
        <v>9709339</v>
      </c>
      <c r="K29" s="97">
        <v>4588299</v>
      </c>
      <c r="L29" s="97">
        <v>1695447</v>
      </c>
      <c r="M29" s="97">
        <v>1356476</v>
      </c>
      <c r="N29" s="97">
        <v>46993</v>
      </c>
      <c r="O29" s="97">
        <v>27712</v>
      </c>
      <c r="P29" s="97">
        <v>11502234</v>
      </c>
      <c r="Q29" s="97">
        <v>9661346</v>
      </c>
      <c r="R29" s="96">
        <v>1840888</v>
      </c>
      <c r="S29" s="97"/>
      <c r="T29" s="1157" t="s">
        <v>186</v>
      </c>
      <c r="U29" s="89"/>
    </row>
    <row r="30" spans="1:21" s="66" customFormat="1" ht="15.2" customHeight="1" x14ac:dyDescent="0.15">
      <c r="A30" s="89"/>
      <c r="B30" s="406"/>
      <c r="C30" s="98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6"/>
      <c r="S30" s="97"/>
      <c r="T30" s="1157"/>
      <c r="U30" s="89"/>
    </row>
    <row r="31" spans="1:21" s="66" customFormat="1" ht="15.2" customHeight="1" x14ac:dyDescent="0.15">
      <c r="A31" s="403"/>
      <c r="B31" s="406" t="s">
        <v>470</v>
      </c>
      <c r="C31" s="98">
        <v>24185427</v>
      </c>
      <c r="D31" s="97">
        <v>3278190</v>
      </c>
      <c r="E31" s="97">
        <v>44144</v>
      </c>
      <c r="F31" s="97">
        <v>8388818</v>
      </c>
      <c r="G31" s="97">
        <v>1021815</v>
      </c>
      <c r="H31" s="97">
        <v>4621754</v>
      </c>
      <c r="I31" s="97">
        <v>6830706</v>
      </c>
      <c r="J31" s="97">
        <v>122610</v>
      </c>
      <c r="K31" s="97">
        <v>6708096</v>
      </c>
      <c r="L31" s="97">
        <v>415978</v>
      </c>
      <c r="M31" s="97" t="s">
        <v>796</v>
      </c>
      <c r="N31" s="97">
        <v>831</v>
      </c>
      <c r="O31" s="97">
        <v>12222</v>
      </c>
      <c r="P31" s="97">
        <v>149206</v>
      </c>
      <c r="Q31" s="97">
        <v>144771</v>
      </c>
      <c r="R31" s="96">
        <v>4435</v>
      </c>
      <c r="S31" s="97"/>
      <c r="T31" s="1157" t="s">
        <v>185</v>
      </c>
      <c r="U31" s="403"/>
    </row>
    <row r="32" spans="1:21" s="66" customFormat="1" ht="15.2" customHeight="1" x14ac:dyDescent="0.15">
      <c r="A32" s="403"/>
      <c r="B32" s="406"/>
      <c r="C32" s="98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6"/>
      <c r="S32" s="97"/>
      <c r="T32" s="1157"/>
      <c r="U32" s="403"/>
    </row>
    <row r="33" spans="1:21" s="66" customFormat="1" ht="32.25" customHeight="1" x14ac:dyDescent="0.15">
      <c r="A33" s="403"/>
      <c r="B33" s="406" t="s">
        <v>697</v>
      </c>
      <c r="C33" s="98">
        <v>1592751</v>
      </c>
      <c r="D33" s="97">
        <v>10676</v>
      </c>
      <c r="E33" s="97">
        <v>782624</v>
      </c>
      <c r="F33" s="97">
        <v>32953</v>
      </c>
      <c r="G33" s="97">
        <v>473888</v>
      </c>
      <c r="H33" s="97">
        <v>70473</v>
      </c>
      <c r="I33" s="97">
        <v>222137</v>
      </c>
      <c r="J33" s="97">
        <v>1</v>
      </c>
      <c r="K33" s="97">
        <v>222136</v>
      </c>
      <c r="L33" s="97">
        <v>8558</v>
      </c>
      <c r="M33" s="97">
        <v>13255</v>
      </c>
      <c r="N33" s="97" t="s">
        <v>796</v>
      </c>
      <c r="O33" s="97">
        <v>724</v>
      </c>
      <c r="P33" s="97">
        <v>747532</v>
      </c>
      <c r="Q33" s="97">
        <v>82506</v>
      </c>
      <c r="R33" s="96">
        <v>665026</v>
      </c>
      <c r="S33" s="97"/>
      <c r="T33" s="1157" t="s">
        <v>460</v>
      </c>
      <c r="U33" s="403"/>
    </row>
    <row r="34" spans="1:21" s="66" customFormat="1" ht="15.2" customHeight="1" x14ac:dyDescent="0.15">
      <c r="A34" s="403"/>
      <c r="B34" s="406"/>
      <c r="C34" s="98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6"/>
      <c r="S34" s="97"/>
      <c r="T34" s="1157"/>
      <c r="U34" s="403"/>
    </row>
    <row r="35" spans="1:21" s="66" customFormat="1" ht="15.2" customHeight="1" x14ac:dyDescent="0.15">
      <c r="A35" s="403"/>
      <c r="B35" s="406" t="s">
        <v>471</v>
      </c>
      <c r="C35" s="98">
        <v>1875502</v>
      </c>
      <c r="D35" s="97">
        <v>357</v>
      </c>
      <c r="E35" s="97">
        <v>34864</v>
      </c>
      <c r="F35" s="97" t="s">
        <v>796</v>
      </c>
      <c r="G35" s="97">
        <v>89118</v>
      </c>
      <c r="H35" s="97">
        <v>1319</v>
      </c>
      <c r="I35" s="97">
        <v>1749844</v>
      </c>
      <c r="J35" s="97">
        <v>187732</v>
      </c>
      <c r="K35" s="97">
        <v>1562112</v>
      </c>
      <c r="L35" s="97">
        <v>49509</v>
      </c>
      <c r="M35" s="97">
        <v>401245</v>
      </c>
      <c r="N35" s="97">
        <v>3</v>
      </c>
      <c r="O35" s="97" t="s">
        <v>796</v>
      </c>
      <c r="P35" s="97">
        <v>156642</v>
      </c>
      <c r="Q35" s="97">
        <v>31038</v>
      </c>
      <c r="R35" s="96">
        <v>125604</v>
      </c>
      <c r="S35" s="97"/>
      <c r="T35" s="1157" t="s">
        <v>184</v>
      </c>
      <c r="U35" s="403"/>
    </row>
    <row r="36" spans="1:21" s="66" customFormat="1" ht="15.2" customHeight="1" x14ac:dyDescent="0.15">
      <c r="A36" s="403"/>
      <c r="B36" s="406"/>
      <c r="C36" s="98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6"/>
      <c r="S36" s="97"/>
      <c r="T36" s="1157"/>
      <c r="U36" s="403"/>
    </row>
    <row r="37" spans="1:21" s="66" customFormat="1" ht="15.2" customHeight="1" x14ac:dyDescent="0.15">
      <c r="A37" s="403"/>
      <c r="B37" s="408" t="s">
        <v>472</v>
      </c>
      <c r="C37" s="98">
        <v>1776332</v>
      </c>
      <c r="D37" s="97">
        <v>49586</v>
      </c>
      <c r="E37" s="97">
        <v>1022485</v>
      </c>
      <c r="F37" s="97">
        <v>796</v>
      </c>
      <c r="G37" s="97">
        <v>318577</v>
      </c>
      <c r="H37" s="97">
        <v>195685</v>
      </c>
      <c r="I37" s="97">
        <v>189203</v>
      </c>
      <c r="J37" s="97">
        <v>48906</v>
      </c>
      <c r="K37" s="97">
        <v>140297</v>
      </c>
      <c r="L37" s="97">
        <v>108354</v>
      </c>
      <c r="M37" s="97">
        <v>24382</v>
      </c>
      <c r="N37" s="97">
        <v>19639</v>
      </c>
      <c r="O37" s="97">
        <v>1349</v>
      </c>
      <c r="P37" s="97">
        <v>249952</v>
      </c>
      <c r="Q37" s="97">
        <v>212249</v>
      </c>
      <c r="R37" s="96">
        <v>37703</v>
      </c>
      <c r="S37" s="97"/>
      <c r="T37" s="1157" t="s">
        <v>183</v>
      </c>
      <c r="U37" s="403"/>
    </row>
    <row r="38" spans="1:21" s="66" customFormat="1" ht="15.2" customHeight="1" x14ac:dyDescent="0.15">
      <c r="A38" s="403"/>
      <c r="B38" s="399"/>
      <c r="C38" s="98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6"/>
      <c r="S38" s="97"/>
      <c r="T38" s="1157"/>
      <c r="U38" s="403"/>
    </row>
    <row r="39" spans="1:21" s="66" customFormat="1" ht="15.2" customHeight="1" x14ac:dyDescent="0.15">
      <c r="A39" s="403"/>
      <c r="B39" s="407" t="s">
        <v>905</v>
      </c>
      <c r="C39" s="101">
        <v>8515770</v>
      </c>
      <c r="D39" s="100">
        <v>1599753</v>
      </c>
      <c r="E39" s="100">
        <v>1462719</v>
      </c>
      <c r="F39" s="100">
        <v>689073</v>
      </c>
      <c r="G39" s="100">
        <v>1625961</v>
      </c>
      <c r="H39" s="100">
        <v>1263035</v>
      </c>
      <c r="I39" s="100">
        <v>1875229</v>
      </c>
      <c r="J39" s="100">
        <v>711892</v>
      </c>
      <c r="K39" s="100">
        <v>1163337</v>
      </c>
      <c r="L39" s="100">
        <v>422360</v>
      </c>
      <c r="M39" s="100">
        <v>197611</v>
      </c>
      <c r="N39" s="100">
        <v>10527</v>
      </c>
      <c r="O39" s="100">
        <v>11705</v>
      </c>
      <c r="P39" s="100">
        <v>1590962</v>
      </c>
      <c r="Q39" s="100">
        <v>997750</v>
      </c>
      <c r="R39" s="99">
        <v>593212</v>
      </c>
      <c r="S39" s="100"/>
      <c r="T39" s="1158" t="s">
        <v>473</v>
      </c>
      <c r="U39" s="403"/>
    </row>
    <row r="40" spans="1:21" s="66" customFormat="1" ht="15.2" customHeight="1" x14ac:dyDescent="0.15">
      <c r="A40" s="403"/>
      <c r="B40" s="399"/>
      <c r="C40" s="98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6"/>
      <c r="S40" s="97"/>
      <c r="T40" s="1157"/>
      <c r="U40" s="403"/>
    </row>
    <row r="41" spans="1:21" s="66" customFormat="1" ht="15.2" customHeight="1" x14ac:dyDescent="0.15">
      <c r="A41" s="403"/>
      <c r="B41" s="406" t="s">
        <v>466</v>
      </c>
      <c r="C41" s="98">
        <v>4545626</v>
      </c>
      <c r="D41" s="97">
        <v>689037</v>
      </c>
      <c r="E41" s="97">
        <v>1166281</v>
      </c>
      <c r="F41" s="97">
        <v>339869</v>
      </c>
      <c r="G41" s="97">
        <v>761078</v>
      </c>
      <c r="H41" s="97">
        <v>612028</v>
      </c>
      <c r="I41" s="97">
        <v>977333</v>
      </c>
      <c r="J41" s="97">
        <v>287318</v>
      </c>
      <c r="K41" s="97">
        <v>690015</v>
      </c>
      <c r="L41" s="97">
        <v>150295</v>
      </c>
      <c r="M41" s="97">
        <v>149101</v>
      </c>
      <c r="N41" s="97" t="s">
        <v>796</v>
      </c>
      <c r="O41" s="97">
        <v>4121</v>
      </c>
      <c r="P41" s="97">
        <v>191630</v>
      </c>
      <c r="Q41" s="97">
        <v>69181</v>
      </c>
      <c r="R41" s="96">
        <v>122449</v>
      </c>
      <c r="S41" s="97"/>
      <c r="T41" s="1154" t="s">
        <v>178</v>
      </c>
      <c r="U41" s="403"/>
    </row>
    <row r="42" spans="1:21" s="66" customFormat="1" ht="15.2" customHeight="1" x14ac:dyDescent="0.15">
      <c r="A42" s="403"/>
      <c r="B42" s="406"/>
      <c r="C42" s="98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6"/>
      <c r="S42" s="97"/>
      <c r="T42" s="1154"/>
      <c r="U42" s="403"/>
    </row>
    <row r="43" spans="1:21" s="66" customFormat="1" ht="21" customHeight="1" x14ac:dyDescent="0.15">
      <c r="A43" s="403"/>
      <c r="B43" s="406" t="s">
        <v>693</v>
      </c>
      <c r="C43" s="122">
        <v>3970144</v>
      </c>
      <c r="D43" s="121">
        <v>910716</v>
      </c>
      <c r="E43" s="120">
        <v>296438</v>
      </c>
      <c r="F43" s="121">
        <v>349204</v>
      </c>
      <c r="G43" s="121">
        <v>864883</v>
      </c>
      <c r="H43" s="121">
        <v>651007</v>
      </c>
      <c r="I43" s="120">
        <v>897896</v>
      </c>
      <c r="J43" s="120">
        <v>424574</v>
      </c>
      <c r="K43" s="121">
        <v>473322</v>
      </c>
      <c r="L43" s="120">
        <v>272065</v>
      </c>
      <c r="M43" s="120">
        <v>48510</v>
      </c>
      <c r="N43" s="120">
        <v>10527</v>
      </c>
      <c r="O43" s="120">
        <v>7584</v>
      </c>
      <c r="P43" s="120">
        <v>1399332</v>
      </c>
      <c r="Q43" s="120">
        <v>928569</v>
      </c>
      <c r="R43" s="469">
        <v>470763</v>
      </c>
      <c r="S43" s="120"/>
      <c r="T43" s="1154" t="s">
        <v>181</v>
      </c>
      <c r="U43" s="403"/>
    </row>
    <row r="44" spans="1:21" s="66" customFormat="1" ht="15.2" customHeight="1" x14ac:dyDescent="0.15">
      <c r="A44" s="403"/>
      <c r="B44" s="712"/>
      <c r="C44" s="713"/>
      <c r="D44" s="714"/>
      <c r="E44" s="714"/>
      <c r="F44" s="714"/>
      <c r="G44" s="714"/>
      <c r="H44" s="714"/>
      <c r="I44" s="714"/>
      <c r="J44" s="714"/>
      <c r="K44" s="714"/>
      <c r="L44" s="714"/>
      <c r="M44" s="714"/>
      <c r="N44" s="714"/>
      <c r="O44" s="714"/>
      <c r="P44" s="714"/>
      <c r="Q44" s="714"/>
      <c r="R44" s="714"/>
      <c r="S44" s="713"/>
      <c r="T44" s="712"/>
      <c r="U44" s="89"/>
    </row>
    <row r="45" spans="1:21" s="94" customFormat="1" ht="15.2" customHeight="1" x14ac:dyDescent="0.15">
      <c r="A45" s="410"/>
      <c r="B45" s="95" t="s">
        <v>895</v>
      </c>
      <c r="C45" s="411"/>
      <c r="D45" s="411"/>
      <c r="E45" s="411"/>
      <c r="F45" s="411"/>
      <c r="G45" s="411"/>
      <c r="H45" s="411"/>
      <c r="I45" s="411"/>
      <c r="K45" s="95"/>
      <c r="L45" s="95" t="s">
        <v>896</v>
      </c>
      <c r="M45" s="411"/>
      <c r="N45" s="95"/>
      <c r="O45" s="411"/>
      <c r="P45" s="411"/>
      <c r="Q45" s="411"/>
      <c r="R45" s="411"/>
      <c r="S45" s="411"/>
      <c r="T45" s="411"/>
      <c r="U45" s="412"/>
    </row>
    <row r="46" spans="1:21" s="94" customFormat="1" ht="15.2" customHeight="1" x14ac:dyDescent="0.15">
      <c r="A46" s="410"/>
      <c r="B46" s="94" t="s">
        <v>897</v>
      </c>
      <c r="C46" s="411"/>
      <c r="D46" s="411"/>
      <c r="E46" s="411"/>
      <c r="F46" s="410"/>
      <c r="K46" s="95"/>
      <c r="L46" s="95" t="s">
        <v>898</v>
      </c>
      <c r="M46" s="411"/>
      <c r="N46" s="411"/>
      <c r="O46" s="411"/>
      <c r="P46" s="411"/>
      <c r="Q46" s="411"/>
      <c r="R46" s="411"/>
      <c r="S46" s="411"/>
      <c r="T46" s="411"/>
      <c r="U46" s="412"/>
    </row>
    <row r="47" spans="1:21" s="94" customFormat="1" ht="15.2" customHeight="1" x14ac:dyDescent="0.15">
      <c r="A47" s="410"/>
      <c r="B47" s="94" t="s">
        <v>474</v>
      </c>
      <c r="C47" s="411"/>
      <c r="D47" s="411"/>
      <c r="E47" s="411"/>
      <c r="F47" s="410"/>
      <c r="G47" s="95"/>
      <c r="H47" s="411"/>
      <c r="I47" s="411"/>
      <c r="J47" s="411"/>
      <c r="K47" s="95"/>
      <c r="L47" s="95" t="s">
        <v>899</v>
      </c>
      <c r="M47" s="411"/>
      <c r="N47" s="411"/>
      <c r="O47" s="411"/>
      <c r="P47" s="411"/>
      <c r="Q47" s="411"/>
      <c r="R47" s="411"/>
      <c r="S47" s="411"/>
      <c r="T47" s="411"/>
      <c r="U47" s="412"/>
    </row>
    <row r="48" spans="1:21" s="94" customFormat="1" ht="15.2" customHeight="1" x14ac:dyDescent="0.15">
      <c r="A48" s="410"/>
      <c r="B48" s="470" t="s">
        <v>900</v>
      </c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411"/>
      <c r="P48" s="411"/>
      <c r="Q48" s="411"/>
      <c r="R48" s="411"/>
      <c r="S48" s="411"/>
      <c r="T48" s="411"/>
      <c r="U48" s="412"/>
    </row>
    <row r="49" spans="21:21" s="94" customFormat="1" ht="15.2" customHeight="1" x14ac:dyDescent="0.15">
      <c r="U49" s="165"/>
    </row>
  </sheetData>
  <phoneticPr fontId="34"/>
  <pageMargins left="0.59055118110236227" right="0.59055118110236227" top="0.59055118110236227" bottom="0.59055118110236227" header="0.59055118110236227" footer="0.15748031496062992"/>
  <pageSetup paperSize="9" scale="94" fitToWidth="0" fitToHeight="0" orientation="portrait" r:id="rId1"/>
  <headerFooter alignWithMargins="0">
    <oddHeader xml:space="preserve">&amp;R
</oddHeader>
  </headerFooter>
  <colBreaks count="1" manualBreakCount="1">
    <brk id="11" max="47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5292-6A5C-44D8-8829-9B7D83873C18}">
  <dimension ref="A1:V45"/>
  <sheetViews>
    <sheetView view="pageBreakPreview" zoomScaleNormal="50" zoomScaleSheetLayoutView="100" workbookViewId="0"/>
  </sheetViews>
  <sheetFormatPr defaultColWidth="8.125" defaultRowHeight="17.25" x14ac:dyDescent="0.2"/>
  <cols>
    <col min="1" max="1" width="2.375" style="123" customWidth="1"/>
    <col min="2" max="2" width="11.125" style="123" customWidth="1"/>
    <col min="3" max="3" width="8" style="123" customWidth="1"/>
    <col min="4" max="18" width="7.5" style="123" customWidth="1"/>
    <col min="19" max="19" width="0.875" style="123" customWidth="1"/>
    <col min="20" max="20" width="16.75" style="125" customWidth="1"/>
    <col min="21" max="21" width="1.875" style="124" customWidth="1"/>
    <col min="22" max="22" width="5.75" style="123" customWidth="1"/>
    <col min="23" max="16384" width="8.125" style="123"/>
  </cols>
  <sheetData>
    <row r="1" spans="1:21" s="157" customFormat="1" ht="17.25" customHeight="1" x14ac:dyDescent="0.2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T1" s="158"/>
      <c r="U1" s="148"/>
    </row>
    <row r="2" spans="1:21" s="148" customFormat="1" ht="17.25" customHeight="1" x14ac:dyDescent="0.2">
      <c r="A2" s="154"/>
      <c r="B2" s="156" t="s">
        <v>525</v>
      </c>
      <c r="C2" s="153"/>
      <c r="D2" s="153"/>
      <c r="E2" s="149"/>
      <c r="F2" s="155"/>
      <c r="G2" s="154"/>
      <c r="H2" s="154"/>
      <c r="I2" s="121"/>
      <c r="J2" s="149"/>
      <c r="K2" s="149"/>
      <c r="L2" s="152"/>
      <c r="M2" s="149"/>
      <c r="N2" s="151"/>
      <c r="O2" s="151"/>
      <c r="P2" s="151"/>
      <c r="Q2" s="151"/>
      <c r="R2" s="151"/>
      <c r="S2" s="151"/>
      <c r="T2" s="150"/>
      <c r="U2" s="149"/>
    </row>
    <row r="3" spans="1:21" s="148" customFormat="1" ht="17.25" customHeight="1" x14ac:dyDescent="0.2">
      <c r="A3" s="154"/>
      <c r="B3" s="156" t="s">
        <v>475</v>
      </c>
      <c r="C3" s="153"/>
      <c r="D3" s="153"/>
      <c r="E3" s="149"/>
      <c r="F3" s="155"/>
      <c r="G3" s="154"/>
      <c r="H3" s="154"/>
      <c r="I3" s="153"/>
      <c r="J3" s="149"/>
      <c r="K3" s="149"/>
      <c r="L3" s="152"/>
      <c r="M3" s="149"/>
      <c r="N3" s="151"/>
      <c r="O3" s="151"/>
      <c r="P3" s="151"/>
      <c r="Q3" s="151"/>
      <c r="R3" s="151"/>
      <c r="S3" s="151"/>
      <c r="T3" s="150"/>
      <c r="U3" s="149"/>
    </row>
    <row r="4" spans="1:21" ht="17.25" customHeight="1" x14ac:dyDescent="0.2">
      <c r="A4" s="147"/>
      <c r="B4" s="716" t="s">
        <v>894</v>
      </c>
      <c r="C4" s="723"/>
      <c r="D4" s="723"/>
      <c r="E4" s="723"/>
      <c r="F4" s="724" t="s">
        <v>193</v>
      </c>
      <c r="G4" s="723" t="s">
        <v>193</v>
      </c>
      <c r="H4" s="723"/>
      <c r="I4" s="723"/>
      <c r="J4" s="723"/>
      <c r="K4" s="723"/>
      <c r="L4" s="725"/>
      <c r="M4" s="725"/>
      <c r="N4" s="726"/>
      <c r="O4" s="727"/>
      <c r="P4" s="727"/>
      <c r="Q4" s="718"/>
      <c r="R4" s="719" t="s">
        <v>603</v>
      </c>
      <c r="S4" s="719"/>
      <c r="T4" s="728"/>
      <c r="U4" s="146"/>
    </row>
    <row r="5" spans="1:21" s="126" customFormat="1" ht="17.25" customHeight="1" x14ac:dyDescent="0.15">
      <c r="A5" s="129"/>
      <c r="B5" s="145"/>
      <c r="C5" s="699"/>
      <c r="D5" s="119"/>
      <c r="E5" s="119"/>
      <c r="F5" s="119"/>
      <c r="G5" s="119"/>
      <c r="H5" s="119"/>
      <c r="I5" s="119"/>
      <c r="J5" s="119"/>
      <c r="K5" s="118"/>
      <c r="L5" s="117"/>
      <c r="M5" s="116"/>
      <c r="N5" s="116"/>
      <c r="O5" s="116"/>
      <c r="P5" s="116"/>
      <c r="Q5" s="115"/>
      <c r="R5" s="114"/>
      <c r="S5" s="695"/>
      <c r="T5" s="1154"/>
      <c r="U5" s="115"/>
    </row>
    <row r="6" spans="1:21" s="126" customFormat="1" ht="17.25" customHeight="1" x14ac:dyDescent="0.15">
      <c r="A6" s="143"/>
      <c r="B6" s="144" t="s">
        <v>441</v>
      </c>
      <c r="C6" s="111" t="s">
        <v>206</v>
      </c>
      <c r="D6" s="107" t="s">
        <v>442</v>
      </c>
      <c r="E6" s="107" t="s">
        <v>443</v>
      </c>
      <c r="F6" s="107" t="s">
        <v>444</v>
      </c>
      <c r="G6" s="107" t="s">
        <v>445</v>
      </c>
      <c r="H6" s="107" t="s">
        <v>446</v>
      </c>
      <c r="I6" s="107" t="s">
        <v>447</v>
      </c>
      <c r="J6" s="700"/>
      <c r="K6" s="701"/>
      <c r="L6" s="109" t="s">
        <v>448</v>
      </c>
      <c r="M6" s="110" t="s">
        <v>449</v>
      </c>
      <c r="N6" s="110" t="s">
        <v>450</v>
      </c>
      <c r="O6" s="110" t="s">
        <v>451</v>
      </c>
      <c r="P6" s="112" t="s">
        <v>480</v>
      </c>
      <c r="Q6" s="702"/>
      <c r="R6" s="703"/>
      <c r="S6" s="514"/>
      <c r="T6" s="111" t="s">
        <v>205</v>
      </c>
      <c r="U6" s="115"/>
    </row>
    <row r="7" spans="1:21" s="126" customFormat="1" ht="17.25" customHeight="1" x14ac:dyDescent="0.15">
      <c r="A7" s="143"/>
      <c r="B7" s="144"/>
      <c r="C7" s="111"/>
      <c r="D7" s="107" t="s">
        <v>203</v>
      </c>
      <c r="E7" s="107" t="s">
        <v>203</v>
      </c>
      <c r="F7" s="107" t="s">
        <v>204</v>
      </c>
      <c r="G7" s="107"/>
      <c r="H7" s="107"/>
      <c r="I7" s="107" t="s">
        <v>203</v>
      </c>
      <c r="J7" s="107" t="s">
        <v>202</v>
      </c>
      <c r="K7" s="704" t="s">
        <v>201</v>
      </c>
      <c r="L7" s="109"/>
      <c r="M7" s="110"/>
      <c r="N7" s="110"/>
      <c r="O7" s="110"/>
      <c r="P7" s="110"/>
      <c r="Q7" s="110" t="s">
        <v>453</v>
      </c>
      <c r="R7" s="109" t="s">
        <v>454</v>
      </c>
      <c r="S7" s="110"/>
      <c r="T7" s="111"/>
      <c r="U7" s="115"/>
    </row>
    <row r="8" spans="1:21" s="126" customFormat="1" ht="34.5" customHeight="1" x14ac:dyDescent="0.15">
      <c r="A8" s="143"/>
      <c r="B8" s="729"/>
      <c r="C8" s="706" t="s">
        <v>691</v>
      </c>
      <c r="D8" s="706" t="s">
        <v>200</v>
      </c>
      <c r="E8" s="706" t="s">
        <v>461</v>
      </c>
      <c r="F8" s="706" t="s">
        <v>462</v>
      </c>
      <c r="G8" s="706" t="s">
        <v>199</v>
      </c>
      <c r="H8" s="706" t="s">
        <v>455</v>
      </c>
      <c r="I8" s="706" t="s">
        <v>692</v>
      </c>
      <c r="J8" s="706" t="s">
        <v>463</v>
      </c>
      <c r="K8" s="572" t="s">
        <v>481</v>
      </c>
      <c r="L8" s="707" t="s">
        <v>476</v>
      </c>
      <c r="M8" s="707" t="s">
        <v>198</v>
      </c>
      <c r="N8" s="707" t="s">
        <v>197</v>
      </c>
      <c r="O8" s="708" t="s">
        <v>196</v>
      </c>
      <c r="P8" s="513" t="s">
        <v>465</v>
      </c>
      <c r="Q8" s="106"/>
      <c r="R8" s="106"/>
      <c r="S8" s="718"/>
      <c r="T8" s="1155"/>
      <c r="U8" s="115"/>
    </row>
    <row r="9" spans="1:21" s="126" customFormat="1" ht="15" customHeight="1" x14ac:dyDescent="0.15">
      <c r="A9" s="120"/>
      <c r="B9" s="136"/>
      <c r="C9" s="730"/>
      <c r="D9" s="731"/>
      <c r="E9" s="731"/>
      <c r="F9" s="731"/>
      <c r="G9" s="731"/>
      <c r="H9" s="731"/>
      <c r="I9" s="731"/>
      <c r="J9" s="731"/>
      <c r="K9" s="731"/>
      <c r="L9" s="731"/>
      <c r="M9" s="731"/>
      <c r="N9" s="731"/>
      <c r="O9" s="731"/>
      <c r="P9" s="142"/>
      <c r="Q9" s="142"/>
      <c r="R9" s="732"/>
      <c r="S9" s="142"/>
      <c r="T9" s="115"/>
      <c r="U9" s="120"/>
    </row>
    <row r="10" spans="1:21" s="126" customFormat="1" ht="15" customHeight="1" x14ac:dyDescent="0.15">
      <c r="A10" s="120"/>
      <c r="B10" s="136" t="s">
        <v>906</v>
      </c>
      <c r="C10" s="135">
        <v>4245878</v>
      </c>
      <c r="D10" s="121">
        <v>761577</v>
      </c>
      <c r="E10" s="121">
        <v>385866</v>
      </c>
      <c r="F10" s="121">
        <v>317940</v>
      </c>
      <c r="G10" s="121">
        <v>1384268</v>
      </c>
      <c r="H10" s="121">
        <v>611713</v>
      </c>
      <c r="I10" s="121">
        <v>784514</v>
      </c>
      <c r="J10" s="121">
        <v>423654</v>
      </c>
      <c r="K10" s="121">
        <v>360860</v>
      </c>
      <c r="L10" s="121">
        <v>295402</v>
      </c>
      <c r="M10" s="121">
        <v>41413</v>
      </c>
      <c r="N10" s="121">
        <v>9416</v>
      </c>
      <c r="O10" s="121">
        <v>8138</v>
      </c>
      <c r="P10" s="121">
        <v>1558917</v>
      </c>
      <c r="Q10" s="121">
        <v>1112518</v>
      </c>
      <c r="R10" s="133">
        <v>446399</v>
      </c>
      <c r="S10" s="121"/>
      <c r="T10" s="128" t="s">
        <v>194</v>
      </c>
      <c r="U10" s="120"/>
    </row>
    <row r="11" spans="1:21" s="126" customFormat="1" ht="15" customHeight="1" x14ac:dyDescent="0.15">
      <c r="A11" s="120"/>
      <c r="B11" s="136"/>
      <c r="C11" s="135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33"/>
      <c r="S11" s="121"/>
      <c r="T11" s="128"/>
      <c r="U11" s="120"/>
    </row>
    <row r="12" spans="1:21" s="126" customFormat="1" ht="15" customHeight="1" x14ac:dyDescent="0.15">
      <c r="A12" s="120"/>
      <c r="B12" s="140" t="s">
        <v>192</v>
      </c>
      <c r="C12" s="139">
        <v>350839579</v>
      </c>
      <c r="D12" s="138">
        <v>102812792</v>
      </c>
      <c r="E12" s="138">
        <v>62894427</v>
      </c>
      <c r="F12" s="138">
        <v>23866947</v>
      </c>
      <c r="G12" s="138">
        <v>32631450</v>
      </c>
      <c r="H12" s="138">
        <v>79916280</v>
      </c>
      <c r="I12" s="138">
        <v>48717683</v>
      </c>
      <c r="J12" s="138">
        <v>22715829</v>
      </c>
      <c r="K12" s="138">
        <v>26001854</v>
      </c>
      <c r="L12" s="138">
        <v>4665165</v>
      </c>
      <c r="M12" s="138">
        <v>3034913</v>
      </c>
      <c r="N12" s="138">
        <v>101585</v>
      </c>
      <c r="O12" s="138">
        <v>85418</v>
      </c>
      <c r="P12" s="138">
        <v>29824154</v>
      </c>
      <c r="Q12" s="138">
        <v>24038594</v>
      </c>
      <c r="R12" s="471">
        <v>5785560</v>
      </c>
      <c r="S12" s="138"/>
      <c r="T12" s="472" t="s">
        <v>467</v>
      </c>
      <c r="U12" s="120"/>
    </row>
    <row r="13" spans="1:21" s="126" customFormat="1" ht="15" customHeight="1" x14ac:dyDescent="0.15">
      <c r="A13" s="120"/>
      <c r="B13" s="136"/>
      <c r="C13" s="135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33"/>
      <c r="S13" s="121"/>
      <c r="T13" s="128"/>
      <c r="U13" s="120"/>
    </row>
    <row r="14" spans="1:21" s="126" customFormat="1" ht="21" customHeight="1" x14ac:dyDescent="0.15">
      <c r="A14" s="120"/>
      <c r="B14" s="137" t="s">
        <v>699</v>
      </c>
      <c r="C14" s="135">
        <v>161174024</v>
      </c>
      <c r="D14" s="121">
        <v>45778028</v>
      </c>
      <c r="E14" s="121">
        <v>32094578</v>
      </c>
      <c r="F14" s="121">
        <v>12141423</v>
      </c>
      <c r="G14" s="121">
        <v>11470265</v>
      </c>
      <c r="H14" s="121">
        <v>36089084</v>
      </c>
      <c r="I14" s="121">
        <v>23600646</v>
      </c>
      <c r="J14" s="121">
        <v>9801798</v>
      </c>
      <c r="K14" s="121">
        <v>13798848</v>
      </c>
      <c r="L14" s="121">
        <v>2070143</v>
      </c>
      <c r="M14" s="121">
        <v>1467120</v>
      </c>
      <c r="N14" s="121">
        <v>56928</v>
      </c>
      <c r="O14" s="121">
        <v>38351</v>
      </c>
      <c r="P14" s="121">
        <v>3291062</v>
      </c>
      <c r="Q14" s="121">
        <v>2187147</v>
      </c>
      <c r="R14" s="133">
        <v>1103915</v>
      </c>
      <c r="S14" s="121"/>
      <c r="T14" s="128" t="s">
        <v>191</v>
      </c>
      <c r="U14" s="120"/>
    </row>
    <row r="15" spans="1:21" s="126" customFormat="1" ht="15" customHeight="1" x14ac:dyDescent="0.15">
      <c r="A15" s="120"/>
      <c r="B15" s="137"/>
      <c r="C15" s="135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33"/>
      <c r="S15" s="121"/>
      <c r="T15" s="128"/>
      <c r="U15" s="120"/>
    </row>
    <row r="16" spans="1:21" s="126" customFormat="1" ht="15" customHeight="1" x14ac:dyDescent="0.15">
      <c r="A16" s="120"/>
      <c r="B16" s="137" t="s">
        <v>526</v>
      </c>
      <c r="C16" s="135">
        <v>33128837</v>
      </c>
      <c r="D16" s="121">
        <v>4774005</v>
      </c>
      <c r="E16" s="121">
        <v>23362676</v>
      </c>
      <c r="F16" s="121">
        <v>124198</v>
      </c>
      <c r="G16" s="121">
        <v>2744425</v>
      </c>
      <c r="H16" s="121">
        <v>1906524</v>
      </c>
      <c r="I16" s="121">
        <v>217009</v>
      </c>
      <c r="J16" s="121">
        <v>53929</v>
      </c>
      <c r="K16" s="121">
        <v>163080</v>
      </c>
      <c r="L16" s="121">
        <v>221819</v>
      </c>
      <c r="M16" s="121">
        <v>20710</v>
      </c>
      <c r="N16" s="121">
        <v>1801</v>
      </c>
      <c r="O16" s="121">
        <v>19692</v>
      </c>
      <c r="P16" s="121">
        <v>10395161</v>
      </c>
      <c r="Q16" s="121">
        <v>8533388</v>
      </c>
      <c r="R16" s="133">
        <v>1861773</v>
      </c>
      <c r="S16" s="121"/>
      <c r="T16" s="128" t="s">
        <v>190</v>
      </c>
      <c r="U16" s="120"/>
    </row>
    <row r="17" spans="1:21" s="126" customFormat="1" ht="15" customHeight="1" x14ac:dyDescent="0.15">
      <c r="A17" s="120"/>
      <c r="B17" s="137"/>
      <c r="C17" s="135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33"/>
      <c r="S17" s="121"/>
      <c r="T17" s="128"/>
      <c r="U17" s="120"/>
    </row>
    <row r="18" spans="1:21" s="126" customFormat="1" ht="31.5" customHeight="1" x14ac:dyDescent="0.15">
      <c r="A18" s="120"/>
      <c r="B18" s="141" t="s">
        <v>213</v>
      </c>
      <c r="C18" s="135">
        <v>93085916</v>
      </c>
      <c r="D18" s="121">
        <v>28682295</v>
      </c>
      <c r="E18" s="121">
        <v>5846512</v>
      </c>
      <c r="F18" s="121">
        <v>5600483</v>
      </c>
      <c r="G18" s="121">
        <v>10898984</v>
      </c>
      <c r="H18" s="121">
        <v>25537511</v>
      </c>
      <c r="I18" s="121">
        <v>16520131</v>
      </c>
      <c r="J18" s="121">
        <v>7037853</v>
      </c>
      <c r="K18" s="121">
        <v>9482278</v>
      </c>
      <c r="L18" s="121">
        <v>937879</v>
      </c>
      <c r="M18" s="121">
        <v>1046613</v>
      </c>
      <c r="N18" s="121">
        <v>13474</v>
      </c>
      <c r="O18" s="121">
        <v>8056</v>
      </c>
      <c r="P18" s="121">
        <v>9177337</v>
      </c>
      <c r="Q18" s="121">
        <v>7008981</v>
      </c>
      <c r="R18" s="133">
        <v>2168356</v>
      </c>
      <c r="S18" s="121"/>
      <c r="T18" s="128" t="s">
        <v>527</v>
      </c>
      <c r="U18" s="120"/>
    </row>
    <row r="19" spans="1:21" s="126" customFormat="1" ht="15" customHeight="1" x14ac:dyDescent="0.15">
      <c r="A19" s="120"/>
      <c r="B19" s="137"/>
      <c r="C19" s="135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33"/>
      <c r="S19" s="121"/>
      <c r="T19" s="128"/>
      <c r="U19" s="120"/>
    </row>
    <row r="20" spans="1:21" s="126" customFormat="1" ht="25.5" customHeight="1" x14ac:dyDescent="0.15">
      <c r="A20" s="120"/>
      <c r="B20" s="137" t="s">
        <v>700</v>
      </c>
      <c r="C20" s="135">
        <v>9753645</v>
      </c>
      <c r="D20" s="121">
        <v>3890602</v>
      </c>
      <c r="E20" s="121">
        <v>643081</v>
      </c>
      <c r="F20" s="121">
        <v>289035</v>
      </c>
      <c r="G20" s="121">
        <v>1399224</v>
      </c>
      <c r="H20" s="121">
        <v>1799990</v>
      </c>
      <c r="I20" s="121">
        <v>1731713</v>
      </c>
      <c r="J20" s="121">
        <v>1361214</v>
      </c>
      <c r="K20" s="121">
        <v>370499</v>
      </c>
      <c r="L20" s="121">
        <v>496406</v>
      </c>
      <c r="M20" s="121">
        <v>107731</v>
      </c>
      <c r="N20" s="121">
        <v>4863</v>
      </c>
      <c r="O20" s="121">
        <v>18347</v>
      </c>
      <c r="P20" s="121">
        <v>2519003</v>
      </c>
      <c r="Q20" s="121">
        <v>2236355</v>
      </c>
      <c r="R20" s="133">
        <v>282648</v>
      </c>
      <c r="S20" s="121"/>
      <c r="T20" s="128" t="s">
        <v>528</v>
      </c>
      <c r="U20" s="120"/>
    </row>
    <row r="21" spans="1:21" s="126" customFormat="1" ht="15" customHeight="1" x14ac:dyDescent="0.15">
      <c r="A21" s="120"/>
      <c r="B21" s="137"/>
      <c r="C21" s="135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33"/>
      <c r="S21" s="121"/>
      <c r="T21" s="128"/>
      <c r="U21" s="120"/>
    </row>
    <row r="22" spans="1:21" s="126" customFormat="1" ht="30.75" customHeight="1" x14ac:dyDescent="0.15">
      <c r="A22" s="120"/>
      <c r="B22" s="137" t="s">
        <v>701</v>
      </c>
      <c r="C22" s="135">
        <v>110586</v>
      </c>
      <c r="D22" s="121" t="s">
        <v>796</v>
      </c>
      <c r="E22" s="121" t="s">
        <v>796</v>
      </c>
      <c r="F22" s="121" t="s">
        <v>796</v>
      </c>
      <c r="G22" s="121">
        <v>31438</v>
      </c>
      <c r="H22" s="121">
        <v>19731</v>
      </c>
      <c r="I22" s="121">
        <v>59417</v>
      </c>
      <c r="J22" s="121">
        <v>59363</v>
      </c>
      <c r="K22" s="121">
        <v>54</v>
      </c>
      <c r="L22" s="121">
        <v>183</v>
      </c>
      <c r="M22" s="121" t="s">
        <v>796</v>
      </c>
      <c r="N22" s="121">
        <v>8791</v>
      </c>
      <c r="O22" s="121" t="s">
        <v>796</v>
      </c>
      <c r="P22" s="121">
        <v>31228</v>
      </c>
      <c r="Q22" s="121" t="s">
        <v>796</v>
      </c>
      <c r="R22" s="133">
        <v>31228</v>
      </c>
      <c r="S22" s="121"/>
      <c r="T22" s="128" t="s">
        <v>482</v>
      </c>
      <c r="U22" s="120"/>
    </row>
    <row r="23" spans="1:21" s="126" customFormat="1" ht="15" customHeight="1" x14ac:dyDescent="0.15">
      <c r="A23" s="120"/>
      <c r="B23" s="137"/>
      <c r="C23" s="135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33"/>
      <c r="S23" s="121"/>
      <c r="T23" s="128"/>
      <c r="U23" s="120"/>
    </row>
    <row r="24" spans="1:21" s="126" customFormat="1" ht="21" customHeight="1" x14ac:dyDescent="0.15">
      <c r="A24" s="120"/>
      <c r="B24" s="406" t="s">
        <v>696</v>
      </c>
      <c r="C24" s="135" t="s">
        <v>796</v>
      </c>
      <c r="D24" s="121" t="s">
        <v>796</v>
      </c>
      <c r="E24" s="121" t="s">
        <v>796</v>
      </c>
      <c r="F24" s="121" t="s">
        <v>796</v>
      </c>
      <c r="G24" s="121" t="s">
        <v>796</v>
      </c>
      <c r="H24" s="121" t="s">
        <v>796</v>
      </c>
      <c r="I24" s="121" t="s">
        <v>796</v>
      </c>
      <c r="J24" s="121" t="s">
        <v>796</v>
      </c>
      <c r="K24" s="121" t="s">
        <v>796</v>
      </c>
      <c r="L24" s="121" t="s">
        <v>796</v>
      </c>
      <c r="M24" s="121" t="s">
        <v>796</v>
      </c>
      <c r="N24" s="121" t="s">
        <v>796</v>
      </c>
      <c r="O24" s="121" t="s">
        <v>796</v>
      </c>
      <c r="P24" s="121" t="s">
        <v>796</v>
      </c>
      <c r="Q24" s="121" t="s">
        <v>796</v>
      </c>
      <c r="R24" s="133" t="s">
        <v>796</v>
      </c>
      <c r="S24" s="121"/>
      <c r="T24" s="128" t="s">
        <v>212</v>
      </c>
      <c r="U24" s="120"/>
    </row>
    <row r="25" spans="1:21" s="126" customFormat="1" ht="15" customHeight="1" x14ac:dyDescent="0.15">
      <c r="A25" s="120"/>
      <c r="B25" s="137"/>
      <c r="C25" s="135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33"/>
      <c r="S25" s="121"/>
      <c r="T25" s="128"/>
      <c r="U25" s="120"/>
    </row>
    <row r="26" spans="1:21" s="126" customFormat="1" ht="15" customHeight="1" x14ac:dyDescent="0.15">
      <c r="A26" s="120"/>
      <c r="B26" s="137" t="s">
        <v>529</v>
      </c>
      <c r="C26" s="135">
        <v>53586571</v>
      </c>
      <c r="D26" s="121">
        <v>19687862</v>
      </c>
      <c r="E26" s="121">
        <v>947580</v>
      </c>
      <c r="F26" s="121">
        <v>5711808</v>
      </c>
      <c r="G26" s="121">
        <v>6087114</v>
      </c>
      <c r="H26" s="121">
        <v>14563440</v>
      </c>
      <c r="I26" s="121">
        <v>6588767</v>
      </c>
      <c r="J26" s="121">
        <v>4401672</v>
      </c>
      <c r="K26" s="121">
        <v>2187095</v>
      </c>
      <c r="L26" s="121">
        <v>938735</v>
      </c>
      <c r="M26" s="121">
        <v>392739</v>
      </c>
      <c r="N26" s="121">
        <v>15728</v>
      </c>
      <c r="O26" s="121">
        <v>972</v>
      </c>
      <c r="P26" s="121">
        <v>4410363</v>
      </c>
      <c r="Q26" s="121">
        <v>4072723</v>
      </c>
      <c r="R26" s="133">
        <v>337640</v>
      </c>
      <c r="S26" s="121"/>
      <c r="T26" s="128" t="s">
        <v>483</v>
      </c>
      <c r="U26" s="120"/>
    </row>
    <row r="27" spans="1:21" s="126" customFormat="1" ht="15" customHeight="1" x14ac:dyDescent="0.15">
      <c r="A27" s="120"/>
      <c r="B27" s="136"/>
      <c r="C27" s="135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33"/>
      <c r="S27" s="121"/>
      <c r="T27" s="128"/>
      <c r="U27" s="120"/>
    </row>
    <row r="28" spans="1:21" s="126" customFormat="1" ht="15" customHeight="1" x14ac:dyDescent="0.15">
      <c r="A28" s="120"/>
      <c r="B28" s="140" t="s">
        <v>188</v>
      </c>
      <c r="C28" s="139">
        <v>350466685</v>
      </c>
      <c r="D28" s="138">
        <v>102715875</v>
      </c>
      <c r="E28" s="138">
        <v>62914896</v>
      </c>
      <c r="F28" s="138">
        <v>23792318</v>
      </c>
      <c r="G28" s="138">
        <v>32575100</v>
      </c>
      <c r="H28" s="138">
        <v>79852462</v>
      </c>
      <c r="I28" s="138">
        <v>48616034</v>
      </c>
      <c r="J28" s="138">
        <v>22683842</v>
      </c>
      <c r="K28" s="138">
        <v>25932192</v>
      </c>
      <c r="L28" s="138">
        <v>4676426</v>
      </c>
      <c r="M28" s="138">
        <v>3035661</v>
      </c>
      <c r="N28" s="138">
        <v>101124</v>
      </c>
      <c r="O28" s="138">
        <v>86060</v>
      </c>
      <c r="P28" s="138">
        <v>29761046</v>
      </c>
      <c r="Q28" s="138">
        <v>23993729</v>
      </c>
      <c r="R28" s="471">
        <v>5767317</v>
      </c>
      <c r="S28" s="138"/>
      <c r="T28" s="473" t="s">
        <v>469</v>
      </c>
      <c r="U28" s="120"/>
    </row>
    <row r="29" spans="1:21" s="126" customFormat="1" ht="15" customHeight="1" x14ac:dyDescent="0.15">
      <c r="A29" s="120"/>
      <c r="B29" s="136"/>
      <c r="C29" s="135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33"/>
      <c r="S29" s="121"/>
      <c r="T29" s="128"/>
      <c r="U29" s="120"/>
    </row>
    <row r="30" spans="1:21" s="126" customFormat="1" ht="21" customHeight="1" x14ac:dyDescent="0.15">
      <c r="A30" s="120"/>
      <c r="B30" s="137" t="s">
        <v>211</v>
      </c>
      <c r="C30" s="135">
        <v>178743631</v>
      </c>
      <c r="D30" s="121">
        <v>54982151</v>
      </c>
      <c r="E30" s="121">
        <v>39250892</v>
      </c>
      <c r="F30" s="121">
        <v>5152088</v>
      </c>
      <c r="G30" s="121">
        <v>16088787</v>
      </c>
      <c r="H30" s="121">
        <v>40752897</v>
      </c>
      <c r="I30" s="121">
        <v>22516816</v>
      </c>
      <c r="J30" s="121">
        <v>13909590</v>
      </c>
      <c r="K30" s="121">
        <v>8607226</v>
      </c>
      <c r="L30" s="121">
        <v>1931088</v>
      </c>
      <c r="M30" s="121">
        <v>2162598</v>
      </c>
      <c r="N30" s="121">
        <v>52309</v>
      </c>
      <c r="O30" s="121">
        <v>42095</v>
      </c>
      <c r="P30" s="121">
        <v>16271146</v>
      </c>
      <c r="Q30" s="121">
        <v>13529298</v>
      </c>
      <c r="R30" s="133">
        <v>2741848</v>
      </c>
      <c r="S30" s="121"/>
      <c r="T30" s="128" t="s">
        <v>484</v>
      </c>
      <c r="U30" s="120"/>
    </row>
    <row r="31" spans="1:21" s="126" customFormat="1" ht="15" customHeight="1" x14ac:dyDescent="0.15">
      <c r="A31" s="120"/>
      <c r="B31" s="137"/>
      <c r="C31" s="135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33"/>
      <c r="S31" s="121"/>
      <c r="T31" s="128"/>
      <c r="U31" s="120"/>
    </row>
    <row r="32" spans="1:21" s="126" customFormat="1" ht="31.5" customHeight="1" x14ac:dyDescent="0.15">
      <c r="A32" s="120"/>
      <c r="B32" s="137" t="s">
        <v>210</v>
      </c>
      <c r="C32" s="135">
        <v>93300506</v>
      </c>
      <c r="D32" s="121">
        <v>24696697</v>
      </c>
      <c r="E32" s="121">
        <v>21922945</v>
      </c>
      <c r="F32" s="121">
        <v>5299382</v>
      </c>
      <c r="G32" s="121">
        <v>9328255</v>
      </c>
      <c r="H32" s="121">
        <v>19626283</v>
      </c>
      <c r="I32" s="121">
        <v>12426944</v>
      </c>
      <c r="J32" s="121">
        <v>4411239</v>
      </c>
      <c r="K32" s="121">
        <v>8015705</v>
      </c>
      <c r="L32" s="121">
        <v>1261014</v>
      </c>
      <c r="M32" s="121">
        <v>455672</v>
      </c>
      <c r="N32" s="121">
        <v>12777</v>
      </c>
      <c r="O32" s="121">
        <v>27292</v>
      </c>
      <c r="P32" s="121">
        <v>8935487</v>
      </c>
      <c r="Q32" s="121">
        <v>6244958</v>
      </c>
      <c r="R32" s="133">
        <v>2690529</v>
      </c>
      <c r="S32" s="121"/>
      <c r="T32" s="128" t="s">
        <v>485</v>
      </c>
      <c r="U32" s="120"/>
    </row>
    <row r="33" spans="1:22" s="126" customFormat="1" ht="15" customHeight="1" x14ac:dyDescent="0.15">
      <c r="A33" s="120"/>
      <c r="B33" s="137"/>
      <c r="C33" s="135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33"/>
      <c r="S33" s="121"/>
      <c r="T33" s="128"/>
      <c r="U33" s="120"/>
    </row>
    <row r="34" spans="1:22" s="126" customFormat="1" ht="15" customHeight="1" x14ac:dyDescent="0.15">
      <c r="A34" s="120"/>
      <c r="B34" s="137" t="s">
        <v>477</v>
      </c>
      <c r="C34" s="135">
        <v>25165755</v>
      </c>
      <c r="D34" s="121">
        <v>3564883</v>
      </c>
      <c r="E34" s="121">
        <v>60890</v>
      </c>
      <c r="F34" s="121">
        <v>8278656</v>
      </c>
      <c r="G34" s="121">
        <v>968608</v>
      </c>
      <c r="H34" s="121">
        <v>4966476</v>
      </c>
      <c r="I34" s="121">
        <v>7326242</v>
      </c>
      <c r="J34" s="121">
        <v>84451</v>
      </c>
      <c r="K34" s="121">
        <v>7241791</v>
      </c>
      <c r="L34" s="121">
        <v>379514</v>
      </c>
      <c r="M34" s="121" t="s">
        <v>796</v>
      </c>
      <c r="N34" s="121">
        <v>798</v>
      </c>
      <c r="O34" s="121">
        <v>14725</v>
      </c>
      <c r="P34" s="121">
        <v>153181</v>
      </c>
      <c r="Q34" s="121">
        <v>148746</v>
      </c>
      <c r="R34" s="133">
        <v>4435</v>
      </c>
      <c r="S34" s="121"/>
      <c r="T34" s="128" t="s">
        <v>185</v>
      </c>
      <c r="U34" s="120"/>
    </row>
    <row r="35" spans="1:22" s="126" customFormat="1" ht="15" customHeight="1" x14ac:dyDescent="0.15">
      <c r="A35" s="120"/>
      <c r="B35" s="137"/>
      <c r="C35" s="135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33"/>
      <c r="S35" s="121"/>
      <c r="T35" s="128"/>
      <c r="U35" s="120"/>
    </row>
    <row r="36" spans="1:22" s="126" customFormat="1" ht="31.5" customHeight="1" x14ac:dyDescent="0.15">
      <c r="A36" s="120"/>
      <c r="B36" s="137" t="s">
        <v>702</v>
      </c>
      <c r="C36" s="135">
        <v>110765</v>
      </c>
      <c r="D36" s="121">
        <v>2</v>
      </c>
      <c r="E36" s="121" t="s">
        <v>796</v>
      </c>
      <c r="F36" s="121">
        <v>31438</v>
      </c>
      <c r="G36" s="121">
        <v>19914</v>
      </c>
      <c r="H36" s="121">
        <v>3075</v>
      </c>
      <c r="I36" s="121">
        <v>56336</v>
      </c>
      <c r="J36" s="121">
        <v>40</v>
      </c>
      <c r="K36" s="121">
        <v>56296</v>
      </c>
      <c r="L36" s="121">
        <v>8795</v>
      </c>
      <c r="M36" s="121" t="s">
        <v>796</v>
      </c>
      <c r="N36" s="121" t="s">
        <v>796</v>
      </c>
      <c r="O36" s="121" t="s">
        <v>796</v>
      </c>
      <c r="P36" s="121">
        <v>31228</v>
      </c>
      <c r="Q36" s="121">
        <v>31228</v>
      </c>
      <c r="R36" s="133" t="s">
        <v>796</v>
      </c>
      <c r="S36" s="121"/>
      <c r="T36" s="128" t="s">
        <v>478</v>
      </c>
      <c r="U36" s="120"/>
    </row>
    <row r="37" spans="1:22" s="126" customFormat="1" ht="15" customHeight="1" x14ac:dyDescent="0.15">
      <c r="A37" s="120"/>
      <c r="B37" s="137"/>
      <c r="C37" s="135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33"/>
      <c r="S37" s="121"/>
      <c r="T37" s="128"/>
      <c r="U37" s="120"/>
    </row>
    <row r="38" spans="1:22" s="126" customFormat="1" ht="15" customHeight="1" x14ac:dyDescent="0.15">
      <c r="A38" s="120"/>
      <c r="B38" s="137" t="s">
        <v>479</v>
      </c>
      <c r="C38" s="135">
        <v>48189</v>
      </c>
      <c r="D38" s="121">
        <v>243</v>
      </c>
      <c r="E38" s="121">
        <v>63</v>
      </c>
      <c r="F38" s="121" t="s">
        <v>796</v>
      </c>
      <c r="G38" s="121">
        <v>2998</v>
      </c>
      <c r="H38" s="121">
        <v>533</v>
      </c>
      <c r="I38" s="121">
        <v>44352</v>
      </c>
      <c r="J38" s="121">
        <v>18697</v>
      </c>
      <c r="K38" s="121">
        <v>25655</v>
      </c>
      <c r="L38" s="121">
        <v>49026</v>
      </c>
      <c r="M38" s="121">
        <v>9</v>
      </c>
      <c r="N38" s="121">
        <v>2</v>
      </c>
      <c r="O38" s="121" t="s">
        <v>796</v>
      </c>
      <c r="P38" s="121" t="s">
        <v>796</v>
      </c>
      <c r="Q38" s="121" t="s">
        <v>796</v>
      </c>
      <c r="R38" s="133" t="s">
        <v>796</v>
      </c>
      <c r="S38" s="121"/>
      <c r="T38" s="128" t="s">
        <v>184</v>
      </c>
      <c r="U38" s="120"/>
    </row>
    <row r="39" spans="1:22" s="126" customFormat="1" ht="15" customHeight="1" x14ac:dyDescent="0.15">
      <c r="A39" s="120"/>
      <c r="B39" s="137"/>
      <c r="C39" s="135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33"/>
      <c r="S39" s="121"/>
      <c r="T39" s="128"/>
      <c r="U39" s="120"/>
    </row>
    <row r="40" spans="1:22" s="126" customFormat="1" ht="15" customHeight="1" x14ac:dyDescent="0.15">
      <c r="A40" s="120"/>
      <c r="B40" s="137" t="s">
        <v>530</v>
      </c>
      <c r="C40" s="135">
        <v>53097839</v>
      </c>
      <c r="D40" s="121">
        <v>19471899</v>
      </c>
      <c r="E40" s="121">
        <v>1680106</v>
      </c>
      <c r="F40" s="121">
        <v>5030754</v>
      </c>
      <c r="G40" s="121">
        <v>6166538</v>
      </c>
      <c r="H40" s="121">
        <v>14503198</v>
      </c>
      <c r="I40" s="121">
        <v>6245344</v>
      </c>
      <c r="J40" s="121">
        <v>4259825</v>
      </c>
      <c r="K40" s="121">
        <v>1985519</v>
      </c>
      <c r="L40" s="121">
        <v>1046989</v>
      </c>
      <c r="M40" s="121">
        <v>417382</v>
      </c>
      <c r="N40" s="121">
        <v>35238</v>
      </c>
      <c r="O40" s="121">
        <v>1948</v>
      </c>
      <c r="P40" s="121">
        <v>4370004</v>
      </c>
      <c r="Q40" s="121">
        <v>4039499</v>
      </c>
      <c r="R40" s="133">
        <v>330505</v>
      </c>
      <c r="S40" s="121"/>
      <c r="T40" s="128" t="s">
        <v>183</v>
      </c>
      <c r="U40" s="120"/>
    </row>
    <row r="41" spans="1:22" s="126" customFormat="1" ht="15" customHeight="1" x14ac:dyDescent="0.15">
      <c r="A41" s="120"/>
      <c r="B41" s="136"/>
      <c r="C41" s="135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33"/>
      <c r="S41" s="121"/>
      <c r="T41" s="128"/>
      <c r="U41" s="120"/>
    </row>
    <row r="42" spans="1:22" ht="15" customHeight="1" x14ac:dyDescent="0.15">
      <c r="A42" s="120"/>
      <c r="B42" s="134" t="s">
        <v>812</v>
      </c>
      <c r="C42" s="121">
        <v>4618772</v>
      </c>
      <c r="D42" s="121">
        <v>858494</v>
      </c>
      <c r="E42" s="121">
        <v>365397</v>
      </c>
      <c r="F42" s="121">
        <v>392569</v>
      </c>
      <c r="G42" s="121">
        <v>1440618</v>
      </c>
      <c r="H42" s="121">
        <v>675531</v>
      </c>
      <c r="I42" s="121">
        <v>886163</v>
      </c>
      <c r="J42" s="121">
        <v>455641</v>
      </c>
      <c r="K42" s="121">
        <v>430522</v>
      </c>
      <c r="L42" s="121">
        <v>284141</v>
      </c>
      <c r="M42" s="121">
        <v>40665</v>
      </c>
      <c r="N42" s="121">
        <v>9877</v>
      </c>
      <c r="O42" s="121">
        <v>7496</v>
      </c>
      <c r="P42" s="121">
        <v>1622025</v>
      </c>
      <c r="Q42" s="121">
        <v>1157383</v>
      </c>
      <c r="R42" s="133">
        <v>464642</v>
      </c>
      <c r="S42" s="121"/>
      <c r="T42" s="128" t="s">
        <v>209</v>
      </c>
      <c r="U42" s="120"/>
    </row>
    <row r="43" spans="1:22" ht="15" customHeight="1" x14ac:dyDescent="0.2">
      <c r="A43" s="132"/>
      <c r="B43" s="733"/>
      <c r="C43" s="734"/>
      <c r="D43" s="734"/>
      <c r="E43" s="734"/>
      <c r="F43" s="734"/>
      <c r="G43" s="734"/>
      <c r="H43" s="734"/>
      <c r="I43" s="734"/>
      <c r="J43" s="734"/>
      <c r="K43" s="734"/>
      <c r="L43" s="734"/>
      <c r="M43" s="734"/>
      <c r="N43" s="734"/>
      <c r="O43" s="734"/>
      <c r="P43" s="734"/>
      <c r="Q43" s="734"/>
      <c r="R43" s="735"/>
      <c r="S43" s="734"/>
      <c r="T43" s="734"/>
      <c r="U43" s="131"/>
      <c r="V43" s="130"/>
    </row>
    <row r="44" spans="1:22" s="126" customFormat="1" ht="15" customHeight="1" x14ac:dyDescent="0.15">
      <c r="A44" s="127"/>
      <c r="B44" s="94" t="s">
        <v>907</v>
      </c>
      <c r="C44" s="113"/>
      <c r="D44" s="113"/>
      <c r="E44" s="113"/>
      <c r="F44" s="113"/>
      <c r="G44" s="113"/>
      <c r="H44" s="113"/>
      <c r="I44" s="113"/>
      <c r="J44" s="113"/>
      <c r="K44" s="113"/>
      <c r="L44" s="95" t="s">
        <v>908</v>
      </c>
      <c r="M44" s="113"/>
      <c r="N44" s="113"/>
      <c r="O44" s="113"/>
      <c r="P44" s="113"/>
      <c r="Q44" s="113"/>
      <c r="R44" s="113"/>
      <c r="S44" s="113"/>
      <c r="T44" s="129"/>
      <c r="U44" s="128"/>
      <c r="V44" s="127"/>
    </row>
    <row r="45" spans="1:22" x14ac:dyDescent="0.2">
      <c r="B45" s="94" t="s">
        <v>488</v>
      </c>
    </row>
  </sheetData>
  <phoneticPr fontId="34"/>
  <pageMargins left="0.59055118110236227" right="0.59055118110236227" top="0.59055118110236227" bottom="0.59055118110236227" header="0.59055118110236227" footer="0.11811023622047245"/>
  <pageSetup paperSize="9" scale="93" orientation="portrait" r:id="rId1"/>
  <headerFooter alignWithMargins="0"/>
  <colBreaks count="1" manualBreakCount="1">
    <brk id="11" max="4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5258-98B6-4ECE-BE84-FC9596B555F5}">
  <dimension ref="A1:V44"/>
  <sheetViews>
    <sheetView view="pageBreakPreview" zoomScaleNormal="50" zoomScaleSheetLayoutView="100" workbookViewId="0"/>
  </sheetViews>
  <sheetFormatPr defaultColWidth="8.125" defaultRowHeight="17.25" x14ac:dyDescent="0.2"/>
  <cols>
    <col min="1" max="1" width="2.375" style="123" customWidth="1"/>
    <col min="2" max="2" width="11.125" style="123" customWidth="1"/>
    <col min="3" max="3" width="8" style="123" customWidth="1"/>
    <col min="4" max="6" width="7.5" style="123" customWidth="1"/>
    <col min="7" max="7" width="8" style="123" customWidth="1"/>
    <col min="8" max="18" width="7.5" style="123" customWidth="1"/>
    <col min="19" max="19" width="0.875" style="123" customWidth="1"/>
    <col min="20" max="20" width="16.75" style="125" customWidth="1"/>
    <col min="21" max="21" width="1.875" style="124" customWidth="1"/>
    <col min="22" max="22" width="5.75" style="123" customWidth="1"/>
    <col min="23" max="16384" width="8.125" style="123"/>
  </cols>
  <sheetData>
    <row r="1" spans="1:21" s="157" customFormat="1" ht="17.25" customHeight="1" x14ac:dyDescent="0.2">
      <c r="A1" s="474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T1" s="158"/>
      <c r="U1" s="148"/>
    </row>
    <row r="2" spans="1:21" s="148" customFormat="1" ht="17.25" customHeight="1" x14ac:dyDescent="0.2">
      <c r="A2" s="154"/>
      <c r="B2" s="163"/>
      <c r="C2" s="153"/>
      <c r="D2" s="153"/>
      <c r="E2" s="149"/>
      <c r="F2" s="162"/>
      <c r="G2" s="161"/>
      <c r="H2" s="161"/>
      <c r="I2" s="153"/>
      <c r="J2" s="149"/>
      <c r="K2" s="149"/>
      <c r="L2" s="160"/>
      <c r="M2" s="149"/>
      <c r="N2" s="151"/>
      <c r="O2" s="151"/>
      <c r="P2" s="151"/>
      <c r="Q2" s="151"/>
      <c r="R2" s="151"/>
      <c r="S2" s="151"/>
      <c r="T2" s="150"/>
      <c r="U2" s="149"/>
    </row>
    <row r="3" spans="1:21" ht="17.25" customHeight="1" x14ac:dyDescent="0.2">
      <c r="A3" s="147"/>
      <c r="B3" s="716" t="s">
        <v>901</v>
      </c>
      <c r="C3" s="723"/>
      <c r="D3" s="723"/>
      <c r="E3" s="723"/>
      <c r="F3" s="736" t="s">
        <v>193</v>
      </c>
      <c r="G3" s="723" t="s">
        <v>193</v>
      </c>
      <c r="H3" s="723"/>
      <c r="I3" s="723"/>
      <c r="J3" s="723"/>
      <c r="K3" s="723"/>
      <c r="L3" s="725"/>
      <c r="M3" s="725"/>
      <c r="N3" s="726"/>
      <c r="O3" s="727"/>
      <c r="P3" s="727"/>
      <c r="Q3" s="718"/>
      <c r="R3" s="719" t="s">
        <v>603</v>
      </c>
      <c r="S3" s="719"/>
      <c r="T3" s="728"/>
      <c r="U3" s="146"/>
    </row>
    <row r="4" spans="1:21" s="126" customFormat="1" ht="17.25" customHeight="1" x14ac:dyDescent="0.15">
      <c r="A4" s="129"/>
      <c r="B4" s="145"/>
      <c r="C4" s="699"/>
      <c r="D4" s="119"/>
      <c r="E4" s="119"/>
      <c r="F4" s="119"/>
      <c r="G4" s="119"/>
      <c r="H4" s="119"/>
      <c r="I4" s="119"/>
      <c r="J4" s="119"/>
      <c r="K4" s="118"/>
      <c r="L4" s="117"/>
      <c r="M4" s="116"/>
      <c r="N4" s="116"/>
      <c r="O4" s="116"/>
      <c r="P4" s="116"/>
      <c r="Q4" s="115"/>
      <c r="R4" s="114"/>
      <c r="S4" s="695"/>
      <c r="T4" s="1154"/>
      <c r="U4" s="115"/>
    </row>
    <row r="5" spans="1:21" s="126" customFormat="1" ht="17.25" customHeight="1" x14ac:dyDescent="0.15">
      <c r="A5" s="143"/>
      <c r="B5" s="144" t="s">
        <v>441</v>
      </c>
      <c r="C5" s="111" t="s">
        <v>206</v>
      </c>
      <c r="D5" s="107" t="s">
        <v>442</v>
      </c>
      <c r="E5" s="107" t="s">
        <v>443</v>
      </c>
      <c r="F5" s="107" t="s">
        <v>444</v>
      </c>
      <c r="G5" s="107" t="s">
        <v>445</v>
      </c>
      <c r="H5" s="107" t="s">
        <v>446</v>
      </c>
      <c r="I5" s="107" t="s">
        <v>447</v>
      </c>
      <c r="J5" s="700"/>
      <c r="K5" s="701"/>
      <c r="L5" s="109" t="s">
        <v>448</v>
      </c>
      <c r="M5" s="110" t="s">
        <v>449</v>
      </c>
      <c r="N5" s="110" t="s">
        <v>450</v>
      </c>
      <c r="O5" s="110" t="s">
        <v>451</v>
      </c>
      <c r="P5" s="112" t="s">
        <v>480</v>
      </c>
      <c r="Q5" s="702"/>
      <c r="R5" s="703"/>
      <c r="S5" s="514"/>
      <c r="T5" s="111" t="s">
        <v>205</v>
      </c>
      <c r="U5" s="115"/>
    </row>
    <row r="6" spans="1:21" s="126" customFormat="1" ht="17.25" customHeight="1" x14ac:dyDescent="0.15">
      <c r="A6" s="143"/>
      <c r="B6" s="144"/>
      <c r="C6" s="111"/>
      <c r="D6" s="107" t="s">
        <v>203</v>
      </c>
      <c r="E6" s="107" t="s">
        <v>203</v>
      </c>
      <c r="F6" s="107" t="s">
        <v>204</v>
      </c>
      <c r="G6" s="107"/>
      <c r="H6" s="107"/>
      <c r="I6" s="107" t="s">
        <v>203</v>
      </c>
      <c r="J6" s="107" t="s">
        <v>202</v>
      </c>
      <c r="K6" s="704" t="s">
        <v>201</v>
      </c>
      <c r="L6" s="109"/>
      <c r="M6" s="110"/>
      <c r="N6" s="110"/>
      <c r="O6" s="110"/>
      <c r="P6" s="110"/>
      <c r="Q6" s="110" t="s">
        <v>453</v>
      </c>
      <c r="R6" s="109" t="s">
        <v>454</v>
      </c>
      <c r="S6" s="110"/>
      <c r="T6" s="111"/>
      <c r="U6" s="115"/>
    </row>
    <row r="7" spans="1:21" s="126" customFormat="1" ht="34.5" customHeight="1" x14ac:dyDescent="0.15">
      <c r="A7" s="143"/>
      <c r="B7" s="729"/>
      <c r="C7" s="706" t="s">
        <v>691</v>
      </c>
      <c r="D7" s="706" t="s">
        <v>200</v>
      </c>
      <c r="E7" s="706" t="s">
        <v>461</v>
      </c>
      <c r="F7" s="706" t="s">
        <v>462</v>
      </c>
      <c r="G7" s="706" t="s">
        <v>199</v>
      </c>
      <c r="H7" s="706" t="s">
        <v>455</v>
      </c>
      <c r="I7" s="706" t="s">
        <v>692</v>
      </c>
      <c r="J7" s="706" t="s">
        <v>463</v>
      </c>
      <c r="K7" s="572" t="s">
        <v>481</v>
      </c>
      <c r="L7" s="707" t="s">
        <v>476</v>
      </c>
      <c r="M7" s="707" t="s">
        <v>198</v>
      </c>
      <c r="N7" s="707" t="s">
        <v>197</v>
      </c>
      <c r="O7" s="708" t="s">
        <v>196</v>
      </c>
      <c r="P7" s="513" t="s">
        <v>465</v>
      </c>
      <c r="Q7" s="106"/>
      <c r="R7" s="106"/>
      <c r="S7" s="718"/>
      <c r="T7" s="1155"/>
      <c r="U7" s="115"/>
    </row>
    <row r="8" spans="1:21" s="126" customFormat="1" ht="15" customHeight="1" x14ac:dyDescent="0.15">
      <c r="A8" s="143"/>
      <c r="B8" s="136"/>
      <c r="C8" s="730"/>
      <c r="D8" s="731"/>
      <c r="E8" s="731"/>
      <c r="F8" s="731"/>
      <c r="G8" s="731"/>
      <c r="H8" s="731"/>
      <c r="I8" s="731"/>
      <c r="J8" s="731"/>
      <c r="K8" s="731"/>
      <c r="L8" s="731"/>
      <c r="M8" s="731"/>
      <c r="N8" s="731"/>
      <c r="O8" s="731"/>
      <c r="P8" s="142"/>
      <c r="Q8" s="142"/>
      <c r="R8" s="732"/>
      <c r="S8" s="142"/>
      <c r="T8" s="115"/>
      <c r="U8" s="120"/>
    </row>
    <row r="9" spans="1:21" s="126" customFormat="1" ht="15" customHeight="1" x14ac:dyDescent="0.15">
      <c r="A9" s="120"/>
      <c r="B9" s="136" t="s">
        <v>909</v>
      </c>
      <c r="C9" s="135">
        <v>3344866</v>
      </c>
      <c r="D9" s="121">
        <v>738497</v>
      </c>
      <c r="E9" s="121">
        <v>404612</v>
      </c>
      <c r="F9" s="121">
        <v>322316</v>
      </c>
      <c r="G9" s="121">
        <v>544816</v>
      </c>
      <c r="H9" s="121">
        <v>659182</v>
      </c>
      <c r="I9" s="121">
        <v>675443</v>
      </c>
      <c r="J9" s="121">
        <v>340946</v>
      </c>
      <c r="K9" s="121">
        <v>334497</v>
      </c>
      <c r="L9" s="121">
        <v>273402</v>
      </c>
      <c r="M9" s="121">
        <v>43793</v>
      </c>
      <c r="N9" s="121">
        <v>9362</v>
      </c>
      <c r="O9" s="121">
        <v>8032</v>
      </c>
      <c r="P9" s="121">
        <v>1378365</v>
      </c>
      <c r="Q9" s="121">
        <v>950458</v>
      </c>
      <c r="R9" s="133">
        <v>427907</v>
      </c>
      <c r="S9" s="121"/>
      <c r="T9" s="128" t="s">
        <v>194</v>
      </c>
      <c r="U9" s="120"/>
    </row>
    <row r="10" spans="1:21" s="126" customFormat="1" ht="15" customHeight="1" x14ac:dyDescent="0.15">
      <c r="A10" s="120"/>
      <c r="B10" s="136"/>
      <c r="C10" s="135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33"/>
      <c r="S10" s="121"/>
      <c r="T10" s="128"/>
      <c r="U10" s="120"/>
    </row>
    <row r="11" spans="1:21" s="126" customFormat="1" ht="15" customHeight="1" x14ac:dyDescent="0.15">
      <c r="A11" s="120"/>
      <c r="B11" s="140" t="s">
        <v>192</v>
      </c>
      <c r="C11" s="139">
        <v>347227047</v>
      </c>
      <c r="D11" s="138">
        <v>101802179</v>
      </c>
      <c r="E11" s="138">
        <v>62032193</v>
      </c>
      <c r="F11" s="138">
        <v>23780220</v>
      </c>
      <c r="G11" s="138">
        <v>33241373</v>
      </c>
      <c r="H11" s="138">
        <v>79432951</v>
      </c>
      <c r="I11" s="138">
        <v>46938131</v>
      </c>
      <c r="J11" s="138">
        <v>22582752</v>
      </c>
      <c r="K11" s="138">
        <v>24355379</v>
      </c>
      <c r="L11" s="138">
        <v>4660134</v>
      </c>
      <c r="M11" s="138">
        <v>2924931</v>
      </c>
      <c r="N11" s="138">
        <v>102893</v>
      </c>
      <c r="O11" s="138">
        <v>81824</v>
      </c>
      <c r="P11" s="138">
        <v>29768923</v>
      </c>
      <c r="Q11" s="138">
        <v>24038339</v>
      </c>
      <c r="R11" s="471">
        <v>5730584</v>
      </c>
      <c r="S11" s="138"/>
      <c r="T11" s="472" t="s">
        <v>467</v>
      </c>
      <c r="U11" s="120"/>
    </row>
    <row r="12" spans="1:21" s="126" customFormat="1" ht="15" customHeight="1" x14ac:dyDescent="0.15">
      <c r="A12" s="120"/>
      <c r="B12" s="136"/>
      <c r="C12" s="135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33"/>
      <c r="S12" s="121"/>
      <c r="T12" s="128"/>
      <c r="U12" s="120"/>
    </row>
    <row r="13" spans="1:21" s="126" customFormat="1" ht="21" customHeight="1" x14ac:dyDescent="0.15">
      <c r="A13" s="120"/>
      <c r="B13" s="137" t="s">
        <v>699</v>
      </c>
      <c r="C13" s="135">
        <v>158240927</v>
      </c>
      <c r="D13" s="121">
        <v>45074152</v>
      </c>
      <c r="E13" s="121">
        <v>31443774</v>
      </c>
      <c r="F13" s="121">
        <v>12154975</v>
      </c>
      <c r="G13" s="121">
        <v>11380276</v>
      </c>
      <c r="H13" s="121">
        <v>35403861</v>
      </c>
      <c r="I13" s="121">
        <v>22783889</v>
      </c>
      <c r="J13" s="121">
        <v>9837346</v>
      </c>
      <c r="K13" s="121">
        <v>12946543</v>
      </c>
      <c r="L13" s="121">
        <v>2059443</v>
      </c>
      <c r="M13" s="121">
        <v>1422233</v>
      </c>
      <c r="N13" s="121">
        <v>57983</v>
      </c>
      <c r="O13" s="121">
        <v>34551</v>
      </c>
      <c r="P13" s="121">
        <v>3248220</v>
      </c>
      <c r="Q13" s="121">
        <v>2173729</v>
      </c>
      <c r="R13" s="133">
        <v>1074491</v>
      </c>
      <c r="S13" s="121"/>
      <c r="T13" s="128" t="s">
        <v>191</v>
      </c>
      <c r="U13" s="120"/>
    </row>
    <row r="14" spans="1:21" s="126" customFormat="1" ht="15" customHeight="1" x14ac:dyDescent="0.15">
      <c r="A14" s="120"/>
      <c r="B14" s="137"/>
      <c r="C14" s="135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33"/>
      <c r="S14" s="121"/>
      <c r="T14" s="128"/>
      <c r="U14" s="120"/>
    </row>
    <row r="15" spans="1:21" s="126" customFormat="1" ht="15" customHeight="1" x14ac:dyDescent="0.15">
      <c r="A15" s="120"/>
      <c r="B15" s="137" t="s">
        <v>526</v>
      </c>
      <c r="C15" s="135">
        <v>33820231</v>
      </c>
      <c r="D15" s="121">
        <v>4861497</v>
      </c>
      <c r="E15" s="121">
        <v>23085944</v>
      </c>
      <c r="F15" s="121">
        <v>259803</v>
      </c>
      <c r="G15" s="121">
        <v>3379779</v>
      </c>
      <c r="H15" s="121">
        <v>2099666</v>
      </c>
      <c r="I15" s="121">
        <v>133542</v>
      </c>
      <c r="J15" s="121">
        <v>70986</v>
      </c>
      <c r="K15" s="121">
        <v>62556</v>
      </c>
      <c r="L15" s="121">
        <v>213276</v>
      </c>
      <c r="M15" s="121">
        <v>29358</v>
      </c>
      <c r="N15" s="121">
        <v>1907</v>
      </c>
      <c r="O15" s="121">
        <v>21195</v>
      </c>
      <c r="P15" s="121">
        <v>10377913</v>
      </c>
      <c r="Q15" s="121">
        <v>8583555</v>
      </c>
      <c r="R15" s="133">
        <v>1794358</v>
      </c>
      <c r="S15" s="121"/>
      <c r="T15" s="128" t="s">
        <v>190</v>
      </c>
      <c r="U15" s="120"/>
    </row>
    <row r="16" spans="1:21" s="126" customFormat="1" ht="15" customHeight="1" x14ac:dyDescent="0.15">
      <c r="A16" s="120"/>
      <c r="B16" s="137"/>
      <c r="C16" s="135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33"/>
      <c r="S16" s="121"/>
      <c r="T16" s="128"/>
      <c r="U16" s="120"/>
    </row>
    <row r="17" spans="1:21" s="126" customFormat="1" ht="31.5" customHeight="1" x14ac:dyDescent="0.15">
      <c r="A17" s="120"/>
      <c r="B17" s="141" t="s">
        <v>531</v>
      </c>
      <c r="C17" s="135">
        <v>91795272</v>
      </c>
      <c r="D17" s="121">
        <v>28128724</v>
      </c>
      <c r="E17" s="121">
        <v>6077941</v>
      </c>
      <c r="F17" s="121">
        <v>5312647</v>
      </c>
      <c r="G17" s="121">
        <v>10838470</v>
      </c>
      <c r="H17" s="121">
        <v>25628381</v>
      </c>
      <c r="I17" s="121">
        <v>15809109</v>
      </c>
      <c r="J17" s="121">
        <v>6791335</v>
      </c>
      <c r="K17" s="121">
        <v>9017774</v>
      </c>
      <c r="L17" s="121">
        <v>962460</v>
      </c>
      <c r="M17" s="121">
        <v>978797</v>
      </c>
      <c r="N17" s="121">
        <v>13500</v>
      </c>
      <c r="O17" s="121">
        <v>7933</v>
      </c>
      <c r="P17" s="121">
        <v>9180493</v>
      </c>
      <c r="Q17" s="121">
        <v>6989822</v>
      </c>
      <c r="R17" s="133">
        <v>2190671</v>
      </c>
      <c r="S17" s="121"/>
      <c r="T17" s="128" t="s">
        <v>527</v>
      </c>
      <c r="U17" s="120"/>
    </row>
    <row r="18" spans="1:21" s="126" customFormat="1" ht="15" customHeight="1" x14ac:dyDescent="0.15">
      <c r="A18" s="120"/>
      <c r="B18" s="137"/>
      <c r="C18" s="135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33"/>
      <c r="S18" s="121"/>
      <c r="T18" s="128"/>
      <c r="U18" s="120"/>
    </row>
    <row r="19" spans="1:21" s="126" customFormat="1" ht="25.5" customHeight="1" x14ac:dyDescent="0.15">
      <c r="A19" s="120"/>
      <c r="B19" s="137" t="s">
        <v>700</v>
      </c>
      <c r="C19" s="135">
        <v>9842691</v>
      </c>
      <c r="D19" s="121">
        <v>4010751</v>
      </c>
      <c r="E19" s="121">
        <v>508202</v>
      </c>
      <c r="F19" s="121">
        <v>389035</v>
      </c>
      <c r="G19" s="121">
        <v>1464890</v>
      </c>
      <c r="H19" s="121">
        <v>1758220</v>
      </c>
      <c r="I19" s="121">
        <v>1711593</v>
      </c>
      <c r="J19" s="121">
        <v>1388732</v>
      </c>
      <c r="K19" s="121">
        <v>322861</v>
      </c>
      <c r="L19" s="121">
        <v>503383</v>
      </c>
      <c r="M19" s="121">
        <v>103687</v>
      </c>
      <c r="N19" s="121">
        <v>5161</v>
      </c>
      <c r="O19" s="121">
        <v>16596</v>
      </c>
      <c r="P19" s="121">
        <v>2601537</v>
      </c>
      <c r="Q19" s="121">
        <v>2311080</v>
      </c>
      <c r="R19" s="133">
        <v>290457</v>
      </c>
      <c r="S19" s="121"/>
      <c r="T19" s="128" t="s">
        <v>528</v>
      </c>
      <c r="U19" s="120"/>
    </row>
    <row r="20" spans="1:21" s="126" customFormat="1" ht="15" customHeight="1" x14ac:dyDescent="0.15">
      <c r="A20" s="120"/>
      <c r="B20" s="137"/>
      <c r="C20" s="135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33"/>
      <c r="S20" s="121"/>
      <c r="T20" s="128"/>
      <c r="U20" s="120"/>
    </row>
    <row r="21" spans="1:21" s="126" customFormat="1" ht="31.5" customHeight="1" x14ac:dyDescent="0.15">
      <c r="A21" s="120"/>
      <c r="B21" s="137" t="s">
        <v>701</v>
      </c>
      <c r="C21" s="135">
        <v>111621</v>
      </c>
      <c r="D21" s="121" t="s">
        <v>796</v>
      </c>
      <c r="E21" s="121" t="s">
        <v>796</v>
      </c>
      <c r="F21" s="121" t="s">
        <v>796</v>
      </c>
      <c r="G21" s="121">
        <v>27275</v>
      </c>
      <c r="H21" s="121">
        <v>20166</v>
      </c>
      <c r="I21" s="121">
        <v>64180</v>
      </c>
      <c r="J21" s="121">
        <v>64134</v>
      </c>
      <c r="K21" s="121">
        <v>46</v>
      </c>
      <c r="L21" s="121">
        <v>187</v>
      </c>
      <c r="M21" s="121" t="s">
        <v>796</v>
      </c>
      <c r="N21" s="121">
        <v>8741</v>
      </c>
      <c r="O21" s="121" t="s">
        <v>796</v>
      </c>
      <c r="P21" s="121">
        <v>30648</v>
      </c>
      <c r="Q21" s="121" t="s">
        <v>796</v>
      </c>
      <c r="R21" s="133">
        <v>30648</v>
      </c>
      <c r="S21" s="121"/>
      <c r="T21" s="128" t="s">
        <v>482</v>
      </c>
      <c r="U21" s="120"/>
    </row>
    <row r="22" spans="1:21" s="126" customFormat="1" ht="15" customHeight="1" x14ac:dyDescent="0.15">
      <c r="A22" s="120"/>
      <c r="B22" s="137"/>
      <c r="C22" s="135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33"/>
      <c r="S22" s="121"/>
      <c r="T22" s="128"/>
      <c r="U22" s="120"/>
    </row>
    <row r="23" spans="1:21" s="126" customFormat="1" ht="21" customHeight="1" x14ac:dyDescent="0.15">
      <c r="A23" s="120"/>
      <c r="B23" s="406" t="s">
        <v>696</v>
      </c>
      <c r="C23" s="135" t="s">
        <v>796</v>
      </c>
      <c r="D23" s="121" t="s">
        <v>796</v>
      </c>
      <c r="E23" s="121" t="s">
        <v>796</v>
      </c>
      <c r="F23" s="121" t="s">
        <v>796</v>
      </c>
      <c r="G23" s="121" t="s">
        <v>796</v>
      </c>
      <c r="H23" s="121" t="s">
        <v>796</v>
      </c>
      <c r="I23" s="121" t="s">
        <v>796</v>
      </c>
      <c r="J23" s="121" t="s">
        <v>796</v>
      </c>
      <c r="K23" s="121" t="s">
        <v>796</v>
      </c>
      <c r="L23" s="121" t="s">
        <v>796</v>
      </c>
      <c r="M23" s="121" t="s">
        <v>796</v>
      </c>
      <c r="N23" s="121" t="s">
        <v>796</v>
      </c>
      <c r="O23" s="121" t="s">
        <v>796</v>
      </c>
      <c r="P23" s="121" t="s">
        <v>796</v>
      </c>
      <c r="Q23" s="121" t="s">
        <v>796</v>
      </c>
      <c r="R23" s="133" t="s">
        <v>796</v>
      </c>
      <c r="S23" s="121"/>
      <c r="T23" s="128" t="s">
        <v>212</v>
      </c>
      <c r="U23" s="120"/>
    </row>
    <row r="24" spans="1:21" s="126" customFormat="1" ht="15" customHeight="1" x14ac:dyDescent="0.15">
      <c r="A24" s="120"/>
      <c r="B24" s="137"/>
      <c r="C24" s="135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33"/>
      <c r="S24" s="121"/>
      <c r="T24" s="128"/>
      <c r="U24" s="120"/>
    </row>
    <row r="25" spans="1:21" s="126" customFormat="1" ht="15" customHeight="1" x14ac:dyDescent="0.15">
      <c r="A25" s="120"/>
      <c r="B25" s="137" t="s">
        <v>529</v>
      </c>
      <c r="C25" s="135">
        <v>53416305</v>
      </c>
      <c r="D25" s="121">
        <v>19727055</v>
      </c>
      <c r="E25" s="121">
        <v>916332</v>
      </c>
      <c r="F25" s="121">
        <v>5663760</v>
      </c>
      <c r="G25" s="121">
        <v>6150683</v>
      </c>
      <c r="H25" s="121">
        <v>14522657</v>
      </c>
      <c r="I25" s="121">
        <v>6435818</v>
      </c>
      <c r="J25" s="121">
        <v>4430219</v>
      </c>
      <c r="K25" s="121">
        <v>2005599</v>
      </c>
      <c r="L25" s="121">
        <v>921385</v>
      </c>
      <c r="M25" s="121">
        <v>390856</v>
      </c>
      <c r="N25" s="121">
        <v>15601</v>
      </c>
      <c r="O25" s="121">
        <v>1549</v>
      </c>
      <c r="P25" s="121">
        <v>4330112</v>
      </c>
      <c r="Q25" s="121">
        <v>3980153</v>
      </c>
      <c r="R25" s="133">
        <v>349959</v>
      </c>
      <c r="S25" s="121"/>
      <c r="T25" s="128" t="s">
        <v>483</v>
      </c>
      <c r="U25" s="120"/>
    </row>
    <row r="26" spans="1:21" s="126" customFormat="1" ht="15" customHeight="1" x14ac:dyDescent="0.15">
      <c r="A26" s="120"/>
      <c r="B26" s="136"/>
      <c r="C26" s="135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33"/>
      <c r="S26" s="121"/>
      <c r="T26" s="128"/>
      <c r="U26" s="120"/>
    </row>
    <row r="27" spans="1:21" s="126" customFormat="1" ht="15" customHeight="1" x14ac:dyDescent="0.15">
      <c r="A27" s="120"/>
      <c r="B27" s="140" t="s">
        <v>188</v>
      </c>
      <c r="C27" s="139">
        <v>346601769</v>
      </c>
      <c r="D27" s="138">
        <v>101629960</v>
      </c>
      <c r="E27" s="138">
        <v>62140367</v>
      </c>
      <c r="F27" s="138">
        <v>23753332</v>
      </c>
      <c r="G27" s="138">
        <v>32921306</v>
      </c>
      <c r="H27" s="138">
        <v>79441126</v>
      </c>
      <c r="I27" s="138">
        <v>46715678</v>
      </c>
      <c r="J27" s="138">
        <v>22499124</v>
      </c>
      <c r="K27" s="138">
        <v>24216554</v>
      </c>
      <c r="L27" s="138">
        <v>4661471</v>
      </c>
      <c r="M27" s="138">
        <v>2920214</v>
      </c>
      <c r="N27" s="138">
        <v>101728</v>
      </c>
      <c r="O27" s="138">
        <v>82272</v>
      </c>
      <c r="P27" s="138">
        <v>29747956</v>
      </c>
      <c r="Q27" s="138">
        <v>24060228</v>
      </c>
      <c r="R27" s="471">
        <v>5687728</v>
      </c>
      <c r="S27" s="138"/>
      <c r="T27" s="473" t="s">
        <v>469</v>
      </c>
      <c r="U27" s="120"/>
    </row>
    <row r="28" spans="1:21" s="126" customFormat="1" ht="15" customHeight="1" x14ac:dyDescent="0.15">
      <c r="A28" s="120"/>
      <c r="B28" s="136"/>
      <c r="C28" s="135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33"/>
      <c r="S28" s="121"/>
      <c r="T28" s="128"/>
      <c r="U28" s="120"/>
    </row>
    <row r="29" spans="1:21" s="126" customFormat="1" ht="21" customHeight="1" x14ac:dyDescent="0.15">
      <c r="A29" s="120"/>
      <c r="B29" s="137" t="s">
        <v>211</v>
      </c>
      <c r="C29" s="135">
        <v>177842872</v>
      </c>
      <c r="D29" s="121">
        <v>54717816</v>
      </c>
      <c r="E29" s="121">
        <v>38689839</v>
      </c>
      <c r="F29" s="121">
        <v>5179500</v>
      </c>
      <c r="G29" s="121">
        <v>15952093</v>
      </c>
      <c r="H29" s="121">
        <v>40799828</v>
      </c>
      <c r="I29" s="121">
        <v>22503796</v>
      </c>
      <c r="J29" s="121">
        <v>13858439</v>
      </c>
      <c r="K29" s="121">
        <v>8645357</v>
      </c>
      <c r="L29" s="121">
        <v>1900422</v>
      </c>
      <c r="M29" s="121">
        <v>2136946</v>
      </c>
      <c r="N29" s="121">
        <v>52613</v>
      </c>
      <c r="O29" s="121">
        <v>38644</v>
      </c>
      <c r="P29" s="121">
        <v>16186272</v>
      </c>
      <c r="Q29" s="121">
        <v>13548601</v>
      </c>
      <c r="R29" s="133">
        <v>2637671</v>
      </c>
      <c r="S29" s="121"/>
      <c r="T29" s="128" t="s">
        <v>484</v>
      </c>
      <c r="U29" s="120"/>
    </row>
    <row r="30" spans="1:21" s="126" customFormat="1" ht="15" customHeight="1" x14ac:dyDescent="0.15">
      <c r="A30" s="120"/>
      <c r="B30" s="137"/>
      <c r="C30" s="135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33"/>
      <c r="S30" s="121"/>
      <c r="T30" s="128"/>
      <c r="U30" s="120"/>
    </row>
    <row r="31" spans="1:21" s="126" customFormat="1" ht="31.5" customHeight="1" x14ac:dyDescent="0.15">
      <c r="A31" s="120"/>
      <c r="B31" s="137" t="s">
        <v>210</v>
      </c>
      <c r="C31" s="135">
        <v>90985253</v>
      </c>
      <c r="D31" s="121">
        <v>24179588</v>
      </c>
      <c r="E31" s="121">
        <v>21467504</v>
      </c>
      <c r="F31" s="121">
        <v>5061696</v>
      </c>
      <c r="G31" s="121">
        <v>9634913</v>
      </c>
      <c r="H31" s="121">
        <v>19539210</v>
      </c>
      <c r="I31" s="121">
        <v>11102342</v>
      </c>
      <c r="J31" s="121">
        <v>4245167</v>
      </c>
      <c r="K31" s="121">
        <v>6857175</v>
      </c>
      <c r="L31" s="121">
        <v>1257078</v>
      </c>
      <c r="M31" s="121">
        <v>382529</v>
      </c>
      <c r="N31" s="121">
        <v>13041</v>
      </c>
      <c r="O31" s="121">
        <v>28532</v>
      </c>
      <c r="P31" s="121">
        <v>8898219</v>
      </c>
      <c r="Q31" s="121">
        <v>6219865</v>
      </c>
      <c r="R31" s="133">
        <v>2678354</v>
      </c>
      <c r="S31" s="121"/>
      <c r="T31" s="128" t="s">
        <v>485</v>
      </c>
      <c r="U31" s="120"/>
    </row>
    <row r="32" spans="1:21" s="126" customFormat="1" ht="15" customHeight="1" x14ac:dyDescent="0.15">
      <c r="A32" s="120"/>
      <c r="B32" s="137"/>
      <c r="C32" s="135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33"/>
      <c r="S32" s="121"/>
      <c r="T32" s="128"/>
      <c r="U32" s="120"/>
    </row>
    <row r="33" spans="1:22" s="126" customFormat="1" ht="15" customHeight="1" x14ac:dyDescent="0.15">
      <c r="A33" s="120"/>
      <c r="B33" s="137" t="s">
        <v>477</v>
      </c>
      <c r="C33" s="135">
        <v>24185427</v>
      </c>
      <c r="D33" s="121">
        <v>3278190</v>
      </c>
      <c r="E33" s="121">
        <v>44144</v>
      </c>
      <c r="F33" s="121">
        <v>8388818</v>
      </c>
      <c r="G33" s="121">
        <v>1021815</v>
      </c>
      <c r="H33" s="121">
        <v>4621754</v>
      </c>
      <c r="I33" s="121">
        <v>6830706</v>
      </c>
      <c r="J33" s="121">
        <v>122610</v>
      </c>
      <c r="K33" s="121">
        <v>6708096</v>
      </c>
      <c r="L33" s="121">
        <v>415978</v>
      </c>
      <c r="M33" s="121" t="s">
        <v>796</v>
      </c>
      <c r="N33" s="121">
        <v>831</v>
      </c>
      <c r="O33" s="121">
        <v>12222</v>
      </c>
      <c r="P33" s="121">
        <v>149206</v>
      </c>
      <c r="Q33" s="121">
        <v>144771</v>
      </c>
      <c r="R33" s="133">
        <v>4435</v>
      </c>
      <c r="S33" s="121"/>
      <c r="T33" s="128" t="s">
        <v>185</v>
      </c>
      <c r="U33" s="120"/>
    </row>
    <row r="34" spans="1:22" s="126" customFormat="1" ht="15" customHeight="1" x14ac:dyDescent="0.15">
      <c r="A34" s="120"/>
      <c r="B34" s="137"/>
      <c r="C34" s="135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33"/>
      <c r="S34" s="121"/>
      <c r="T34" s="128"/>
      <c r="U34" s="120"/>
    </row>
    <row r="35" spans="1:22" s="126" customFormat="1" ht="31.5" customHeight="1" x14ac:dyDescent="0.15">
      <c r="A35" s="120"/>
      <c r="B35" s="137" t="s">
        <v>702</v>
      </c>
      <c r="C35" s="135">
        <v>111804</v>
      </c>
      <c r="D35" s="121">
        <v>2</v>
      </c>
      <c r="E35" s="121" t="s">
        <v>796</v>
      </c>
      <c r="F35" s="121">
        <v>27277</v>
      </c>
      <c r="G35" s="121">
        <v>20356</v>
      </c>
      <c r="H35" s="121">
        <v>3075</v>
      </c>
      <c r="I35" s="121">
        <v>61094</v>
      </c>
      <c r="J35" s="121">
        <v>39</v>
      </c>
      <c r="K35" s="121">
        <v>61055</v>
      </c>
      <c r="L35" s="121">
        <v>8745</v>
      </c>
      <c r="M35" s="121" t="s">
        <v>796</v>
      </c>
      <c r="N35" s="121" t="s">
        <v>796</v>
      </c>
      <c r="O35" s="121" t="s">
        <v>796</v>
      </c>
      <c r="P35" s="121">
        <v>30648</v>
      </c>
      <c r="Q35" s="121">
        <v>30648</v>
      </c>
      <c r="R35" s="133" t="s">
        <v>796</v>
      </c>
      <c r="S35" s="121"/>
      <c r="T35" s="128" t="s">
        <v>478</v>
      </c>
      <c r="U35" s="120"/>
    </row>
    <row r="36" spans="1:22" s="126" customFormat="1" ht="15" customHeight="1" x14ac:dyDescent="0.15">
      <c r="A36" s="120"/>
      <c r="B36" s="137"/>
      <c r="C36" s="135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33"/>
      <c r="S36" s="121"/>
      <c r="T36" s="128"/>
      <c r="U36" s="120"/>
    </row>
    <row r="37" spans="1:22" s="126" customFormat="1" ht="15" customHeight="1" x14ac:dyDescent="0.15">
      <c r="A37" s="120"/>
      <c r="B37" s="137" t="s">
        <v>479</v>
      </c>
      <c r="C37" s="135">
        <v>50909</v>
      </c>
      <c r="D37" s="121">
        <v>170</v>
      </c>
      <c r="E37" s="121">
        <v>63</v>
      </c>
      <c r="F37" s="121" t="s">
        <v>796</v>
      </c>
      <c r="G37" s="121">
        <v>2991</v>
      </c>
      <c r="H37" s="121">
        <v>540</v>
      </c>
      <c r="I37" s="121">
        <v>47145</v>
      </c>
      <c r="J37" s="121">
        <v>21144</v>
      </c>
      <c r="K37" s="121">
        <v>26001</v>
      </c>
      <c r="L37" s="121">
        <v>49509</v>
      </c>
      <c r="M37" s="121">
        <v>14</v>
      </c>
      <c r="N37" s="121">
        <v>3</v>
      </c>
      <c r="O37" s="121" t="s">
        <v>796</v>
      </c>
      <c r="P37" s="121" t="s">
        <v>796</v>
      </c>
      <c r="Q37" s="121" t="s">
        <v>796</v>
      </c>
      <c r="R37" s="133" t="s">
        <v>796</v>
      </c>
      <c r="S37" s="121"/>
      <c r="T37" s="128" t="s">
        <v>184</v>
      </c>
      <c r="U37" s="120"/>
    </row>
    <row r="38" spans="1:22" s="126" customFormat="1" ht="15" customHeight="1" x14ac:dyDescent="0.15">
      <c r="A38" s="120"/>
      <c r="B38" s="137"/>
      <c r="C38" s="135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33"/>
      <c r="S38" s="121"/>
      <c r="T38" s="128"/>
      <c r="U38" s="120"/>
    </row>
    <row r="39" spans="1:22" s="126" customFormat="1" ht="15" customHeight="1" x14ac:dyDescent="0.15">
      <c r="A39" s="120"/>
      <c r="B39" s="137" t="s">
        <v>530</v>
      </c>
      <c r="C39" s="135">
        <v>53425504</v>
      </c>
      <c r="D39" s="121">
        <v>19454194</v>
      </c>
      <c r="E39" s="121">
        <v>1938817</v>
      </c>
      <c r="F39" s="121">
        <v>5096041</v>
      </c>
      <c r="G39" s="121">
        <v>6289138</v>
      </c>
      <c r="H39" s="121">
        <v>14476719</v>
      </c>
      <c r="I39" s="121">
        <v>6170595</v>
      </c>
      <c r="J39" s="121">
        <v>4251725</v>
      </c>
      <c r="K39" s="121">
        <v>1918870</v>
      </c>
      <c r="L39" s="121">
        <v>1029739</v>
      </c>
      <c r="M39" s="121">
        <v>400725</v>
      </c>
      <c r="N39" s="121">
        <v>35240</v>
      </c>
      <c r="O39" s="121">
        <v>2874</v>
      </c>
      <c r="P39" s="121">
        <v>4483611</v>
      </c>
      <c r="Q39" s="121">
        <v>4116343</v>
      </c>
      <c r="R39" s="133">
        <v>367268</v>
      </c>
      <c r="S39" s="121"/>
      <c r="T39" s="128" t="s">
        <v>183</v>
      </c>
      <c r="U39" s="120"/>
    </row>
    <row r="40" spans="1:22" s="126" customFormat="1" ht="15" customHeight="1" x14ac:dyDescent="0.15">
      <c r="A40" s="120"/>
      <c r="B40" s="136"/>
      <c r="C40" s="135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33"/>
      <c r="S40" s="121"/>
      <c r="T40" s="128"/>
      <c r="U40" s="120"/>
    </row>
    <row r="41" spans="1:22" ht="15" customHeight="1" x14ac:dyDescent="0.15">
      <c r="A41" s="120"/>
      <c r="B41" s="134" t="s">
        <v>813</v>
      </c>
      <c r="C41" s="121">
        <v>3970144</v>
      </c>
      <c r="D41" s="121">
        <v>910716</v>
      </c>
      <c r="E41" s="121">
        <v>296438</v>
      </c>
      <c r="F41" s="121">
        <v>349204</v>
      </c>
      <c r="G41" s="121">
        <v>864883</v>
      </c>
      <c r="H41" s="121">
        <v>651007</v>
      </c>
      <c r="I41" s="121">
        <v>897896</v>
      </c>
      <c r="J41" s="121">
        <v>424574</v>
      </c>
      <c r="K41" s="121">
        <v>473322</v>
      </c>
      <c r="L41" s="121">
        <v>272065</v>
      </c>
      <c r="M41" s="121">
        <v>48510</v>
      </c>
      <c r="N41" s="121">
        <v>10527</v>
      </c>
      <c r="O41" s="121">
        <v>7584</v>
      </c>
      <c r="P41" s="121">
        <v>1399332</v>
      </c>
      <c r="Q41" s="121">
        <v>928569</v>
      </c>
      <c r="R41" s="133">
        <v>470763</v>
      </c>
      <c r="S41" s="121"/>
      <c r="T41" s="128" t="s">
        <v>209</v>
      </c>
      <c r="U41" s="120"/>
    </row>
    <row r="42" spans="1:22" ht="15" customHeight="1" x14ac:dyDescent="0.2">
      <c r="A42" s="132"/>
      <c r="B42" s="733"/>
      <c r="C42" s="734"/>
      <c r="D42" s="734"/>
      <c r="E42" s="734"/>
      <c r="F42" s="734"/>
      <c r="G42" s="734"/>
      <c r="H42" s="734"/>
      <c r="I42" s="734"/>
      <c r="J42" s="734"/>
      <c r="K42" s="734"/>
      <c r="L42" s="734"/>
      <c r="M42" s="734"/>
      <c r="N42" s="734"/>
      <c r="O42" s="734"/>
      <c r="P42" s="734"/>
      <c r="Q42" s="734"/>
      <c r="R42" s="735"/>
      <c r="S42" s="734"/>
      <c r="T42" s="734"/>
      <c r="U42" s="131"/>
      <c r="V42" s="130"/>
    </row>
    <row r="43" spans="1:22" s="126" customFormat="1" ht="15" customHeight="1" x14ac:dyDescent="0.15">
      <c r="A43" s="127"/>
      <c r="B43" s="94" t="s">
        <v>907</v>
      </c>
      <c r="C43" s="113"/>
      <c r="D43" s="113"/>
      <c r="E43" s="113"/>
      <c r="F43" s="113"/>
      <c r="G43" s="113"/>
      <c r="H43" s="113"/>
      <c r="I43" s="113"/>
      <c r="J43" s="113"/>
      <c r="K43" s="113"/>
      <c r="L43" s="95" t="s">
        <v>908</v>
      </c>
      <c r="M43" s="113"/>
      <c r="N43" s="113"/>
      <c r="O43" s="113"/>
      <c r="P43" s="113"/>
      <c r="Q43" s="113"/>
      <c r="R43" s="113"/>
      <c r="S43" s="113"/>
      <c r="T43" s="129"/>
      <c r="U43" s="128"/>
      <c r="V43" s="127"/>
    </row>
    <row r="44" spans="1:22" x14ac:dyDescent="0.2">
      <c r="B44" s="94" t="s">
        <v>488</v>
      </c>
    </row>
  </sheetData>
  <phoneticPr fontId="34"/>
  <pageMargins left="0.59055118110236227" right="0.59055118110236227" top="0.59055118110236227" bottom="0.59055118110236227" header="0.59055118110236227" footer="0.11811023622047245"/>
  <pageSetup paperSize="9" scale="92" orientation="portrait" r:id="rId1"/>
  <headerFooter alignWithMargins="0"/>
  <colBreaks count="1" manualBreakCount="1">
    <brk id="11" max="43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7F49-10F0-4932-A83D-5AD4A813D543}">
  <dimension ref="A1:X42"/>
  <sheetViews>
    <sheetView view="pageBreakPreview" zoomScaleNormal="70" zoomScaleSheetLayoutView="100" workbookViewId="0">
      <selection activeCell="B3" sqref="B3"/>
    </sheetView>
  </sheetViews>
  <sheetFormatPr defaultColWidth="8.125" defaultRowHeight="13.5" x14ac:dyDescent="0.15"/>
  <cols>
    <col min="1" max="1" width="2.375" style="123" customWidth="1"/>
    <col min="2" max="2" width="3" style="123" customWidth="1"/>
    <col min="3" max="3" width="2.875" style="123" customWidth="1"/>
    <col min="4" max="4" width="5.5" style="123" customWidth="1"/>
    <col min="5" max="5" width="0.75" style="123" customWidth="1"/>
    <col min="6" max="6" width="10.625" style="123" customWidth="1"/>
    <col min="7" max="21" width="9.125" style="123" customWidth="1"/>
    <col min="22" max="22" width="7.375" style="123" customWidth="1"/>
    <col min="23" max="23" width="2.375" style="124" customWidth="1"/>
    <col min="24" max="24" width="6.25" style="123" customWidth="1"/>
    <col min="25" max="16384" width="8.125" style="123"/>
  </cols>
  <sheetData>
    <row r="1" spans="1:24" ht="16.5" customHeight="1" x14ac:dyDescent="0.2">
      <c r="G1" s="184"/>
      <c r="I1" s="183"/>
      <c r="T1" s="416"/>
      <c r="W1" s="123"/>
    </row>
    <row r="2" spans="1:24" s="178" customFormat="1" ht="16.5" customHeight="1" x14ac:dyDescent="0.15">
      <c r="R2" s="182"/>
      <c r="T2" s="181"/>
      <c r="U2" s="181"/>
      <c r="W2" s="180"/>
      <c r="X2" s="179"/>
    </row>
    <row r="3" spans="1:24" s="92" customFormat="1" ht="16.5" customHeight="1" x14ac:dyDescent="0.15">
      <c r="A3" s="423"/>
      <c r="B3" s="760" t="s">
        <v>703</v>
      </c>
      <c r="C3" s="759"/>
      <c r="D3" s="759"/>
      <c r="E3" s="759"/>
      <c r="F3" s="753"/>
      <c r="G3" s="758"/>
      <c r="H3" s="753"/>
      <c r="I3" s="753"/>
      <c r="J3" s="757"/>
      <c r="K3" s="757"/>
      <c r="L3" s="753"/>
      <c r="M3" s="753"/>
      <c r="N3" s="753"/>
      <c r="O3" s="756"/>
      <c r="P3" s="753"/>
      <c r="Q3" s="753"/>
      <c r="R3" s="755"/>
      <c r="S3" s="754"/>
      <c r="T3" s="727"/>
      <c r="U3" s="719" t="s">
        <v>902</v>
      </c>
      <c r="V3" s="753"/>
      <c r="W3" s="93"/>
    </row>
    <row r="4" spans="1:24" s="417" customFormat="1" ht="21.95" customHeight="1" x14ac:dyDescent="0.15">
      <c r="A4" s="177"/>
      <c r="B4" s="510"/>
      <c r="C4" s="510"/>
      <c r="D4" s="510"/>
      <c r="E4" s="511"/>
      <c r="F4" s="699"/>
      <c r="G4" s="119"/>
      <c r="H4" s="119"/>
      <c r="I4" s="119"/>
      <c r="J4" s="119"/>
      <c r="K4" s="119"/>
      <c r="L4" s="119"/>
      <c r="M4" s="119"/>
      <c r="N4" s="118"/>
      <c r="O4" s="117"/>
      <c r="P4" s="116"/>
      <c r="Q4" s="116"/>
      <c r="R4" s="116"/>
      <c r="S4" s="116"/>
      <c r="T4" s="115"/>
      <c r="U4" s="114"/>
      <c r="V4" s="1020" t="s">
        <v>486</v>
      </c>
      <c r="W4" s="165"/>
    </row>
    <row r="5" spans="1:24" s="417" customFormat="1" ht="21.95" customHeight="1" x14ac:dyDescent="0.15">
      <c r="A5" s="510"/>
      <c r="B5" s="1011" t="s">
        <v>487</v>
      </c>
      <c r="C5" s="1011"/>
      <c r="D5" s="1011"/>
      <c r="E5" s="1012"/>
      <c r="F5" s="111" t="s">
        <v>206</v>
      </c>
      <c r="G5" s="107" t="s">
        <v>442</v>
      </c>
      <c r="H5" s="107" t="s">
        <v>443</v>
      </c>
      <c r="I5" s="107" t="s">
        <v>444</v>
      </c>
      <c r="J5" s="107" t="s">
        <v>445</v>
      </c>
      <c r="K5" s="107" t="s">
        <v>446</v>
      </c>
      <c r="L5" s="107" t="s">
        <v>447</v>
      </c>
      <c r="M5" s="700"/>
      <c r="N5" s="701"/>
      <c r="O5" s="109" t="s">
        <v>448</v>
      </c>
      <c r="P5" s="110" t="s">
        <v>449</v>
      </c>
      <c r="Q5" s="110" t="s">
        <v>450</v>
      </c>
      <c r="R5" s="110" t="s">
        <v>451</v>
      </c>
      <c r="S5" s="112" t="s">
        <v>452</v>
      </c>
      <c r="T5" s="702"/>
      <c r="U5" s="703"/>
      <c r="V5" s="1021"/>
      <c r="W5" s="165"/>
      <c r="X5" s="418" t="s">
        <v>203</v>
      </c>
    </row>
    <row r="6" spans="1:24" s="420" customFormat="1" ht="21.95" customHeight="1" x14ac:dyDescent="0.15">
      <c r="A6" s="510"/>
      <c r="B6" s="510"/>
      <c r="C6" s="510"/>
      <c r="D6" s="510"/>
      <c r="E6" s="511"/>
      <c r="F6" s="111"/>
      <c r="G6" s="107" t="s">
        <v>203</v>
      </c>
      <c r="H6" s="107" t="s">
        <v>203</v>
      </c>
      <c r="I6" s="419" t="s">
        <v>204</v>
      </c>
      <c r="J6" s="107"/>
      <c r="K6" s="107"/>
      <c r="L6" s="107" t="s">
        <v>203</v>
      </c>
      <c r="M6" s="107" t="s">
        <v>202</v>
      </c>
      <c r="N6" s="704" t="s">
        <v>201</v>
      </c>
      <c r="O6" s="109"/>
      <c r="P6" s="110"/>
      <c r="Q6" s="110"/>
      <c r="R6" s="110"/>
      <c r="S6" s="110"/>
      <c r="T6" s="110" t="s">
        <v>453</v>
      </c>
      <c r="U6" s="109" t="s">
        <v>454</v>
      </c>
      <c r="V6" s="1021"/>
      <c r="W6" s="165"/>
      <c r="X6" s="418" t="s">
        <v>203</v>
      </c>
    </row>
    <row r="7" spans="1:24" s="417" customFormat="1" ht="33.75" customHeight="1" x14ac:dyDescent="0.15">
      <c r="A7" s="177"/>
      <c r="B7" s="752"/>
      <c r="C7" s="752"/>
      <c r="D7" s="752"/>
      <c r="E7" s="751"/>
      <c r="F7" s="706" t="s">
        <v>691</v>
      </c>
      <c r="G7" s="706" t="s">
        <v>200</v>
      </c>
      <c r="H7" s="706" t="s">
        <v>461</v>
      </c>
      <c r="I7" s="706" t="s">
        <v>462</v>
      </c>
      <c r="J7" s="706" t="s">
        <v>199</v>
      </c>
      <c r="K7" s="706" t="s">
        <v>455</v>
      </c>
      <c r="L7" s="706" t="s">
        <v>692</v>
      </c>
      <c r="M7" s="706" t="s">
        <v>463</v>
      </c>
      <c r="N7" s="572" t="s">
        <v>464</v>
      </c>
      <c r="O7" s="707" t="s">
        <v>903</v>
      </c>
      <c r="P7" s="707" t="s">
        <v>198</v>
      </c>
      <c r="Q7" s="707" t="s">
        <v>197</v>
      </c>
      <c r="R7" s="708" t="s">
        <v>196</v>
      </c>
      <c r="S7" s="513" t="s">
        <v>465</v>
      </c>
      <c r="T7" s="106"/>
      <c r="U7" s="106"/>
      <c r="V7" s="1022"/>
      <c r="W7" s="165"/>
      <c r="X7" s="418" t="s">
        <v>203</v>
      </c>
    </row>
    <row r="8" spans="1:24" s="514" customFormat="1" ht="21" customHeight="1" x14ac:dyDescent="0.15">
      <c r="A8" s="89"/>
      <c r="B8" s="695" t="s">
        <v>687</v>
      </c>
      <c r="C8" s="695" t="s">
        <v>875</v>
      </c>
      <c r="D8" s="750"/>
      <c r="E8" s="749"/>
      <c r="F8" s="167">
        <v>151715317</v>
      </c>
      <c r="G8" s="167">
        <v>46051586</v>
      </c>
      <c r="H8" s="167">
        <v>40055286</v>
      </c>
      <c r="I8" s="167">
        <v>3244887</v>
      </c>
      <c r="J8" s="167">
        <v>14074518</v>
      </c>
      <c r="K8" s="167">
        <v>32036730</v>
      </c>
      <c r="L8" s="167">
        <v>16252310</v>
      </c>
      <c r="M8" s="167">
        <v>10028445</v>
      </c>
      <c r="N8" s="167">
        <v>6223865</v>
      </c>
      <c r="O8" s="167">
        <v>1419764</v>
      </c>
      <c r="P8" s="167">
        <v>1917093</v>
      </c>
      <c r="Q8" s="167">
        <v>45723</v>
      </c>
      <c r="R8" s="167">
        <v>39833</v>
      </c>
      <c r="S8" s="103">
        <v>10302518</v>
      </c>
      <c r="T8" s="103">
        <v>9164956</v>
      </c>
      <c r="U8" s="748">
        <v>1137562</v>
      </c>
      <c r="V8" s="747" t="s">
        <v>876</v>
      </c>
      <c r="W8" s="52"/>
      <c r="X8" s="528"/>
    </row>
    <row r="9" spans="1:24" s="514" customFormat="1" ht="21" customHeight="1" x14ac:dyDescent="0.15">
      <c r="A9" s="89"/>
      <c r="B9" s="169" t="s">
        <v>214</v>
      </c>
      <c r="C9" s="516">
        <v>3</v>
      </c>
      <c r="D9" s="52"/>
      <c r="E9" s="176"/>
      <c r="F9" s="167">
        <v>154214620</v>
      </c>
      <c r="G9" s="167">
        <v>44767547</v>
      </c>
      <c r="H9" s="167">
        <v>42790793</v>
      </c>
      <c r="I9" s="167">
        <v>3174862</v>
      </c>
      <c r="J9" s="167">
        <v>13508544</v>
      </c>
      <c r="K9" s="167">
        <v>32139599</v>
      </c>
      <c r="L9" s="167">
        <v>17833275</v>
      </c>
      <c r="M9" s="167">
        <v>10000213</v>
      </c>
      <c r="N9" s="167">
        <v>7833062</v>
      </c>
      <c r="O9" s="167">
        <v>1469039</v>
      </c>
      <c r="P9" s="167">
        <v>1797846</v>
      </c>
      <c r="Q9" s="167">
        <v>50335</v>
      </c>
      <c r="R9" s="167">
        <v>44366</v>
      </c>
      <c r="S9" s="103">
        <v>11366012</v>
      </c>
      <c r="T9" s="103">
        <v>9629866</v>
      </c>
      <c r="U9" s="102">
        <v>1736146</v>
      </c>
      <c r="V9" s="65" t="s">
        <v>877</v>
      </c>
      <c r="W9" s="52"/>
      <c r="X9" s="528"/>
    </row>
    <row r="10" spans="1:24" s="514" customFormat="1" ht="21" customHeight="1" x14ac:dyDescent="0.15">
      <c r="A10" s="89"/>
      <c r="B10" s="169" t="s">
        <v>214</v>
      </c>
      <c r="C10" s="516">
        <v>4</v>
      </c>
      <c r="D10" s="52"/>
      <c r="E10" s="176"/>
      <c r="F10" s="167">
        <v>151804975</v>
      </c>
      <c r="G10" s="167">
        <v>44781215</v>
      </c>
      <c r="H10" s="167">
        <v>37984725</v>
      </c>
      <c r="I10" s="167">
        <v>3805717</v>
      </c>
      <c r="J10" s="167">
        <v>13038904</v>
      </c>
      <c r="K10" s="167">
        <v>32039292</v>
      </c>
      <c r="L10" s="167">
        <v>20155122</v>
      </c>
      <c r="M10" s="167">
        <v>10527568</v>
      </c>
      <c r="N10" s="167">
        <v>9627554</v>
      </c>
      <c r="O10" s="167">
        <v>1780609</v>
      </c>
      <c r="P10" s="167">
        <v>1718544</v>
      </c>
      <c r="Q10" s="167">
        <v>48722</v>
      </c>
      <c r="R10" s="167">
        <v>44148</v>
      </c>
      <c r="S10" s="103">
        <v>12730683</v>
      </c>
      <c r="T10" s="103">
        <v>10349368</v>
      </c>
      <c r="U10" s="102">
        <v>2381315</v>
      </c>
      <c r="V10" s="65" t="s">
        <v>878</v>
      </c>
      <c r="W10" s="52"/>
      <c r="X10" s="528"/>
    </row>
    <row r="11" spans="1:24" s="514" customFormat="1" ht="21" customHeight="1" x14ac:dyDescent="0.15">
      <c r="A11" s="89"/>
      <c r="B11" s="169" t="s">
        <v>214</v>
      </c>
      <c r="C11" s="516">
        <v>5</v>
      </c>
      <c r="D11" s="52"/>
      <c r="E11" s="176"/>
      <c r="F11" s="573">
        <v>146824578</v>
      </c>
      <c r="G11" s="167">
        <v>44645283</v>
      </c>
      <c r="H11" s="167">
        <v>36784913</v>
      </c>
      <c r="I11" s="573">
        <v>4295709</v>
      </c>
      <c r="J11" s="167">
        <v>11906008</v>
      </c>
      <c r="K11" s="167">
        <v>31390845</v>
      </c>
      <c r="L11" s="167">
        <v>17801820</v>
      </c>
      <c r="M11" s="167">
        <v>10063753</v>
      </c>
      <c r="N11" s="167">
        <v>7738067</v>
      </c>
      <c r="O11" s="167">
        <v>1861998</v>
      </c>
      <c r="P11" s="167">
        <v>1500885</v>
      </c>
      <c r="Q11" s="573">
        <v>46939</v>
      </c>
      <c r="R11" s="167">
        <v>36028</v>
      </c>
      <c r="S11" s="746">
        <v>11964231</v>
      </c>
      <c r="T11" s="103">
        <v>9841398</v>
      </c>
      <c r="U11" s="745">
        <v>2122833</v>
      </c>
      <c r="V11" s="65" t="s">
        <v>809</v>
      </c>
      <c r="W11" s="52"/>
      <c r="X11" s="528"/>
    </row>
    <row r="12" spans="1:24" s="514" customFormat="1" ht="21" customHeight="1" x14ac:dyDescent="0.15">
      <c r="A12" s="89"/>
      <c r="B12" s="169" t="s">
        <v>214</v>
      </c>
      <c r="C12" s="516">
        <v>6</v>
      </c>
      <c r="D12" s="52"/>
      <c r="E12" s="176"/>
      <c r="F12" s="167">
        <v>139789149</v>
      </c>
      <c r="G12" s="167">
        <v>43826119</v>
      </c>
      <c r="H12" s="167">
        <v>34825417</v>
      </c>
      <c r="I12" s="167">
        <v>4314571</v>
      </c>
      <c r="J12" s="167">
        <v>11187756</v>
      </c>
      <c r="K12" s="167">
        <v>30831161</v>
      </c>
      <c r="L12" s="167">
        <v>14804125</v>
      </c>
      <c r="M12" s="167">
        <v>9704765</v>
      </c>
      <c r="N12" s="167">
        <v>5099360</v>
      </c>
      <c r="O12" s="167">
        <v>1743125</v>
      </c>
      <c r="P12" s="167">
        <v>1386105</v>
      </c>
      <c r="Q12" s="167">
        <v>46749</v>
      </c>
      <c r="R12" s="167">
        <v>30600</v>
      </c>
      <c r="S12" s="103">
        <v>11657838</v>
      </c>
      <c r="T12" s="103">
        <v>9731209</v>
      </c>
      <c r="U12" s="102">
        <v>1926629</v>
      </c>
      <c r="V12" s="65" t="s">
        <v>879</v>
      </c>
      <c r="W12" s="52"/>
      <c r="X12" s="52"/>
    </row>
    <row r="13" spans="1:24" s="514" customFormat="1" ht="21" customHeight="1" x14ac:dyDescent="0.15">
      <c r="A13" s="89"/>
      <c r="B13" s="169"/>
      <c r="C13" s="169"/>
      <c r="E13" s="172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73"/>
      <c r="V13" s="475"/>
      <c r="W13" s="52"/>
      <c r="X13" s="528"/>
    </row>
    <row r="14" spans="1:24" s="514" customFormat="1" ht="21" customHeight="1" x14ac:dyDescent="0.15">
      <c r="A14" s="89"/>
      <c r="B14" s="516" t="s">
        <v>687</v>
      </c>
      <c r="C14" s="516" t="s">
        <v>880</v>
      </c>
      <c r="D14" s="467"/>
      <c r="E14" s="174"/>
      <c r="F14" s="167">
        <v>144605305</v>
      </c>
      <c r="G14" s="167">
        <v>44504902</v>
      </c>
      <c r="H14" s="167">
        <v>36159823</v>
      </c>
      <c r="I14" s="167">
        <v>4382718</v>
      </c>
      <c r="J14" s="167">
        <v>11835701</v>
      </c>
      <c r="K14" s="167">
        <v>31227192</v>
      </c>
      <c r="L14" s="167">
        <v>16494969</v>
      </c>
      <c r="M14" s="167">
        <v>9841630</v>
      </c>
      <c r="N14" s="167">
        <v>6653339</v>
      </c>
      <c r="O14" s="167">
        <v>1835335</v>
      </c>
      <c r="P14" s="167">
        <v>1439747</v>
      </c>
      <c r="Q14" s="167">
        <v>46980</v>
      </c>
      <c r="R14" s="167">
        <v>36980</v>
      </c>
      <c r="S14" s="167">
        <v>11736316</v>
      </c>
      <c r="T14" s="167">
        <v>9712154</v>
      </c>
      <c r="U14" s="173">
        <v>2024162</v>
      </c>
      <c r="V14" s="64" t="s">
        <v>881</v>
      </c>
      <c r="W14" s="52"/>
      <c r="X14" s="166" t="s">
        <v>203</v>
      </c>
    </row>
    <row r="15" spans="1:24" s="514" customFormat="1" ht="21" customHeight="1" x14ac:dyDescent="0.15">
      <c r="A15" s="89"/>
      <c r="B15" s="169" t="s">
        <v>214</v>
      </c>
      <c r="C15" s="516">
        <v>6</v>
      </c>
      <c r="D15" s="467"/>
      <c r="E15" s="174"/>
      <c r="F15" s="167">
        <v>138057037</v>
      </c>
      <c r="G15" s="167">
        <v>43638733</v>
      </c>
      <c r="H15" s="167">
        <v>34050339</v>
      </c>
      <c r="I15" s="167">
        <v>4237450</v>
      </c>
      <c r="J15" s="167">
        <v>11092148</v>
      </c>
      <c r="K15" s="167">
        <v>30740729</v>
      </c>
      <c r="L15" s="167">
        <v>14297638</v>
      </c>
      <c r="M15" s="167">
        <v>9709339</v>
      </c>
      <c r="N15" s="167">
        <v>4588299</v>
      </c>
      <c r="O15" s="167">
        <v>1695447</v>
      </c>
      <c r="P15" s="167">
        <v>1356476</v>
      </c>
      <c r="Q15" s="167">
        <v>46993</v>
      </c>
      <c r="R15" s="167">
        <v>27712</v>
      </c>
      <c r="S15" s="167">
        <v>11502234</v>
      </c>
      <c r="T15" s="167">
        <v>9661346</v>
      </c>
      <c r="U15" s="173">
        <v>1840888</v>
      </c>
      <c r="V15" s="64" t="s">
        <v>882</v>
      </c>
      <c r="W15" s="52"/>
      <c r="X15" s="166"/>
    </row>
    <row r="16" spans="1:24" s="514" customFormat="1" ht="21" customHeight="1" x14ac:dyDescent="0.15">
      <c r="A16" s="89"/>
      <c r="B16" s="169"/>
      <c r="C16" s="169"/>
      <c r="E16" s="172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73"/>
      <c r="V16" s="59"/>
      <c r="W16" s="52"/>
      <c r="X16" s="166"/>
    </row>
    <row r="17" spans="1:24" s="514" customFormat="1" ht="21" customHeight="1" x14ac:dyDescent="0.15">
      <c r="A17" s="89"/>
      <c r="B17" s="516" t="s">
        <v>687</v>
      </c>
      <c r="C17" s="516" t="s">
        <v>797</v>
      </c>
      <c r="D17" s="516" t="s">
        <v>604</v>
      </c>
      <c r="E17" s="174"/>
      <c r="F17" s="167">
        <v>37906508</v>
      </c>
      <c r="G17" s="167">
        <v>10388099</v>
      </c>
      <c r="H17" s="167">
        <v>9203028</v>
      </c>
      <c r="I17" s="167">
        <v>1098753</v>
      </c>
      <c r="J17" s="167">
        <v>5264078</v>
      </c>
      <c r="K17" s="167">
        <v>7456567</v>
      </c>
      <c r="L17" s="167">
        <v>4495983</v>
      </c>
      <c r="M17" s="167">
        <v>2857221</v>
      </c>
      <c r="N17" s="167">
        <v>1638762</v>
      </c>
      <c r="O17" s="167">
        <v>436930</v>
      </c>
      <c r="P17" s="167">
        <v>376904</v>
      </c>
      <c r="Q17" s="167">
        <v>11306</v>
      </c>
      <c r="R17" s="167">
        <v>8050</v>
      </c>
      <c r="S17" s="167">
        <v>3514997</v>
      </c>
      <c r="T17" s="167">
        <v>3089666</v>
      </c>
      <c r="U17" s="173">
        <v>425331</v>
      </c>
      <c r="V17" s="60" t="s">
        <v>883</v>
      </c>
      <c r="W17" s="52"/>
      <c r="X17" s="166"/>
    </row>
    <row r="18" spans="1:24" s="514" customFormat="1" ht="21" customHeight="1" x14ac:dyDescent="0.15">
      <c r="A18" s="89"/>
      <c r="B18" s="169" t="s">
        <v>214</v>
      </c>
      <c r="C18" s="169" t="s">
        <v>214</v>
      </c>
      <c r="D18" s="516" t="s">
        <v>605</v>
      </c>
      <c r="E18" s="174"/>
      <c r="F18" s="167">
        <v>32404729</v>
      </c>
      <c r="G18" s="167">
        <v>10484272</v>
      </c>
      <c r="H18" s="167">
        <v>8671393</v>
      </c>
      <c r="I18" s="167">
        <v>1113942</v>
      </c>
      <c r="J18" s="167">
        <v>1308898</v>
      </c>
      <c r="K18" s="167">
        <v>7565217</v>
      </c>
      <c r="L18" s="167">
        <v>3261007</v>
      </c>
      <c r="M18" s="167">
        <v>2210530</v>
      </c>
      <c r="N18" s="167">
        <v>1050477</v>
      </c>
      <c r="O18" s="167">
        <v>448633</v>
      </c>
      <c r="P18" s="167">
        <v>285014</v>
      </c>
      <c r="Q18" s="167">
        <v>11493</v>
      </c>
      <c r="R18" s="167">
        <v>6767</v>
      </c>
      <c r="S18" s="167">
        <v>2811262</v>
      </c>
      <c r="T18" s="167">
        <v>2266076</v>
      </c>
      <c r="U18" s="173">
        <v>545186</v>
      </c>
      <c r="V18" s="63" t="s">
        <v>884</v>
      </c>
      <c r="W18" s="52"/>
      <c r="X18" s="166"/>
    </row>
    <row r="19" spans="1:24" s="514" customFormat="1" ht="21" customHeight="1" x14ac:dyDescent="0.15">
      <c r="A19" s="89"/>
      <c r="B19" s="169" t="s">
        <v>214</v>
      </c>
      <c r="C19" s="169" t="s">
        <v>214</v>
      </c>
      <c r="D19" s="516" t="s">
        <v>606</v>
      </c>
      <c r="E19" s="174"/>
      <c r="F19" s="167">
        <v>32972171</v>
      </c>
      <c r="G19" s="167">
        <v>11951555</v>
      </c>
      <c r="H19" s="167">
        <v>7941584</v>
      </c>
      <c r="I19" s="167">
        <v>1064090</v>
      </c>
      <c r="J19" s="167">
        <v>1027688</v>
      </c>
      <c r="K19" s="167">
        <v>7859333</v>
      </c>
      <c r="L19" s="167">
        <v>3127921</v>
      </c>
      <c r="M19" s="167">
        <v>2014421</v>
      </c>
      <c r="N19" s="167">
        <v>1113500</v>
      </c>
      <c r="O19" s="167">
        <v>426095</v>
      </c>
      <c r="P19" s="167">
        <v>319829</v>
      </c>
      <c r="Q19" s="167">
        <v>11782</v>
      </c>
      <c r="R19" s="167">
        <v>6569</v>
      </c>
      <c r="S19" s="167">
        <v>2320658</v>
      </c>
      <c r="T19" s="167">
        <v>1768230</v>
      </c>
      <c r="U19" s="173">
        <v>552428</v>
      </c>
      <c r="V19" s="62" t="s">
        <v>885</v>
      </c>
      <c r="W19" s="52"/>
      <c r="X19" s="166" t="s">
        <v>203</v>
      </c>
    </row>
    <row r="20" spans="1:24" s="514" customFormat="1" ht="21" customHeight="1" x14ac:dyDescent="0.15">
      <c r="A20" s="89"/>
      <c r="B20" s="169" t="s">
        <v>214</v>
      </c>
      <c r="C20" s="169" t="s">
        <v>214</v>
      </c>
      <c r="D20" s="516" t="s">
        <v>524</v>
      </c>
      <c r="E20" s="174"/>
      <c r="F20" s="167">
        <v>36505741</v>
      </c>
      <c r="G20" s="167">
        <v>11002193</v>
      </c>
      <c r="H20" s="167">
        <v>9009412</v>
      </c>
      <c r="I20" s="167">
        <v>1037786</v>
      </c>
      <c r="J20" s="167">
        <v>3587092</v>
      </c>
      <c r="K20" s="167">
        <v>7950044</v>
      </c>
      <c r="L20" s="167">
        <v>3919214</v>
      </c>
      <c r="M20" s="167">
        <v>2622593</v>
      </c>
      <c r="N20" s="167">
        <v>1296621</v>
      </c>
      <c r="O20" s="167">
        <v>431467</v>
      </c>
      <c r="P20" s="167">
        <v>404358</v>
      </c>
      <c r="Q20" s="167">
        <v>12168</v>
      </c>
      <c r="R20" s="167">
        <v>9214</v>
      </c>
      <c r="S20" s="167">
        <v>3010921</v>
      </c>
      <c r="T20" s="167">
        <v>2607237</v>
      </c>
      <c r="U20" s="173">
        <v>403684</v>
      </c>
      <c r="V20" s="61" t="s">
        <v>886</v>
      </c>
      <c r="W20" s="52"/>
      <c r="X20" s="166" t="s">
        <v>203</v>
      </c>
    </row>
    <row r="21" spans="1:24" s="514" customFormat="1" ht="21" customHeight="1" x14ac:dyDescent="0.15">
      <c r="A21" s="89"/>
      <c r="B21" s="516" t="s">
        <v>687</v>
      </c>
      <c r="C21" s="516" t="s">
        <v>887</v>
      </c>
      <c r="D21" s="516" t="s">
        <v>607</v>
      </c>
      <c r="E21" s="174"/>
      <c r="F21" s="167">
        <v>36174396</v>
      </c>
      <c r="G21" s="167">
        <v>10200713</v>
      </c>
      <c r="H21" s="167">
        <v>8427950</v>
      </c>
      <c r="I21" s="167">
        <v>1021632</v>
      </c>
      <c r="J21" s="167">
        <v>5168470</v>
      </c>
      <c r="K21" s="167">
        <v>7366135</v>
      </c>
      <c r="L21" s="167">
        <v>3989496</v>
      </c>
      <c r="M21" s="167">
        <v>2861795</v>
      </c>
      <c r="N21" s="167">
        <v>1127701</v>
      </c>
      <c r="O21" s="167">
        <v>389252</v>
      </c>
      <c r="P21" s="167">
        <v>347275</v>
      </c>
      <c r="Q21" s="167">
        <v>11550</v>
      </c>
      <c r="R21" s="167">
        <v>5162</v>
      </c>
      <c r="S21" s="167">
        <v>3359393</v>
      </c>
      <c r="T21" s="167">
        <v>3019803</v>
      </c>
      <c r="U21" s="173">
        <v>339590</v>
      </c>
      <c r="V21" s="60" t="s">
        <v>889</v>
      </c>
      <c r="W21" s="52"/>
      <c r="X21" s="166"/>
    </row>
    <row r="22" spans="1:24" s="514" customFormat="1" ht="21" customHeight="1" x14ac:dyDescent="0.15">
      <c r="A22" s="89"/>
      <c r="B22" s="169"/>
      <c r="C22" s="169"/>
      <c r="E22" s="172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02"/>
      <c r="V22" s="59"/>
      <c r="W22" s="52"/>
      <c r="X22" s="166"/>
    </row>
    <row r="23" spans="1:24" s="514" customFormat="1" ht="21" customHeight="1" x14ac:dyDescent="0.15">
      <c r="A23" s="89"/>
      <c r="B23" s="516" t="s">
        <v>687</v>
      </c>
      <c r="C23" s="516" t="s">
        <v>797</v>
      </c>
      <c r="D23" s="169" t="s">
        <v>589</v>
      </c>
      <c r="E23" s="168"/>
      <c r="F23" s="167">
        <v>12770298</v>
      </c>
      <c r="G23" s="167">
        <v>3407969</v>
      </c>
      <c r="H23" s="167">
        <v>3181660</v>
      </c>
      <c r="I23" s="167">
        <v>386550</v>
      </c>
      <c r="J23" s="167">
        <v>1931379</v>
      </c>
      <c r="K23" s="167">
        <v>2340791</v>
      </c>
      <c r="L23" s="167">
        <v>1521949</v>
      </c>
      <c r="M23" s="167">
        <v>920577</v>
      </c>
      <c r="N23" s="167">
        <v>601372</v>
      </c>
      <c r="O23" s="167">
        <v>135699</v>
      </c>
      <c r="P23" s="167">
        <v>113579</v>
      </c>
      <c r="Q23" s="167">
        <v>3401</v>
      </c>
      <c r="R23" s="167">
        <v>3349</v>
      </c>
      <c r="S23" s="103">
        <v>1192541</v>
      </c>
      <c r="T23" s="103">
        <v>1046780</v>
      </c>
      <c r="U23" s="102">
        <v>145761</v>
      </c>
      <c r="V23" s="58" t="s">
        <v>890</v>
      </c>
      <c r="W23" s="52"/>
      <c r="X23" s="166" t="s">
        <v>203</v>
      </c>
    </row>
    <row r="24" spans="1:24" s="514" customFormat="1" ht="21" customHeight="1" x14ac:dyDescent="0.15">
      <c r="A24" s="89"/>
      <c r="B24" s="169" t="s">
        <v>214</v>
      </c>
      <c r="C24" s="169" t="s">
        <v>214</v>
      </c>
      <c r="D24" s="169" t="s">
        <v>590</v>
      </c>
      <c r="E24" s="168"/>
      <c r="F24" s="167">
        <v>12507085</v>
      </c>
      <c r="G24" s="167">
        <v>3322535</v>
      </c>
      <c r="H24" s="167">
        <v>3156161</v>
      </c>
      <c r="I24" s="167">
        <v>350278</v>
      </c>
      <c r="J24" s="167">
        <v>1727583</v>
      </c>
      <c r="K24" s="167">
        <v>2476530</v>
      </c>
      <c r="L24" s="167">
        <v>1473998</v>
      </c>
      <c r="M24" s="167">
        <v>952295</v>
      </c>
      <c r="N24" s="167">
        <v>521703</v>
      </c>
      <c r="O24" s="167">
        <v>148630</v>
      </c>
      <c r="P24" s="167">
        <v>127010</v>
      </c>
      <c r="Q24" s="167">
        <v>3847</v>
      </c>
      <c r="R24" s="167">
        <v>1850</v>
      </c>
      <c r="S24" s="103">
        <v>1163271</v>
      </c>
      <c r="T24" s="103">
        <v>1015078</v>
      </c>
      <c r="U24" s="102">
        <v>148193</v>
      </c>
      <c r="V24" s="53" t="s">
        <v>397</v>
      </c>
      <c r="W24" s="52"/>
      <c r="X24" s="166"/>
    </row>
    <row r="25" spans="1:24" s="514" customFormat="1" ht="21" customHeight="1" x14ac:dyDescent="0.15">
      <c r="A25" s="89"/>
      <c r="B25" s="169" t="s">
        <v>214</v>
      </c>
      <c r="C25" s="169" t="s">
        <v>214</v>
      </c>
      <c r="D25" s="169" t="s">
        <v>591</v>
      </c>
      <c r="E25" s="168"/>
      <c r="F25" s="167">
        <v>12629125</v>
      </c>
      <c r="G25" s="167">
        <v>3657595</v>
      </c>
      <c r="H25" s="167">
        <v>2865207</v>
      </c>
      <c r="I25" s="167">
        <v>361925</v>
      </c>
      <c r="J25" s="167">
        <v>1605116</v>
      </c>
      <c r="K25" s="167">
        <v>2639246</v>
      </c>
      <c r="L25" s="167">
        <v>1500036</v>
      </c>
      <c r="M25" s="167">
        <v>984349</v>
      </c>
      <c r="N25" s="167">
        <v>515687</v>
      </c>
      <c r="O25" s="167">
        <v>152601</v>
      </c>
      <c r="P25" s="167">
        <v>136315</v>
      </c>
      <c r="Q25" s="167">
        <v>4058</v>
      </c>
      <c r="R25" s="167">
        <v>2851</v>
      </c>
      <c r="S25" s="103">
        <v>1159185</v>
      </c>
      <c r="T25" s="103">
        <v>1027808</v>
      </c>
      <c r="U25" s="102">
        <v>131377</v>
      </c>
      <c r="V25" s="53" t="s">
        <v>398</v>
      </c>
      <c r="W25" s="52"/>
      <c r="X25" s="166" t="s">
        <v>203</v>
      </c>
    </row>
    <row r="26" spans="1:24" s="514" customFormat="1" ht="21" customHeight="1" x14ac:dyDescent="0.15">
      <c r="A26" s="89"/>
      <c r="B26" s="169" t="s">
        <v>214</v>
      </c>
      <c r="C26" s="169" t="s">
        <v>214</v>
      </c>
      <c r="D26" s="169" t="s">
        <v>592</v>
      </c>
      <c r="E26" s="168"/>
      <c r="F26" s="167">
        <v>11103820</v>
      </c>
      <c r="G26" s="167">
        <v>3469698</v>
      </c>
      <c r="H26" s="167">
        <v>2998709</v>
      </c>
      <c r="I26" s="167">
        <v>361059</v>
      </c>
      <c r="J26" s="167">
        <v>632195</v>
      </c>
      <c r="K26" s="167">
        <v>2499632</v>
      </c>
      <c r="L26" s="167">
        <v>1142527</v>
      </c>
      <c r="M26" s="167">
        <v>801384</v>
      </c>
      <c r="N26" s="167">
        <v>341143</v>
      </c>
      <c r="O26" s="167">
        <v>160881</v>
      </c>
      <c r="P26" s="167">
        <v>97044</v>
      </c>
      <c r="Q26" s="167">
        <v>3944</v>
      </c>
      <c r="R26" s="167">
        <v>2456</v>
      </c>
      <c r="S26" s="103">
        <v>1051092</v>
      </c>
      <c r="T26" s="103">
        <v>855547</v>
      </c>
      <c r="U26" s="102">
        <v>195545</v>
      </c>
      <c r="V26" s="53" t="s">
        <v>399</v>
      </c>
      <c r="W26" s="52"/>
      <c r="X26" s="166"/>
    </row>
    <row r="27" spans="1:24" s="514" customFormat="1" ht="21" customHeight="1" x14ac:dyDescent="0.15">
      <c r="A27" s="89"/>
      <c r="B27" s="169" t="s">
        <v>214</v>
      </c>
      <c r="C27" s="169" t="s">
        <v>214</v>
      </c>
      <c r="D27" s="169" t="s">
        <v>593</v>
      </c>
      <c r="E27" s="168"/>
      <c r="F27" s="167">
        <v>10752815</v>
      </c>
      <c r="G27" s="167">
        <v>3503148</v>
      </c>
      <c r="H27" s="167">
        <v>2955255</v>
      </c>
      <c r="I27" s="167">
        <v>368649</v>
      </c>
      <c r="J27" s="167">
        <v>355937</v>
      </c>
      <c r="K27" s="167">
        <v>2470367</v>
      </c>
      <c r="L27" s="167">
        <v>1099459</v>
      </c>
      <c r="M27" s="167">
        <v>708485</v>
      </c>
      <c r="N27" s="167">
        <v>390974</v>
      </c>
      <c r="O27" s="167">
        <v>138803</v>
      </c>
      <c r="P27" s="167">
        <v>87172</v>
      </c>
      <c r="Q27" s="167">
        <v>3733</v>
      </c>
      <c r="R27" s="167">
        <v>2138</v>
      </c>
      <c r="S27" s="103">
        <v>961919</v>
      </c>
      <c r="T27" s="103">
        <v>771489</v>
      </c>
      <c r="U27" s="102">
        <v>190430</v>
      </c>
      <c r="V27" s="53" t="s">
        <v>407</v>
      </c>
      <c r="W27" s="52"/>
      <c r="X27" s="166" t="s">
        <v>203</v>
      </c>
    </row>
    <row r="28" spans="1:24" s="514" customFormat="1" ht="21" customHeight="1" x14ac:dyDescent="0.15">
      <c r="A28" s="89"/>
      <c r="B28" s="169" t="s">
        <v>214</v>
      </c>
      <c r="C28" s="169" t="s">
        <v>214</v>
      </c>
      <c r="D28" s="169" t="s">
        <v>594</v>
      </c>
      <c r="E28" s="168"/>
      <c r="F28" s="167">
        <v>10548094</v>
      </c>
      <c r="G28" s="167">
        <v>3511426</v>
      </c>
      <c r="H28" s="167">
        <v>2717429</v>
      </c>
      <c r="I28" s="167">
        <v>384234</v>
      </c>
      <c r="J28" s="167">
        <v>320766</v>
      </c>
      <c r="K28" s="167">
        <v>2595218</v>
      </c>
      <c r="L28" s="167">
        <v>1019021</v>
      </c>
      <c r="M28" s="167">
        <v>700661</v>
      </c>
      <c r="N28" s="167">
        <v>318360</v>
      </c>
      <c r="O28" s="167">
        <v>148949</v>
      </c>
      <c r="P28" s="167">
        <v>100798</v>
      </c>
      <c r="Q28" s="167">
        <v>3816</v>
      </c>
      <c r="R28" s="167">
        <v>2173</v>
      </c>
      <c r="S28" s="103">
        <v>798251</v>
      </c>
      <c r="T28" s="103">
        <v>639040</v>
      </c>
      <c r="U28" s="102">
        <v>159211</v>
      </c>
      <c r="V28" s="53" t="s">
        <v>400</v>
      </c>
      <c r="W28" s="52"/>
      <c r="X28" s="166"/>
    </row>
    <row r="29" spans="1:24" s="514" customFormat="1" ht="21" customHeight="1" x14ac:dyDescent="0.15">
      <c r="A29" s="89"/>
      <c r="B29" s="169" t="s">
        <v>214</v>
      </c>
      <c r="C29" s="169" t="s">
        <v>214</v>
      </c>
      <c r="D29" s="169" t="s">
        <v>595</v>
      </c>
      <c r="E29" s="168"/>
      <c r="F29" s="167">
        <v>10729354</v>
      </c>
      <c r="G29" s="167">
        <v>3941380</v>
      </c>
      <c r="H29" s="167">
        <v>2438150</v>
      </c>
      <c r="I29" s="167">
        <v>349439</v>
      </c>
      <c r="J29" s="167">
        <v>304015</v>
      </c>
      <c r="K29" s="167">
        <v>2685937</v>
      </c>
      <c r="L29" s="167">
        <v>1010433</v>
      </c>
      <c r="M29" s="167">
        <v>664786</v>
      </c>
      <c r="N29" s="167">
        <v>345647</v>
      </c>
      <c r="O29" s="167">
        <v>163709</v>
      </c>
      <c r="P29" s="167">
        <v>118799</v>
      </c>
      <c r="Q29" s="167">
        <v>4465</v>
      </c>
      <c r="R29" s="167">
        <v>2559</v>
      </c>
      <c r="S29" s="103">
        <v>868416</v>
      </c>
      <c r="T29" s="103">
        <v>664260</v>
      </c>
      <c r="U29" s="102">
        <v>204156</v>
      </c>
      <c r="V29" s="53" t="s">
        <v>401</v>
      </c>
      <c r="W29" s="52"/>
      <c r="X29" s="166" t="s">
        <v>203</v>
      </c>
    </row>
    <row r="30" spans="1:24" s="514" customFormat="1" ht="21" customHeight="1" x14ac:dyDescent="0.15">
      <c r="A30" s="89"/>
      <c r="B30" s="169" t="s">
        <v>214</v>
      </c>
      <c r="C30" s="169" t="s">
        <v>214</v>
      </c>
      <c r="D30" s="169" t="s">
        <v>596</v>
      </c>
      <c r="E30" s="168"/>
      <c r="F30" s="167">
        <v>11391530</v>
      </c>
      <c r="G30" s="167">
        <v>4286468</v>
      </c>
      <c r="H30" s="167">
        <v>2809676</v>
      </c>
      <c r="I30" s="167">
        <v>357484</v>
      </c>
      <c r="J30" s="167">
        <v>348546</v>
      </c>
      <c r="K30" s="167">
        <v>2537364</v>
      </c>
      <c r="L30" s="167">
        <v>1051992</v>
      </c>
      <c r="M30" s="167">
        <v>637710</v>
      </c>
      <c r="N30" s="167">
        <v>414282</v>
      </c>
      <c r="O30" s="167">
        <v>121888</v>
      </c>
      <c r="P30" s="167">
        <v>78215</v>
      </c>
      <c r="Q30" s="167">
        <v>3548</v>
      </c>
      <c r="R30" s="167">
        <v>1072</v>
      </c>
      <c r="S30" s="103">
        <v>722158</v>
      </c>
      <c r="T30" s="103">
        <v>546918</v>
      </c>
      <c r="U30" s="102">
        <v>175240</v>
      </c>
      <c r="V30" s="53" t="s">
        <v>402</v>
      </c>
      <c r="W30" s="52"/>
      <c r="X30" s="166"/>
    </row>
    <row r="31" spans="1:24" s="514" customFormat="1" ht="21" customHeight="1" x14ac:dyDescent="0.15">
      <c r="A31" s="89"/>
      <c r="B31" s="169" t="s">
        <v>214</v>
      </c>
      <c r="C31" s="169" t="s">
        <v>214</v>
      </c>
      <c r="D31" s="169" t="s">
        <v>597</v>
      </c>
      <c r="E31" s="168"/>
      <c r="F31" s="167">
        <v>10851287</v>
      </c>
      <c r="G31" s="167">
        <v>3723707</v>
      </c>
      <c r="H31" s="167">
        <v>2693758</v>
      </c>
      <c r="I31" s="167">
        <v>357167</v>
      </c>
      <c r="J31" s="167">
        <v>375127</v>
      </c>
      <c r="K31" s="167">
        <v>2636032</v>
      </c>
      <c r="L31" s="167">
        <v>1065496</v>
      </c>
      <c r="M31" s="167">
        <v>711925</v>
      </c>
      <c r="N31" s="167">
        <v>353571</v>
      </c>
      <c r="O31" s="167">
        <v>140498</v>
      </c>
      <c r="P31" s="167">
        <v>122815</v>
      </c>
      <c r="Q31" s="167">
        <v>3769</v>
      </c>
      <c r="R31" s="167">
        <v>2938</v>
      </c>
      <c r="S31" s="103">
        <v>730084</v>
      </c>
      <c r="T31" s="103">
        <v>557052</v>
      </c>
      <c r="U31" s="102">
        <v>173032</v>
      </c>
      <c r="V31" s="53" t="s">
        <v>403</v>
      </c>
      <c r="W31" s="52"/>
      <c r="X31" s="166" t="s">
        <v>203</v>
      </c>
    </row>
    <row r="32" spans="1:24" s="514" customFormat="1" ht="21" customHeight="1" x14ac:dyDescent="0.15">
      <c r="A32" s="89"/>
      <c r="B32" s="169" t="s">
        <v>214</v>
      </c>
      <c r="C32" s="169" t="s">
        <v>214</v>
      </c>
      <c r="D32" s="468" t="s">
        <v>688</v>
      </c>
      <c r="E32" s="168"/>
      <c r="F32" s="167">
        <v>11281960</v>
      </c>
      <c r="G32" s="167">
        <v>3628398</v>
      </c>
      <c r="H32" s="167">
        <v>2966760</v>
      </c>
      <c r="I32" s="167">
        <v>351764</v>
      </c>
      <c r="J32" s="167">
        <v>566835</v>
      </c>
      <c r="K32" s="167">
        <v>2648989</v>
      </c>
      <c r="L32" s="167">
        <v>1119214</v>
      </c>
      <c r="M32" s="167">
        <v>742350</v>
      </c>
      <c r="N32" s="167">
        <v>376864</v>
      </c>
      <c r="O32" s="167">
        <v>147812</v>
      </c>
      <c r="P32" s="167">
        <v>148223</v>
      </c>
      <c r="Q32" s="167">
        <v>4344</v>
      </c>
      <c r="R32" s="167">
        <v>2748</v>
      </c>
      <c r="S32" s="103">
        <v>867561</v>
      </c>
      <c r="T32" s="103">
        <v>728800</v>
      </c>
      <c r="U32" s="102">
        <v>138761</v>
      </c>
      <c r="V32" s="53" t="s">
        <v>404</v>
      </c>
      <c r="W32" s="52"/>
      <c r="X32" s="166"/>
    </row>
    <row r="33" spans="1:24" s="514" customFormat="1" ht="21" customHeight="1" x14ac:dyDescent="0.15">
      <c r="A33" s="89"/>
      <c r="B33" s="169" t="s">
        <v>214</v>
      </c>
      <c r="C33" s="169" t="s">
        <v>214</v>
      </c>
      <c r="D33" s="468" t="s">
        <v>689</v>
      </c>
      <c r="E33" s="168"/>
      <c r="F33" s="167">
        <v>12092457</v>
      </c>
      <c r="G33" s="167">
        <v>3557863</v>
      </c>
      <c r="H33" s="167">
        <v>3027283</v>
      </c>
      <c r="I33" s="167">
        <v>340602</v>
      </c>
      <c r="J33" s="167">
        <v>1213976</v>
      </c>
      <c r="K33" s="167">
        <v>2650462</v>
      </c>
      <c r="L33" s="167">
        <v>1302271</v>
      </c>
      <c r="M33" s="167">
        <v>870753</v>
      </c>
      <c r="N33" s="167">
        <v>431518</v>
      </c>
      <c r="O33" s="167">
        <v>143164</v>
      </c>
      <c r="P33" s="167">
        <v>132908</v>
      </c>
      <c r="Q33" s="167">
        <v>3895</v>
      </c>
      <c r="R33" s="167">
        <v>2662</v>
      </c>
      <c r="S33" s="103">
        <v>988611</v>
      </c>
      <c r="T33" s="103">
        <v>854162</v>
      </c>
      <c r="U33" s="102">
        <v>134449</v>
      </c>
      <c r="V33" s="53" t="s">
        <v>405</v>
      </c>
      <c r="W33" s="52"/>
      <c r="X33" s="166"/>
    </row>
    <row r="34" spans="1:24" s="514" customFormat="1" ht="21" customHeight="1" x14ac:dyDescent="0.15">
      <c r="A34" s="89"/>
      <c r="B34" s="169" t="s">
        <v>214</v>
      </c>
      <c r="C34" s="169" t="s">
        <v>214</v>
      </c>
      <c r="D34" s="468" t="s">
        <v>690</v>
      </c>
      <c r="E34" s="168"/>
      <c r="F34" s="167">
        <v>13131324</v>
      </c>
      <c r="G34" s="167">
        <v>3815932</v>
      </c>
      <c r="H34" s="167">
        <v>3015369</v>
      </c>
      <c r="I34" s="167">
        <v>345420</v>
      </c>
      <c r="J34" s="167">
        <v>1806281</v>
      </c>
      <c r="K34" s="167">
        <v>2650593</v>
      </c>
      <c r="L34" s="167">
        <v>1497729</v>
      </c>
      <c r="M34" s="167">
        <v>1009490</v>
      </c>
      <c r="N34" s="167">
        <v>488239</v>
      </c>
      <c r="O34" s="167">
        <v>140491</v>
      </c>
      <c r="P34" s="167">
        <v>123227</v>
      </c>
      <c r="Q34" s="167">
        <v>3929</v>
      </c>
      <c r="R34" s="167">
        <v>3804</v>
      </c>
      <c r="S34" s="103">
        <v>1154749</v>
      </c>
      <c r="T34" s="103">
        <v>1024275</v>
      </c>
      <c r="U34" s="102">
        <v>130474</v>
      </c>
      <c r="V34" s="53" t="s">
        <v>406</v>
      </c>
      <c r="W34" s="52"/>
      <c r="X34" s="166" t="s">
        <v>203</v>
      </c>
    </row>
    <row r="35" spans="1:24" s="514" customFormat="1" ht="21" customHeight="1" x14ac:dyDescent="0.15">
      <c r="A35" s="89"/>
      <c r="B35" s="169"/>
      <c r="C35" s="169"/>
      <c r="D35" s="169"/>
      <c r="E35" s="168"/>
      <c r="F35" s="167"/>
      <c r="G35" s="171"/>
      <c r="H35" s="171"/>
      <c r="I35" s="171"/>
      <c r="J35" s="167"/>
      <c r="K35" s="167"/>
      <c r="L35" s="167"/>
      <c r="M35" s="167"/>
      <c r="N35" s="167"/>
      <c r="O35" s="167"/>
      <c r="P35" s="167"/>
      <c r="Q35" s="167"/>
      <c r="R35" s="167"/>
      <c r="S35" s="103"/>
      <c r="T35" s="103"/>
      <c r="U35" s="102"/>
      <c r="V35" s="170"/>
      <c r="W35" s="52"/>
      <c r="X35" s="166"/>
    </row>
    <row r="36" spans="1:24" s="514" customFormat="1" ht="21" customHeight="1" x14ac:dyDescent="0.15">
      <c r="A36" s="89"/>
      <c r="B36" s="516" t="s">
        <v>687</v>
      </c>
      <c r="C36" s="516" t="s">
        <v>887</v>
      </c>
      <c r="D36" s="169" t="s">
        <v>598</v>
      </c>
      <c r="E36" s="168"/>
      <c r="F36" s="167">
        <v>12425608</v>
      </c>
      <c r="G36" s="167">
        <v>3351719</v>
      </c>
      <c r="H36" s="167">
        <v>2997378</v>
      </c>
      <c r="I36" s="167">
        <v>361667</v>
      </c>
      <c r="J36" s="167">
        <v>1967359</v>
      </c>
      <c r="K36" s="167">
        <v>2334998</v>
      </c>
      <c r="L36" s="167">
        <v>1412487</v>
      </c>
      <c r="M36" s="167">
        <v>967679</v>
      </c>
      <c r="N36" s="167">
        <v>444808</v>
      </c>
      <c r="O36" s="167">
        <v>138562</v>
      </c>
      <c r="P36" s="167">
        <v>117675</v>
      </c>
      <c r="Q36" s="167">
        <v>3845</v>
      </c>
      <c r="R36" s="167">
        <v>1570</v>
      </c>
      <c r="S36" s="103">
        <v>1207958</v>
      </c>
      <c r="T36" s="103">
        <v>1076652</v>
      </c>
      <c r="U36" s="102">
        <v>131306</v>
      </c>
      <c r="V36" s="58" t="s">
        <v>892</v>
      </c>
      <c r="W36" s="52"/>
      <c r="X36" s="166" t="s">
        <v>203</v>
      </c>
    </row>
    <row r="37" spans="1:24" s="514" customFormat="1" ht="21" customHeight="1" x14ac:dyDescent="0.15">
      <c r="A37" s="89"/>
      <c r="B37" s="169" t="s">
        <v>214</v>
      </c>
      <c r="C37" s="169" t="s">
        <v>214</v>
      </c>
      <c r="D37" s="169" t="s">
        <v>590</v>
      </c>
      <c r="E37" s="168"/>
      <c r="F37" s="167">
        <v>11662432</v>
      </c>
      <c r="G37" s="167">
        <v>3261295</v>
      </c>
      <c r="H37" s="167">
        <v>2464549</v>
      </c>
      <c r="I37" s="167">
        <v>318110</v>
      </c>
      <c r="J37" s="167">
        <v>1867690</v>
      </c>
      <c r="K37" s="167">
        <v>2424252</v>
      </c>
      <c r="L37" s="167">
        <v>1326536</v>
      </c>
      <c r="M37" s="167">
        <v>947641</v>
      </c>
      <c r="N37" s="167">
        <v>378895</v>
      </c>
      <c r="O37" s="167">
        <v>123053</v>
      </c>
      <c r="P37" s="167">
        <v>115131</v>
      </c>
      <c r="Q37" s="167">
        <v>3696</v>
      </c>
      <c r="R37" s="167">
        <v>1658</v>
      </c>
      <c r="S37" s="103">
        <v>1090779</v>
      </c>
      <c r="T37" s="103">
        <v>990296</v>
      </c>
      <c r="U37" s="102">
        <v>100483</v>
      </c>
      <c r="V37" s="53" t="s">
        <v>397</v>
      </c>
      <c r="W37" s="52"/>
      <c r="X37" s="166"/>
    </row>
    <row r="38" spans="1:24" s="514" customFormat="1" ht="21" customHeight="1" x14ac:dyDescent="0.15">
      <c r="A38" s="89"/>
      <c r="B38" s="744" t="s">
        <v>214</v>
      </c>
      <c r="C38" s="744" t="s">
        <v>214</v>
      </c>
      <c r="D38" s="743" t="s">
        <v>599</v>
      </c>
      <c r="E38" s="742"/>
      <c r="F38" s="741">
        <v>12086356</v>
      </c>
      <c r="G38" s="740">
        <v>3587699</v>
      </c>
      <c r="H38" s="740">
        <v>2966023</v>
      </c>
      <c r="I38" s="740">
        <v>341855</v>
      </c>
      <c r="J38" s="740">
        <v>1333421</v>
      </c>
      <c r="K38" s="740">
        <v>2606885</v>
      </c>
      <c r="L38" s="740">
        <v>1250473</v>
      </c>
      <c r="M38" s="740">
        <v>946475</v>
      </c>
      <c r="N38" s="740">
        <v>303998</v>
      </c>
      <c r="O38" s="740">
        <v>127637</v>
      </c>
      <c r="P38" s="740">
        <v>114469</v>
      </c>
      <c r="Q38" s="740">
        <v>4009</v>
      </c>
      <c r="R38" s="740">
        <v>1934</v>
      </c>
      <c r="S38" s="739">
        <v>1060656</v>
      </c>
      <c r="T38" s="739">
        <v>952855</v>
      </c>
      <c r="U38" s="738">
        <v>107801</v>
      </c>
      <c r="V38" s="737" t="s">
        <v>398</v>
      </c>
      <c r="W38" s="52"/>
      <c r="X38" s="166" t="s">
        <v>203</v>
      </c>
    </row>
    <row r="39" spans="1:24" s="421" customFormat="1" ht="0.75" customHeight="1" x14ac:dyDescent="0.15">
      <c r="A39" s="510"/>
      <c r="C39" s="86"/>
      <c r="D39" s="86"/>
      <c r="E39" s="86"/>
      <c r="F39" s="165"/>
      <c r="G39" s="165"/>
      <c r="H39" s="165"/>
      <c r="I39" s="94"/>
      <c r="J39" s="94"/>
      <c r="K39" s="94"/>
      <c r="L39" s="94"/>
      <c r="M39" s="94"/>
      <c r="N39" s="94"/>
      <c r="P39" s="94"/>
      <c r="Q39" s="94"/>
      <c r="R39" s="94"/>
      <c r="S39" s="94"/>
      <c r="T39" s="94"/>
      <c r="U39" s="94"/>
      <c r="V39" s="164"/>
      <c r="W39" s="510"/>
    </row>
    <row r="40" spans="1:24" s="51" customFormat="1" ht="12" customHeight="1" x14ac:dyDescent="0.15">
      <c r="A40" s="66"/>
      <c r="B40" s="94" t="s">
        <v>913</v>
      </c>
      <c r="C40" s="66"/>
      <c r="D40" s="66"/>
      <c r="E40" s="66"/>
      <c r="F40" s="66"/>
      <c r="G40" s="66"/>
      <c r="H40" s="422"/>
      <c r="I40" s="66"/>
      <c r="J40" s="66"/>
      <c r="K40" s="66"/>
      <c r="L40" s="66"/>
      <c r="M40" s="66"/>
      <c r="N40" s="66"/>
      <c r="O40" s="95" t="s">
        <v>912</v>
      </c>
      <c r="P40" s="66"/>
      <c r="Q40" s="66"/>
      <c r="R40" s="66"/>
      <c r="S40" s="66"/>
      <c r="T40" s="66"/>
      <c r="U40" s="66"/>
      <c r="V40" s="164"/>
      <c r="W40" s="66"/>
    </row>
    <row r="41" spans="1:24" x14ac:dyDescent="0.15">
      <c r="B41" s="94" t="s">
        <v>704</v>
      </c>
      <c r="O41" s="95" t="s">
        <v>911</v>
      </c>
    </row>
    <row r="42" spans="1:24" x14ac:dyDescent="0.15">
      <c r="B42" s="94" t="s">
        <v>910</v>
      </c>
    </row>
  </sheetData>
  <mergeCells count="2">
    <mergeCell ref="V4:V7"/>
    <mergeCell ref="B5:E5"/>
  </mergeCells>
  <phoneticPr fontId="34"/>
  <pageMargins left="0.59055118110236227" right="0.59055118110236227" top="0.59055118110236227" bottom="0.59055118110236227" header="0.59055118110236227" footer="0.15748031496062992"/>
  <pageSetup paperSize="9" scale="91" orientation="portrait" r:id="rId1"/>
  <headerFooter alignWithMargins="0"/>
  <colBreaks count="1" manualBreakCount="1">
    <brk id="14" max="41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9AEB-E9C1-4032-A196-E9DB4F6DD208}">
  <dimension ref="A1:W68"/>
  <sheetViews>
    <sheetView view="pageBreakPreview" zoomScaleNormal="75" zoomScaleSheetLayoutView="100" workbookViewId="0">
      <selection activeCell="B2" sqref="B2"/>
    </sheetView>
  </sheetViews>
  <sheetFormatPr defaultColWidth="8.125" defaultRowHeight="13.5" x14ac:dyDescent="0.15"/>
  <cols>
    <col min="1" max="1" width="2.375" style="123" customWidth="1"/>
    <col min="2" max="2" width="3" style="123" customWidth="1"/>
    <col min="3" max="3" width="2.875" style="123" customWidth="1"/>
    <col min="4" max="4" width="5.5" style="123" customWidth="1"/>
    <col min="5" max="5" width="0.75" style="123" customWidth="1"/>
    <col min="6" max="6" width="9.625" style="123" customWidth="1"/>
    <col min="7" max="21" width="9.125" style="123" customWidth="1"/>
    <col min="22" max="22" width="7.375" style="123" customWidth="1"/>
    <col min="23" max="23" width="2.375" style="123" customWidth="1"/>
    <col min="24" max="16384" width="8.125" style="123"/>
  </cols>
  <sheetData>
    <row r="1" spans="1:23" ht="13.5" customHeight="1" x14ac:dyDescent="0.15">
      <c r="I1" s="239"/>
    </row>
    <row r="2" spans="1:23" ht="13.5" customHeight="1" x14ac:dyDescent="0.2">
      <c r="A2" s="451"/>
      <c r="B2" s="451" t="s">
        <v>815</v>
      </c>
      <c r="C2" s="20"/>
      <c r="D2" s="20"/>
      <c r="E2" s="20"/>
      <c r="F2" s="20"/>
      <c r="G2" s="183"/>
      <c r="J2" s="183"/>
      <c r="K2" s="200"/>
      <c r="L2" s="200"/>
      <c r="P2" s="183"/>
      <c r="S2" s="452"/>
      <c r="V2" s="178"/>
    </row>
    <row r="3" spans="1:23" s="126" customFormat="1" ht="12" customHeight="1" x14ac:dyDescent="0.15">
      <c r="A3" s="238"/>
      <c r="B3" s="761" t="s">
        <v>532</v>
      </c>
      <c r="C3" s="762"/>
      <c r="D3" s="762"/>
      <c r="E3" s="762"/>
      <c r="F3" s="716"/>
      <c r="G3" s="763"/>
      <c r="H3" s="763"/>
      <c r="I3" s="763"/>
      <c r="J3" s="763"/>
      <c r="K3" s="764" t="s">
        <v>203</v>
      </c>
      <c r="L3" s="763"/>
      <c r="M3" s="763" t="s">
        <v>203</v>
      </c>
      <c r="N3" s="763"/>
      <c r="O3" s="763"/>
      <c r="P3" s="763"/>
      <c r="Q3" s="763"/>
      <c r="R3" s="763"/>
      <c r="S3" s="765"/>
      <c r="T3" s="763"/>
      <c r="U3" s="719" t="s">
        <v>914</v>
      </c>
      <c r="V3" s="763"/>
    </row>
    <row r="4" spans="1:23" s="25" customFormat="1" ht="11.25" customHeight="1" x14ac:dyDescent="0.15">
      <c r="A4" s="535"/>
      <c r="B4" s="528"/>
      <c r="C4" s="528"/>
      <c r="D4" s="528"/>
      <c r="E4" s="529"/>
      <c r="F4" s="766"/>
      <c r="G4" s="237"/>
      <c r="H4" s="237"/>
      <c r="I4" s="237"/>
      <c r="J4" s="237"/>
      <c r="K4" s="237"/>
      <c r="L4" s="237"/>
      <c r="M4" s="237"/>
      <c r="N4" s="236"/>
      <c r="O4" s="117"/>
      <c r="P4" s="116"/>
      <c r="Q4" s="116"/>
      <c r="R4" s="116"/>
      <c r="S4" s="116"/>
      <c r="T4" s="115"/>
      <c r="U4" s="114"/>
      <c r="V4" s="1023" t="s">
        <v>486</v>
      </c>
    </row>
    <row r="5" spans="1:23" s="25" customFormat="1" ht="11.25" customHeight="1" x14ac:dyDescent="0.15">
      <c r="A5" s="528"/>
      <c r="B5" s="1024" t="s">
        <v>487</v>
      </c>
      <c r="C5" s="1024"/>
      <c r="D5" s="1024"/>
      <c r="E5" s="1025"/>
      <c r="F5" s="108" t="s">
        <v>206</v>
      </c>
      <c r="G5" s="110" t="s">
        <v>442</v>
      </c>
      <c r="H5" s="110" t="s">
        <v>443</v>
      </c>
      <c r="I5" s="110" t="s">
        <v>444</v>
      </c>
      <c r="J5" s="110" t="s">
        <v>445</v>
      </c>
      <c r="K5" s="110" t="s">
        <v>446</v>
      </c>
      <c r="L5" s="110" t="s">
        <v>447</v>
      </c>
      <c r="M5" s="767"/>
      <c r="N5" s="729"/>
      <c r="O5" s="109" t="s">
        <v>448</v>
      </c>
      <c r="P5" s="110" t="s">
        <v>449</v>
      </c>
      <c r="Q5" s="110" t="s">
        <v>450</v>
      </c>
      <c r="R5" s="110" t="s">
        <v>451</v>
      </c>
      <c r="S5" s="112" t="s">
        <v>489</v>
      </c>
      <c r="T5" s="702"/>
      <c r="U5" s="703"/>
      <c r="V5" s="1021"/>
    </row>
    <row r="6" spans="1:23" s="25" customFormat="1" ht="11.25" customHeight="1" x14ac:dyDescent="0.15">
      <c r="A6" s="528"/>
      <c r="B6" s="528"/>
      <c r="C6" s="528"/>
      <c r="D6" s="528"/>
      <c r="E6" s="529"/>
      <c r="F6" s="108"/>
      <c r="G6" s="110" t="s">
        <v>203</v>
      </c>
      <c r="H6" s="110" t="s">
        <v>203</v>
      </c>
      <c r="I6" s="110" t="s">
        <v>204</v>
      </c>
      <c r="J6" s="110"/>
      <c r="K6" s="110"/>
      <c r="L6" s="110" t="s">
        <v>203</v>
      </c>
      <c r="M6" s="110" t="s">
        <v>202</v>
      </c>
      <c r="N6" s="768" t="s">
        <v>201</v>
      </c>
      <c r="O6" s="109"/>
      <c r="P6" s="110"/>
      <c r="Q6" s="110"/>
      <c r="R6" s="110"/>
      <c r="S6" s="110"/>
      <c r="T6" s="110" t="s">
        <v>453</v>
      </c>
      <c r="U6" s="109" t="s">
        <v>454</v>
      </c>
      <c r="V6" s="1021"/>
    </row>
    <row r="7" spans="1:23" s="25" customFormat="1" ht="33.75" customHeight="1" x14ac:dyDescent="0.15">
      <c r="A7" s="535"/>
      <c r="B7" s="769"/>
      <c r="C7" s="769"/>
      <c r="D7" s="769"/>
      <c r="E7" s="770"/>
      <c r="F7" s="771" t="s">
        <v>691</v>
      </c>
      <c r="G7" s="771" t="s">
        <v>200</v>
      </c>
      <c r="H7" s="771" t="s">
        <v>461</v>
      </c>
      <c r="I7" s="771" t="s">
        <v>462</v>
      </c>
      <c r="J7" s="771" t="s">
        <v>199</v>
      </c>
      <c r="K7" s="771" t="s">
        <v>455</v>
      </c>
      <c r="L7" s="771" t="s">
        <v>692</v>
      </c>
      <c r="M7" s="771" t="s">
        <v>463</v>
      </c>
      <c r="N7" s="772" t="s">
        <v>464</v>
      </c>
      <c r="O7" s="707" t="s">
        <v>208</v>
      </c>
      <c r="P7" s="707" t="s">
        <v>198</v>
      </c>
      <c r="Q7" s="707" t="s">
        <v>197</v>
      </c>
      <c r="R7" s="708" t="s">
        <v>196</v>
      </c>
      <c r="S7" s="235" t="s">
        <v>465</v>
      </c>
      <c r="T7" s="536"/>
      <c r="U7" s="536"/>
      <c r="V7" s="1022"/>
      <c r="W7" s="25" t="s">
        <v>533</v>
      </c>
    </row>
    <row r="8" spans="1:23" s="187" customFormat="1" ht="14.25" customHeight="1" x14ac:dyDescent="0.15">
      <c r="A8" s="528"/>
      <c r="B8" s="773"/>
      <c r="C8" s="773"/>
      <c r="D8" s="774"/>
      <c r="E8" s="775"/>
      <c r="F8" s="196">
        <v>827444</v>
      </c>
      <c r="G8" s="195"/>
      <c r="H8" s="213"/>
      <c r="I8" s="195">
        <v>819586</v>
      </c>
      <c r="J8" s="213"/>
      <c r="K8" s="213">
        <v>7858</v>
      </c>
      <c r="L8" s="195"/>
      <c r="M8" s="195"/>
      <c r="N8" s="195"/>
      <c r="O8" s="195">
        <v>14077</v>
      </c>
      <c r="P8" s="207"/>
      <c r="Q8" s="207"/>
      <c r="R8" s="204"/>
      <c r="S8" s="211"/>
      <c r="T8" s="211"/>
      <c r="U8" s="776"/>
      <c r="V8" s="777"/>
      <c r="W8" s="52"/>
    </row>
    <row r="9" spans="1:23" s="231" customFormat="1" ht="10.5" customHeight="1" x14ac:dyDescent="0.15">
      <c r="A9" s="190"/>
      <c r="B9" s="476" t="s">
        <v>687</v>
      </c>
      <c r="C9" s="476" t="s">
        <v>875</v>
      </c>
      <c r="D9" s="190"/>
      <c r="E9" s="477"/>
      <c r="F9" s="202">
        <v>34955953</v>
      </c>
      <c r="G9" s="200">
        <v>3127198</v>
      </c>
      <c r="H9" s="200">
        <v>27977796</v>
      </c>
      <c r="I9" s="200">
        <v>92324</v>
      </c>
      <c r="J9" s="200">
        <v>2103609</v>
      </c>
      <c r="K9" s="200">
        <v>1217469</v>
      </c>
      <c r="L9" s="201">
        <v>437557</v>
      </c>
      <c r="M9" s="200">
        <v>123613</v>
      </c>
      <c r="N9" s="200">
        <v>313944</v>
      </c>
      <c r="O9" s="200">
        <v>195920</v>
      </c>
      <c r="P9" s="200">
        <v>8030</v>
      </c>
      <c r="Q9" s="200">
        <v>1735</v>
      </c>
      <c r="R9" s="200">
        <v>9153</v>
      </c>
      <c r="S9" s="199">
        <v>9885612</v>
      </c>
      <c r="T9" s="199">
        <v>8247619</v>
      </c>
      <c r="U9" s="198">
        <v>1637993</v>
      </c>
      <c r="V9" s="232" t="s">
        <v>876</v>
      </c>
      <c r="W9" s="190"/>
    </row>
    <row r="10" spans="1:23" s="187" customFormat="1" ht="14.25" customHeight="1" x14ac:dyDescent="0.15">
      <c r="A10" s="52"/>
      <c r="B10" s="478"/>
      <c r="C10" s="479"/>
      <c r="D10" s="22"/>
      <c r="E10" s="480"/>
      <c r="F10" s="196">
        <v>901449</v>
      </c>
      <c r="G10" s="195"/>
      <c r="H10" s="195"/>
      <c r="I10" s="195">
        <v>890924</v>
      </c>
      <c r="J10" s="195"/>
      <c r="K10" s="195">
        <v>9800</v>
      </c>
      <c r="L10" s="195">
        <v>725</v>
      </c>
      <c r="M10" s="195">
        <v>725</v>
      </c>
      <c r="N10" s="195"/>
      <c r="O10" s="195">
        <v>19738</v>
      </c>
      <c r="P10" s="207"/>
      <c r="Q10" s="207"/>
      <c r="R10" s="207"/>
      <c r="S10" s="193"/>
      <c r="T10" s="193"/>
      <c r="U10" s="192"/>
      <c r="V10" s="233"/>
      <c r="W10" s="52"/>
    </row>
    <row r="11" spans="1:23" s="231" customFormat="1" ht="10.5" customHeight="1" x14ac:dyDescent="0.15">
      <c r="A11" s="190"/>
      <c r="B11" s="476" t="s">
        <v>214</v>
      </c>
      <c r="C11" s="476" t="s">
        <v>705</v>
      </c>
      <c r="D11" s="190"/>
      <c r="E11" s="477"/>
      <c r="F11" s="167">
        <v>39136664</v>
      </c>
      <c r="G11" s="200">
        <v>2926721</v>
      </c>
      <c r="H11" s="200">
        <v>30646454</v>
      </c>
      <c r="I11" s="200">
        <v>167858</v>
      </c>
      <c r="J11" s="200">
        <v>2232720</v>
      </c>
      <c r="K11" s="200">
        <v>1980952</v>
      </c>
      <c r="L11" s="167">
        <v>1181959</v>
      </c>
      <c r="M11" s="200">
        <v>153230</v>
      </c>
      <c r="N11" s="167">
        <v>1028729</v>
      </c>
      <c r="O11" s="200">
        <v>270105</v>
      </c>
      <c r="P11" s="200">
        <v>19051</v>
      </c>
      <c r="Q11" s="200">
        <v>1804</v>
      </c>
      <c r="R11" s="200">
        <v>12043</v>
      </c>
      <c r="S11" s="199">
        <v>10382862</v>
      </c>
      <c r="T11" s="199">
        <v>8878848</v>
      </c>
      <c r="U11" s="198">
        <v>1504014</v>
      </c>
      <c r="V11" s="232" t="s">
        <v>877</v>
      </c>
      <c r="W11" s="190"/>
    </row>
    <row r="12" spans="1:23" s="187" customFormat="1" ht="14.25" customHeight="1" x14ac:dyDescent="0.15">
      <c r="A12" s="52"/>
      <c r="B12" s="478"/>
      <c r="C12" s="478"/>
      <c r="D12" s="22"/>
      <c r="E12" s="480"/>
      <c r="F12" s="196">
        <v>631559</v>
      </c>
      <c r="G12" s="195"/>
      <c r="H12" s="195"/>
      <c r="I12" s="195">
        <v>630259</v>
      </c>
      <c r="J12" s="195"/>
      <c r="K12" s="195">
        <v>1300</v>
      </c>
      <c r="L12" s="195"/>
      <c r="M12" s="195"/>
      <c r="N12" s="195"/>
      <c r="O12" s="195">
        <v>17702</v>
      </c>
      <c r="P12" s="207"/>
      <c r="Q12" s="207"/>
      <c r="R12" s="207"/>
      <c r="S12" s="193"/>
      <c r="T12" s="193"/>
      <c r="U12" s="192"/>
      <c r="V12" s="233"/>
      <c r="W12" s="52"/>
    </row>
    <row r="13" spans="1:23" s="231" customFormat="1" ht="10.5" customHeight="1" x14ac:dyDescent="0.15">
      <c r="A13" s="190"/>
      <c r="B13" s="476" t="s">
        <v>214</v>
      </c>
      <c r="C13" s="476" t="s">
        <v>706</v>
      </c>
      <c r="D13" s="190"/>
      <c r="E13" s="477"/>
      <c r="F13" s="167">
        <v>32841517</v>
      </c>
      <c r="G13" s="200">
        <v>2339243</v>
      </c>
      <c r="H13" s="200">
        <v>25844993</v>
      </c>
      <c r="I13" s="200">
        <v>71898</v>
      </c>
      <c r="J13" s="200">
        <v>1857368</v>
      </c>
      <c r="K13" s="200">
        <v>636740</v>
      </c>
      <c r="L13" s="167">
        <v>2091275</v>
      </c>
      <c r="M13" s="200">
        <v>12370</v>
      </c>
      <c r="N13" s="167">
        <v>2078905</v>
      </c>
      <c r="O13" s="200">
        <v>267620</v>
      </c>
      <c r="P13" s="200">
        <v>16036</v>
      </c>
      <c r="Q13" s="200">
        <v>2057</v>
      </c>
      <c r="R13" s="200">
        <v>14830</v>
      </c>
      <c r="S13" s="234">
        <v>10769227</v>
      </c>
      <c r="T13" s="199">
        <v>8994285</v>
      </c>
      <c r="U13" s="481">
        <v>1774942</v>
      </c>
      <c r="V13" s="232" t="s">
        <v>878</v>
      </c>
      <c r="W13" s="190"/>
    </row>
    <row r="14" spans="1:23" s="187" customFormat="1" ht="14.25" customHeight="1" x14ac:dyDescent="0.15">
      <c r="A14" s="52"/>
      <c r="B14" s="478"/>
      <c r="C14" s="482"/>
      <c r="D14" s="22"/>
      <c r="E14" s="480"/>
      <c r="F14" s="196">
        <v>1787347</v>
      </c>
      <c r="G14" s="195"/>
      <c r="H14" s="195"/>
      <c r="I14" s="195">
        <v>1664561</v>
      </c>
      <c r="J14" s="195">
        <v>77923</v>
      </c>
      <c r="K14" s="195"/>
      <c r="L14" s="195">
        <v>44863</v>
      </c>
      <c r="M14" s="195"/>
      <c r="N14" s="195">
        <v>44863</v>
      </c>
      <c r="O14" s="195">
        <v>17410</v>
      </c>
      <c r="P14" s="207"/>
      <c r="Q14" s="207"/>
      <c r="R14" s="207"/>
      <c r="S14" s="193"/>
      <c r="T14" s="193"/>
      <c r="U14" s="192"/>
      <c r="V14" s="233"/>
      <c r="W14" s="52"/>
    </row>
    <row r="15" spans="1:23" s="231" customFormat="1" ht="10.5" customHeight="1" x14ac:dyDescent="0.15">
      <c r="A15" s="190"/>
      <c r="B15" s="476" t="s">
        <v>214</v>
      </c>
      <c r="C15" s="476" t="s">
        <v>798</v>
      </c>
      <c r="D15" s="190"/>
      <c r="E15" s="477"/>
      <c r="F15" s="202">
        <v>32531948</v>
      </c>
      <c r="G15" s="200">
        <v>3201446</v>
      </c>
      <c r="H15" s="200">
        <v>25030157</v>
      </c>
      <c r="I15" s="200">
        <v>76311</v>
      </c>
      <c r="J15" s="200">
        <v>2032129</v>
      </c>
      <c r="K15" s="200">
        <v>1205535</v>
      </c>
      <c r="L15" s="201">
        <v>986370</v>
      </c>
      <c r="M15" s="200">
        <v>12114</v>
      </c>
      <c r="N15" s="200">
        <v>974256</v>
      </c>
      <c r="O15" s="200">
        <v>239176</v>
      </c>
      <c r="P15" s="200">
        <v>15538</v>
      </c>
      <c r="Q15" s="200">
        <v>1902</v>
      </c>
      <c r="R15" s="200">
        <v>18789</v>
      </c>
      <c r="S15" s="234">
        <v>10553947</v>
      </c>
      <c r="T15" s="199">
        <v>8684766</v>
      </c>
      <c r="U15" s="481">
        <v>1869181</v>
      </c>
      <c r="V15" s="232" t="s">
        <v>809</v>
      </c>
      <c r="W15" s="190"/>
    </row>
    <row r="16" spans="1:23" s="187" customFormat="1" ht="14.25" customHeight="1" x14ac:dyDescent="0.15">
      <c r="A16" s="52"/>
      <c r="B16" s="478"/>
      <c r="C16" s="482"/>
      <c r="D16" s="22"/>
      <c r="E16" s="480"/>
      <c r="F16" s="196">
        <v>1876840</v>
      </c>
      <c r="G16" s="195"/>
      <c r="H16" s="195"/>
      <c r="I16" s="195">
        <v>1563774</v>
      </c>
      <c r="J16" s="195">
        <v>201688</v>
      </c>
      <c r="K16" s="195"/>
      <c r="L16" s="195">
        <v>111378</v>
      </c>
      <c r="M16" s="195"/>
      <c r="N16" s="195">
        <v>111378</v>
      </c>
      <c r="O16" s="195">
        <v>325558</v>
      </c>
      <c r="P16" s="207"/>
      <c r="Q16" s="207"/>
      <c r="R16" s="207"/>
      <c r="S16" s="193"/>
      <c r="T16" s="193"/>
      <c r="U16" s="192"/>
      <c r="V16" s="233"/>
      <c r="W16" s="52"/>
    </row>
    <row r="17" spans="1:23" s="231" customFormat="1" ht="10.5" customHeight="1" x14ac:dyDescent="0.15">
      <c r="A17" s="190"/>
      <c r="B17" s="476" t="s">
        <v>214</v>
      </c>
      <c r="C17" s="476" t="s">
        <v>915</v>
      </c>
      <c r="D17" s="190"/>
      <c r="E17" s="477"/>
      <c r="F17" s="202">
        <v>33128837</v>
      </c>
      <c r="G17" s="200">
        <v>4774005</v>
      </c>
      <c r="H17" s="200">
        <v>23362676</v>
      </c>
      <c r="I17" s="200">
        <v>124198</v>
      </c>
      <c r="J17" s="200">
        <v>2744425</v>
      </c>
      <c r="K17" s="200">
        <v>1906524</v>
      </c>
      <c r="L17" s="201">
        <v>217009</v>
      </c>
      <c r="M17" s="200">
        <v>53929</v>
      </c>
      <c r="N17" s="200">
        <v>163080</v>
      </c>
      <c r="O17" s="200">
        <v>221819</v>
      </c>
      <c r="P17" s="200">
        <v>20710</v>
      </c>
      <c r="Q17" s="200">
        <v>1801</v>
      </c>
      <c r="R17" s="200">
        <v>19692</v>
      </c>
      <c r="S17" s="199">
        <v>10395161</v>
      </c>
      <c r="T17" s="199">
        <v>8533388</v>
      </c>
      <c r="U17" s="198">
        <v>1861773</v>
      </c>
      <c r="V17" s="232" t="s">
        <v>879</v>
      </c>
      <c r="W17" s="190"/>
    </row>
    <row r="18" spans="1:23" s="187" customFormat="1" ht="6.75" customHeight="1" x14ac:dyDescent="0.15">
      <c r="A18" s="52"/>
      <c r="B18" s="478"/>
      <c r="C18" s="478"/>
      <c r="D18" s="25"/>
      <c r="E18" s="276"/>
      <c r="F18" s="215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4"/>
      <c r="S18" s="193"/>
      <c r="T18" s="193"/>
      <c r="U18" s="192"/>
      <c r="V18" s="214"/>
      <c r="W18" s="52"/>
    </row>
    <row r="19" spans="1:23" s="25" customFormat="1" ht="14.25" customHeight="1" x14ac:dyDescent="0.15">
      <c r="A19" s="52"/>
      <c r="B19" s="478"/>
      <c r="C19" s="478"/>
      <c r="E19" s="276"/>
      <c r="F19" s="196">
        <v>1888534</v>
      </c>
      <c r="G19" s="195"/>
      <c r="H19" s="195"/>
      <c r="I19" s="195">
        <v>1665643</v>
      </c>
      <c r="J19" s="195">
        <v>178028</v>
      </c>
      <c r="K19" s="195"/>
      <c r="L19" s="195">
        <v>44863</v>
      </c>
      <c r="M19" s="195"/>
      <c r="N19" s="195">
        <v>44863</v>
      </c>
      <c r="O19" s="195">
        <v>18589</v>
      </c>
      <c r="P19" s="207"/>
      <c r="Q19" s="193"/>
      <c r="R19" s="193"/>
      <c r="S19" s="211"/>
      <c r="T19" s="211"/>
      <c r="U19" s="210"/>
      <c r="V19" s="230"/>
      <c r="W19" s="52"/>
    </row>
    <row r="20" spans="1:23" s="189" customFormat="1" ht="10.5" customHeight="1" x14ac:dyDescent="0.15">
      <c r="A20" s="190"/>
      <c r="B20" s="476" t="s">
        <v>687</v>
      </c>
      <c r="C20" s="476" t="s">
        <v>880</v>
      </c>
      <c r="D20" s="483"/>
      <c r="E20" s="484"/>
      <c r="F20" s="219">
        <v>32269085</v>
      </c>
      <c r="G20" s="218">
        <v>3548046</v>
      </c>
      <c r="H20" s="218">
        <v>24942208</v>
      </c>
      <c r="I20" s="200">
        <v>41913</v>
      </c>
      <c r="J20" s="218">
        <v>1989276</v>
      </c>
      <c r="K20" s="218">
        <v>1240488</v>
      </c>
      <c r="L20" s="201">
        <v>507154</v>
      </c>
      <c r="M20" s="218">
        <v>12114</v>
      </c>
      <c r="N20" s="218">
        <v>495040</v>
      </c>
      <c r="O20" s="218">
        <v>217672</v>
      </c>
      <c r="P20" s="218">
        <v>13779</v>
      </c>
      <c r="Q20" s="218">
        <v>1750</v>
      </c>
      <c r="R20" s="218">
        <v>21626</v>
      </c>
      <c r="S20" s="199">
        <v>10334029</v>
      </c>
      <c r="T20" s="199">
        <v>8458944</v>
      </c>
      <c r="U20" s="198">
        <v>1875085</v>
      </c>
      <c r="V20" s="229" t="s">
        <v>881</v>
      </c>
      <c r="W20" s="190"/>
    </row>
    <row r="21" spans="1:23" s="25" customFormat="1" ht="14.25" customHeight="1" x14ac:dyDescent="0.15">
      <c r="A21" s="52"/>
      <c r="B21" s="478"/>
      <c r="C21" s="479"/>
      <c r="D21" s="485"/>
      <c r="E21" s="486"/>
      <c r="F21" s="196">
        <v>1934931</v>
      </c>
      <c r="G21" s="195"/>
      <c r="H21" s="195"/>
      <c r="I21" s="195">
        <v>1580290</v>
      </c>
      <c r="J21" s="195">
        <v>243263</v>
      </c>
      <c r="K21" s="195"/>
      <c r="L21" s="195">
        <v>111378</v>
      </c>
      <c r="M21" s="195"/>
      <c r="N21" s="195">
        <v>111378</v>
      </c>
      <c r="O21" s="195">
        <v>324765</v>
      </c>
      <c r="P21" s="207"/>
      <c r="Q21" s="193"/>
      <c r="R21" s="193"/>
      <c r="S21" s="211"/>
      <c r="T21" s="211"/>
      <c r="U21" s="210"/>
      <c r="V21" s="230"/>
      <c r="W21" s="52"/>
    </row>
    <row r="22" spans="1:23" s="189" customFormat="1" ht="10.5" customHeight="1" x14ac:dyDescent="0.15">
      <c r="A22" s="190"/>
      <c r="B22" s="476" t="s">
        <v>214</v>
      </c>
      <c r="C22" s="476" t="s">
        <v>915</v>
      </c>
      <c r="D22" s="483"/>
      <c r="E22" s="484"/>
      <c r="F22" s="219">
        <v>33820231</v>
      </c>
      <c r="G22" s="218">
        <v>4861497</v>
      </c>
      <c r="H22" s="218">
        <v>23085944</v>
      </c>
      <c r="I22" s="200">
        <v>259803</v>
      </c>
      <c r="J22" s="218">
        <v>3379779</v>
      </c>
      <c r="K22" s="218">
        <v>2099666</v>
      </c>
      <c r="L22" s="201">
        <v>133542</v>
      </c>
      <c r="M22" s="218">
        <v>70986</v>
      </c>
      <c r="N22" s="218">
        <v>62556</v>
      </c>
      <c r="O22" s="218">
        <v>213276</v>
      </c>
      <c r="P22" s="218">
        <v>29358</v>
      </c>
      <c r="Q22" s="218">
        <v>1907</v>
      </c>
      <c r="R22" s="218">
        <v>21195</v>
      </c>
      <c r="S22" s="199">
        <v>10377913</v>
      </c>
      <c r="T22" s="199">
        <v>8583555</v>
      </c>
      <c r="U22" s="198">
        <v>1794358</v>
      </c>
      <c r="V22" s="229" t="s">
        <v>882</v>
      </c>
      <c r="W22" s="190"/>
    </row>
    <row r="23" spans="1:23" s="25" customFormat="1" ht="6.75" customHeight="1" x14ac:dyDescent="0.15">
      <c r="A23" s="52"/>
      <c r="B23" s="478"/>
      <c r="C23" s="478"/>
      <c r="D23" s="485"/>
      <c r="E23" s="276"/>
      <c r="F23" s="228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211"/>
      <c r="T23" s="211"/>
      <c r="U23" s="210"/>
      <c r="V23" s="212"/>
      <c r="W23" s="52"/>
    </row>
    <row r="24" spans="1:23" s="25" customFormat="1" ht="14.25" customHeight="1" x14ac:dyDescent="0.15">
      <c r="A24" s="52"/>
      <c r="B24" s="478"/>
      <c r="C24" s="478"/>
      <c r="E24" s="276"/>
      <c r="F24" s="196">
        <v>540221</v>
      </c>
      <c r="G24" s="195"/>
      <c r="H24" s="195"/>
      <c r="I24" s="195">
        <v>440116</v>
      </c>
      <c r="J24" s="195">
        <v>100105</v>
      </c>
      <c r="K24" s="195"/>
      <c r="L24" s="195"/>
      <c r="M24" s="195"/>
      <c r="N24" s="195"/>
      <c r="O24" s="195">
        <v>5748</v>
      </c>
      <c r="P24" s="195"/>
      <c r="Q24" s="195"/>
      <c r="R24" s="195"/>
      <c r="S24" s="195"/>
      <c r="T24" s="195"/>
      <c r="U24" s="209"/>
      <c r="V24" s="212"/>
      <c r="W24" s="52"/>
    </row>
    <row r="25" spans="1:23" s="189" customFormat="1" ht="10.5" customHeight="1" x14ac:dyDescent="0.15">
      <c r="A25" s="190"/>
      <c r="B25" s="476" t="s">
        <v>687</v>
      </c>
      <c r="C25" s="476" t="s">
        <v>797</v>
      </c>
      <c r="D25" s="487" t="s">
        <v>604</v>
      </c>
      <c r="E25" s="484"/>
      <c r="F25" s="202">
        <v>7803218</v>
      </c>
      <c r="G25" s="200">
        <v>676697</v>
      </c>
      <c r="H25" s="200">
        <v>6100851</v>
      </c>
      <c r="I25" s="200">
        <v>11835</v>
      </c>
      <c r="J25" s="200">
        <v>765747</v>
      </c>
      <c r="K25" s="200">
        <v>113456</v>
      </c>
      <c r="L25" s="200">
        <v>134632</v>
      </c>
      <c r="M25" s="200" t="s">
        <v>796</v>
      </c>
      <c r="N25" s="200">
        <v>134632</v>
      </c>
      <c r="O25" s="200">
        <v>50069</v>
      </c>
      <c r="P25" s="200">
        <v>1948</v>
      </c>
      <c r="Q25" s="200">
        <v>359</v>
      </c>
      <c r="R25" s="200">
        <v>4483</v>
      </c>
      <c r="S25" s="200">
        <v>3071458</v>
      </c>
      <c r="T25" s="200">
        <v>2601524</v>
      </c>
      <c r="U25" s="222">
        <v>469934</v>
      </c>
      <c r="V25" s="216" t="s">
        <v>883</v>
      </c>
      <c r="W25" s="190"/>
    </row>
    <row r="26" spans="1:23" s="25" customFormat="1" ht="14.25" customHeight="1" x14ac:dyDescent="0.15">
      <c r="A26" s="52"/>
      <c r="B26" s="478"/>
      <c r="C26" s="479"/>
      <c r="D26" s="485"/>
      <c r="E26" s="486"/>
      <c r="F26" s="196">
        <v>333929</v>
      </c>
      <c r="G26" s="195"/>
      <c r="H26" s="195"/>
      <c r="I26" s="195">
        <v>317388</v>
      </c>
      <c r="J26" s="195">
        <v>16541</v>
      </c>
      <c r="K26" s="195"/>
      <c r="L26" s="195"/>
      <c r="M26" s="195"/>
      <c r="N26" s="195"/>
      <c r="O26" s="195">
        <v>5117</v>
      </c>
      <c r="P26" s="195"/>
      <c r="Q26" s="195"/>
      <c r="R26" s="195"/>
      <c r="S26" s="195"/>
      <c r="T26" s="195"/>
      <c r="U26" s="209"/>
      <c r="V26" s="227"/>
      <c r="W26" s="52"/>
    </row>
    <row r="27" spans="1:23" s="189" customFormat="1" ht="10.5" customHeight="1" x14ac:dyDescent="0.15">
      <c r="A27" s="190"/>
      <c r="B27" s="476" t="s">
        <v>214</v>
      </c>
      <c r="C27" s="476" t="s">
        <v>214</v>
      </c>
      <c r="D27" s="487" t="s">
        <v>605</v>
      </c>
      <c r="E27" s="484"/>
      <c r="F27" s="202">
        <v>7662807</v>
      </c>
      <c r="G27" s="200">
        <v>1159009</v>
      </c>
      <c r="H27" s="200">
        <v>5771892</v>
      </c>
      <c r="I27" s="200">
        <v>23485</v>
      </c>
      <c r="J27" s="200">
        <v>395510</v>
      </c>
      <c r="K27" s="200">
        <v>294768</v>
      </c>
      <c r="L27" s="200">
        <v>18143</v>
      </c>
      <c r="M27" s="200">
        <v>18143</v>
      </c>
      <c r="N27" s="200" t="s">
        <v>796</v>
      </c>
      <c r="O27" s="200">
        <v>59116</v>
      </c>
      <c r="P27" s="200">
        <v>2929</v>
      </c>
      <c r="Q27" s="200">
        <v>469</v>
      </c>
      <c r="R27" s="200">
        <v>4245</v>
      </c>
      <c r="S27" s="200">
        <v>2494209</v>
      </c>
      <c r="T27" s="200">
        <v>1981587</v>
      </c>
      <c r="U27" s="222">
        <v>512622</v>
      </c>
      <c r="V27" s="226" t="s">
        <v>884</v>
      </c>
      <c r="W27" s="190"/>
    </row>
    <row r="28" spans="1:23" s="25" customFormat="1" ht="14.25" customHeight="1" x14ac:dyDescent="0.15">
      <c r="A28" s="52"/>
      <c r="B28" s="478"/>
      <c r="C28" s="478"/>
      <c r="D28" s="485"/>
      <c r="E28" s="486"/>
      <c r="F28" s="196">
        <v>382926</v>
      </c>
      <c r="G28" s="195"/>
      <c r="H28" s="195"/>
      <c r="I28" s="195">
        <v>260889</v>
      </c>
      <c r="J28" s="195">
        <v>18083</v>
      </c>
      <c r="K28" s="195"/>
      <c r="L28" s="195">
        <v>103954</v>
      </c>
      <c r="M28" s="200"/>
      <c r="N28" s="195">
        <v>103954</v>
      </c>
      <c r="O28" s="195">
        <v>309761</v>
      </c>
      <c r="P28" s="195"/>
      <c r="Q28" s="195"/>
      <c r="R28" s="195"/>
      <c r="S28" s="195"/>
      <c r="T28" s="195"/>
      <c r="U28" s="209"/>
      <c r="V28" s="225"/>
      <c r="W28" s="52"/>
    </row>
    <row r="29" spans="1:23" s="189" customFormat="1" ht="10.5" customHeight="1" x14ac:dyDescent="0.15">
      <c r="A29" s="190"/>
      <c r="B29" s="476" t="s">
        <v>214</v>
      </c>
      <c r="C29" s="476" t="s">
        <v>214</v>
      </c>
      <c r="D29" s="487" t="s">
        <v>606</v>
      </c>
      <c r="E29" s="484"/>
      <c r="F29" s="202">
        <v>9064982</v>
      </c>
      <c r="G29" s="200">
        <v>1848717</v>
      </c>
      <c r="H29" s="200">
        <v>5787707</v>
      </c>
      <c r="I29" s="200">
        <v>44661</v>
      </c>
      <c r="J29" s="200">
        <v>439578</v>
      </c>
      <c r="K29" s="200">
        <v>926176</v>
      </c>
      <c r="L29" s="200">
        <v>18143</v>
      </c>
      <c r="M29" s="200">
        <v>18143</v>
      </c>
      <c r="N29" s="200" t="s">
        <v>796</v>
      </c>
      <c r="O29" s="200">
        <v>45866</v>
      </c>
      <c r="P29" s="200">
        <v>5598</v>
      </c>
      <c r="Q29" s="200">
        <v>486</v>
      </c>
      <c r="R29" s="200">
        <v>4105</v>
      </c>
      <c r="S29" s="200">
        <v>2056426</v>
      </c>
      <c r="T29" s="200">
        <v>1675580</v>
      </c>
      <c r="U29" s="222">
        <v>380846</v>
      </c>
      <c r="V29" s="224" t="s">
        <v>885</v>
      </c>
      <c r="W29" s="190"/>
    </row>
    <row r="30" spans="1:23" s="25" customFormat="1" ht="14.25" customHeight="1" x14ac:dyDescent="0.15">
      <c r="A30" s="52"/>
      <c r="B30" s="478"/>
      <c r="C30" s="478"/>
      <c r="D30" s="485"/>
      <c r="E30" s="486"/>
      <c r="F30" s="196">
        <v>619764</v>
      </c>
      <c r="G30" s="195"/>
      <c r="H30" s="195"/>
      <c r="I30" s="195">
        <v>545381</v>
      </c>
      <c r="J30" s="195">
        <v>66959</v>
      </c>
      <c r="K30" s="195"/>
      <c r="L30" s="195">
        <v>7424</v>
      </c>
      <c r="M30" s="200"/>
      <c r="N30" s="195">
        <v>7424</v>
      </c>
      <c r="O30" s="195">
        <v>4932</v>
      </c>
      <c r="P30" s="195"/>
      <c r="Q30" s="195"/>
      <c r="R30" s="195"/>
      <c r="S30" s="195"/>
      <c r="T30" s="195"/>
      <c r="U30" s="209"/>
      <c r="V30" s="223"/>
      <c r="W30" s="52"/>
    </row>
    <row r="31" spans="1:23" s="189" customFormat="1" ht="10.5" customHeight="1" x14ac:dyDescent="0.15">
      <c r="A31" s="190"/>
      <c r="B31" s="476" t="s">
        <v>214</v>
      </c>
      <c r="C31" s="476" t="s">
        <v>214</v>
      </c>
      <c r="D31" s="487" t="s">
        <v>524</v>
      </c>
      <c r="E31" s="484"/>
      <c r="F31" s="202">
        <v>8597830</v>
      </c>
      <c r="G31" s="200">
        <v>1089582</v>
      </c>
      <c r="H31" s="200">
        <v>5702226</v>
      </c>
      <c r="I31" s="200">
        <v>44217</v>
      </c>
      <c r="J31" s="200">
        <v>1143590</v>
      </c>
      <c r="K31" s="200">
        <v>572124</v>
      </c>
      <c r="L31" s="200">
        <v>46091</v>
      </c>
      <c r="M31" s="200">
        <v>17643</v>
      </c>
      <c r="N31" s="200">
        <v>28448</v>
      </c>
      <c r="O31" s="200">
        <v>66768</v>
      </c>
      <c r="P31" s="200">
        <v>10235</v>
      </c>
      <c r="Q31" s="200">
        <v>487</v>
      </c>
      <c r="R31" s="200">
        <v>6859</v>
      </c>
      <c r="S31" s="200">
        <v>2773068</v>
      </c>
      <c r="T31" s="200">
        <v>2274697</v>
      </c>
      <c r="U31" s="222">
        <v>498371</v>
      </c>
      <c r="V31" s="221" t="s">
        <v>886</v>
      </c>
      <c r="W31" s="190"/>
    </row>
    <row r="32" spans="1:23" s="25" customFormat="1" ht="14.25" customHeight="1" x14ac:dyDescent="0.15">
      <c r="A32" s="52"/>
      <c r="B32" s="478"/>
      <c r="C32" s="478"/>
      <c r="D32" s="485"/>
      <c r="E32" s="486"/>
      <c r="F32" s="196">
        <v>598312</v>
      </c>
      <c r="G32" s="195"/>
      <c r="H32" s="195"/>
      <c r="I32" s="195">
        <v>456632</v>
      </c>
      <c r="J32" s="195">
        <v>141680</v>
      </c>
      <c r="K32" s="195"/>
      <c r="L32" s="195"/>
      <c r="M32" s="200"/>
      <c r="N32" s="195"/>
      <c r="O32" s="195">
        <v>4955</v>
      </c>
      <c r="P32" s="195"/>
      <c r="Q32" s="195"/>
      <c r="R32" s="195"/>
      <c r="S32" s="195"/>
      <c r="T32" s="195"/>
      <c r="U32" s="209"/>
      <c r="V32" s="220"/>
      <c r="W32" s="52"/>
    </row>
    <row r="33" spans="1:23" s="189" customFormat="1" ht="10.5" customHeight="1" x14ac:dyDescent="0.15">
      <c r="A33" s="190"/>
      <c r="B33" s="476" t="s">
        <v>687</v>
      </c>
      <c r="C33" s="476" t="s">
        <v>887</v>
      </c>
      <c r="D33" s="487" t="s">
        <v>607</v>
      </c>
      <c r="E33" s="487"/>
      <c r="F33" s="219">
        <v>8494612</v>
      </c>
      <c r="G33" s="218">
        <v>764189</v>
      </c>
      <c r="H33" s="218">
        <v>5824119</v>
      </c>
      <c r="I33" s="218">
        <v>147440</v>
      </c>
      <c r="J33" s="218">
        <v>1401101</v>
      </c>
      <c r="K33" s="218">
        <v>306598</v>
      </c>
      <c r="L33" s="218">
        <v>51165</v>
      </c>
      <c r="M33" s="218">
        <v>17057</v>
      </c>
      <c r="N33" s="218">
        <v>34108</v>
      </c>
      <c r="O33" s="218">
        <v>41526</v>
      </c>
      <c r="P33" s="218">
        <v>10596</v>
      </c>
      <c r="Q33" s="218">
        <v>465</v>
      </c>
      <c r="R33" s="218">
        <v>5986</v>
      </c>
      <c r="S33" s="218">
        <v>3054210</v>
      </c>
      <c r="T33" s="218">
        <v>2651691</v>
      </c>
      <c r="U33" s="217">
        <v>402519</v>
      </c>
      <c r="V33" s="216" t="s">
        <v>889</v>
      </c>
      <c r="W33" s="190"/>
    </row>
    <row r="34" spans="1:23" s="25" customFormat="1" ht="6.75" customHeight="1" x14ac:dyDescent="0.15">
      <c r="A34" s="52"/>
      <c r="B34" s="478"/>
      <c r="C34" s="478"/>
      <c r="E34" s="276"/>
      <c r="F34" s="215"/>
      <c r="G34" s="214"/>
      <c r="H34" s="214"/>
      <c r="I34" s="214"/>
      <c r="J34" s="214"/>
      <c r="K34" s="214"/>
      <c r="L34" s="207"/>
      <c r="M34" s="214"/>
      <c r="N34" s="214"/>
      <c r="O34" s="214"/>
      <c r="P34" s="214"/>
      <c r="Q34" s="214"/>
      <c r="R34" s="214"/>
      <c r="S34" s="193"/>
      <c r="T34" s="193"/>
      <c r="U34" s="192"/>
      <c r="V34" s="212"/>
      <c r="W34" s="52"/>
    </row>
    <row r="35" spans="1:23" s="25" customFormat="1" ht="14.25" customHeight="1" x14ac:dyDescent="0.15">
      <c r="A35" s="52"/>
      <c r="B35" s="478"/>
      <c r="C35" s="478"/>
      <c r="E35" s="276"/>
      <c r="F35" s="196">
        <v>306842</v>
      </c>
      <c r="G35" s="195"/>
      <c r="H35" s="195"/>
      <c r="I35" s="195">
        <v>256732</v>
      </c>
      <c r="J35" s="195">
        <v>50110</v>
      </c>
      <c r="K35" s="195"/>
      <c r="L35" s="195"/>
      <c r="M35" s="195"/>
      <c r="N35" s="195"/>
      <c r="O35" s="213">
        <v>2372</v>
      </c>
      <c r="P35" s="204"/>
      <c r="Q35" s="204"/>
      <c r="R35" s="204"/>
      <c r="S35" s="193"/>
      <c r="T35" s="193"/>
      <c r="U35" s="192"/>
      <c r="V35" s="212"/>
      <c r="W35" s="52"/>
    </row>
    <row r="36" spans="1:23" s="189" customFormat="1" ht="10.5" customHeight="1" x14ac:dyDescent="0.15">
      <c r="A36" s="190"/>
      <c r="B36" s="476" t="s">
        <v>687</v>
      </c>
      <c r="C36" s="476" t="s">
        <v>797</v>
      </c>
      <c r="D36" s="476" t="s">
        <v>589</v>
      </c>
      <c r="E36" s="488"/>
      <c r="F36" s="202">
        <v>2811612</v>
      </c>
      <c r="G36" s="200">
        <v>303102</v>
      </c>
      <c r="H36" s="200">
        <v>1972852</v>
      </c>
      <c r="I36" s="200" t="s">
        <v>796</v>
      </c>
      <c r="J36" s="200">
        <v>393813</v>
      </c>
      <c r="K36" s="200">
        <v>67781</v>
      </c>
      <c r="L36" s="201">
        <v>74064</v>
      </c>
      <c r="M36" s="200" t="s">
        <v>796</v>
      </c>
      <c r="N36" s="200">
        <v>74064</v>
      </c>
      <c r="O36" s="200">
        <v>4276</v>
      </c>
      <c r="P36" s="200">
        <v>957</v>
      </c>
      <c r="Q36" s="200">
        <v>110</v>
      </c>
      <c r="R36" s="200">
        <v>884</v>
      </c>
      <c r="S36" s="199">
        <v>1279857</v>
      </c>
      <c r="T36" s="199">
        <v>1087739</v>
      </c>
      <c r="U36" s="198">
        <v>192118</v>
      </c>
      <c r="V36" s="205" t="s">
        <v>890</v>
      </c>
      <c r="W36" s="190"/>
    </row>
    <row r="37" spans="1:23" s="25" customFormat="1" ht="14.25" customHeight="1" x14ac:dyDescent="0.15">
      <c r="A37" s="52"/>
      <c r="B37" s="478"/>
      <c r="C37" s="479"/>
      <c r="D37" s="489"/>
      <c r="E37" s="490"/>
      <c r="F37" s="196">
        <v>170072</v>
      </c>
      <c r="G37" s="195"/>
      <c r="H37" s="195"/>
      <c r="I37" s="195">
        <v>120077</v>
      </c>
      <c r="J37" s="195">
        <v>49995</v>
      </c>
      <c r="K37" s="195"/>
      <c r="L37" s="195"/>
      <c r="M37" s="195"/>
      <c r="N37" s="195"/>
      <c r="O37" s="195">
        <v>1889</v>
      </c>
      <c r="P37" s="204"/>
      <c r="Q37" s="204"/>
      <c r="R37" s="204"/>
      <c r="S37" s="193"/>
      <c r="T37" s="193"/>
      <c r="U37" s="192"/>
      <c r="V37" s="203"/>
      <c r="W37" s="52"/>
    </row>
    <row r="38" spans="1:23" s="189" customFormat="1" ht="10.5" customHeight="1" x14ac:dyDescent="0.15">
      <c r="A38" s="190"/>
      <c r="B38" s="476" t="s">
        <v>214</v>
      </c>
      <c r="C38" s="476" t="s">
        <v>214</v>
      </c>
      <c r="D38" s="476" t="s">
        <v>590</v>
      </c>
      <c r="E38" s="488"/>
      <c r="F38" s="202">
        <v>2502265</v>
      </c>
      <c r="G38" s="200">
        <v>139243</v>
      </c>
      <c r="H38" s="200">
        <v>2036220</v>
      </c>
      <c r="I38" s="200">
        <v>11742</v>
      </c>
      <c r="J38" s="200">
        <v>253403</v>
      </c>
      <c r="K38" s="200">
        <v>28763</v>
      </c>
      <c r="L38" s="201">
        <v>32894</v>
      </c>
      <c r="M38" s="200" t="s">
        <v>796</v>
      </c>
      <c r="N38" s="200">
        <v>32894</v>
      </c>
      <c r="O38" s="200">
        <v>22968</v>
      </c>
      <c r="P38" s="200" t="s">
        <v>796</v>
      </c>
      <c r="Q38" s="200">
        <v>104</v>
      </c>
      <c r="R38" s="200">
        <v>792</v>
      </c>
      <c r="S38" s="199">
        <v>846715</v>
      </c>
      <c r="T38" s="199">
        <v>662549</v>
      </c>
      <c r="U38" s="198">
        <v>184166</v>
      </c>
      <c r="V38" s="197" t="s">
        <v>397</v>
      </c>
      <c r="W38" s="190"/>
    </row>
    <row r="39" spans="1:23" s="25" customFormat="1" ht="14.25" customHeight="1" x14ac:dyDescent="0.15">
      <c r="A39" s="52"/>
      <c r="B39" s="478"/>
      <c r="C39" s="478"/>
      <c r="D39" s="489"/>
      <c r="E39" s="209"/>
      <c r="F39" s="196">
        <v>63307</v>
      </c>
      <c r="G39" s="195"/>
      <c r="H39" s="195"/>
      <c r="I39" s="195">
        <v>63307</v>
      </c>
      <c r="J39" s="195"/>
      <c r="K39" s="195"/>
      <c r="L39" s="195"/>
      <c r="M39" s="195"/>
      <c r="N39" s="195"/>
      <c r="O39" s="195">
        <v>1487</v>
      </c>
      <c r="P39" s="204"/>
      <c r="Q39" s="204"/>
      <c r="R39" s="204"/>
      <c r="S39" s="211"/>
      <c r="T39" s="211"/>
      <c r="U39" s="210"/>
      <c r="V39" s="191"/>
      <c r="W39" s="52"/>
    </row>
    <row r="40" spans="1:23" s="189" customFormat="1" ht="10.5" customHeight="1" x14ac:dyDescent="0.15">
      <c r="A40" s="190"/>
      <c r="B40" s="476" t="s">
        <v>214</v>
      </c>
      <c r="C40" s="476" t="s">
        <v>214</v>
      </c>
      <c r="D40" s="476" t="s">
        <v>591</v>
      </c>
      <c r="E40" s="488"/>
      <c r="F40" s="202">
        <v>2489341</v>
      </c>
      <c r="G40" s="200">
        <v>234352</v>
      </c>
      <c r="H40" s="200">
        <v>2091779</v>
      </c>
      <c r="I40" s="200">
        <v>93</v>
      </c>
      <c r="J40" s="200">
        <v>118531</v>
      </c>
      <c r="K40" s="200">
        <v>16912</v>
      </c>
      <c r="L40" s="201">
        <v>27674</v>
      </c>
      <c r="M40" s="200" t="s">
        <v>796</v>
      </c>
      <c r="N40" s="200">
        <v>27674</v>
      </c>
      <c r="O40" s="200">
        <v>22825</v>
      </c>
      <c r="P40" s="200">
        <v>991</v>
      </c>
      <c r="Q40" s="200">
        <v>145</v>
      </c>
      <c r="R40" s="200">
        <v>2807</v>
      </c>
      <c r="S40" s="199">
        <v>944886</v>
      </c>
      <c r="T40" s="199">
        <v>851236</v>
      </c>
      <c r="U40" s="198">
        <v>93650</v>
      </c>
      <c r="V40" s="197" t="s">
        <v>398</v>
      </c>
      <c r="W40" s="190"/>
    </row>
    <row r="41" spans="1:23" s="25" customFormat="1" ht="14.25" customHeight="1" x14ac:dyDescent="0.15">
      <c r="A41" s="52"/>
      <c r="B41" s="478"/>
      <c r="C41" s="478"/>
      <c r="D41" s="489"/>
      <c r="E41" s="490"/>
      <c r="F41" s="196">
        <v>49796</v>
      </c>
      <c r="G41" s="195"/>
      <c r="H41" s="195"/>
      <c r="I41" s="195">
        <v>49796</v>
      </c>
      <c r="J41" s="195"/>
      <c r="K41" s="195"/>
      <c r="L41" s="195"/>
      <c r="M41" s="195"/>
      <c r="N41" s="195"/>
      <c r="O41" s="195">
        <v>1685</v>
      </c>
      <c r="P41" s="204"/>
      <c r="Q41" s="204"/>
      <c r="R41" s="204"/>
      <c r="S41" s="193"/>
      <c r="T41" s="193"/>
      <c r="U41" s="192"/>
      <c r="V41" s="191"/>
      <c r="W41" s="52"/>
    </row>
    <row r="42" spans="1:23" s="189" customFormat="1" ht="10.5" customHeight="1" x14ac:dyDescent="0.15">
      <c r="A42" s="190"/>
      <c r="B42" s="476" t="s">
        <v>214</v>
      </c>
      <c r="C42" s="476" t="s">
        <v>214</v>
      </c>
      <c r="D42" s="476" t="s">
        <v>592</v>
      </c>
      <c r="E42" s="488"/>
      <c r="F42" s="202">
        <v>2569115</v>
      </c>
      <c r="G42" s="200">
        <v>286633</v>
      </c>
      <c r="H42" s="200">
        <v>2126476</v>
      </c>
      <c r="I42" s="200">
        <v>11732</v>
      </c>
      <c r="J42" s="200">
        <v>101088</v>
      </c>
      <c r="K42" s="200">
        <v>43186</v>
      </c>
      <c r="L42" s="201" t="s">
        <v>796</v>
      </c>
      <c r="M42" s="200" t="s">
        <v>796</v>
      </c>
      <c r="N42" s="200" t="s">
        <v>796</v>
      </c>
      <c r="O42" s="200">
        <v>19087</v>
      </c>
      <c r="P42" s="200">
        <v>944</v>
      </c>
      <c r="Q42" s="200">
        <v>174</v>
      </c>
      <c r="R42" s="200">
        <v>1739</v>
      </c>
      <c r="S42" s="199">
        <v>949167</v>
      </c>
      <c r="T42" s="199">
        <v>769649</v>
      </c>
      <c r="U42" s="198">
        <v>179518</v>
      </c>
      <c r="V42" s="197" t="s">
        <v>399</v>
      </c>
      <c r="W42" s="190"/>
    </row>
    <row r="43" spans="1:23" s="25" customFormat="1" ht="14.25" customHeight="1" x14ac:dyDescent="0.15">
      <c r="A43" s="52"/>
      <c r="B43" s="478"/>
      <c r="C43" s="478"/>
      <c r="D43" s="489"/>
      <c r="E43" s="490"/>
      <c r="F43" s="196">
        <v>149884</v>
      </c>
      <c r="G43" s="195"/>
      <c r="H43" s="195"/>
      <c r="I43" s="195">
        <v>149884</v>
      </c>
      <c r="J43" s="195"/>
      <c r="K43" s="195"/>
      <c r="L43" s="195"/>
      <c r="M43" s="195"/>
      <c r="N43" s="195"/>
      <c r="O43" s="195">
        <v>1948</v>
      </c>
      <c r="P43" s="204"/>
      <c r="Q43" s="204"/>
      <c r="R43" s="204"/>
      <c r="S43" s="211"/>
      <c r="T43" s="211"/>
      <c r="U43" s="210"/>
      <c r="V43" s="191"/>
      <c r="W43" s="52"/>
    </row>
    <row r="44" spans="1:23" s="189" customFormat="1" ht="10.5" customHeight="1" x14ac:dyDescent="0.15">
      <c r="A44" s="190"/>
      <c r="B44" s="476" t="s">
        <v>214</v>
      </c>
      <c r="C44" s="476" t="s">
        <v>214</v>
      </c>
      <c r="D44" s="476" t="s">
        <v>593</v>
      </c>
      <c r="E44" s="488"/>
      <c r="F44" s="202">
        <v>2500127</v>
      </c>
      <c r="G44" s="200">
        <v>395746</v>
      </c>
      <c r="H44" s="200">
        <v>1861035</v>
      </c>
      <c r="I44" s="200">
        <v>5876</v>
      </c>
      <c r="J44" s="200">
        <v>152774</v>
      </c>
      <c r="K44" s="200">
        <v>72505</v>
      </c>
      <c r="L44" s="201">
        <v>12191</v>
      </c>
      <c r="M44" s="200">
        <v>12191</v>
      </c>
      <c r="N44" s="200" t="s">
        <v>796</v>
      </c>
      <c r="O44" s="200">
        <v>15466</v>
      </c>
      <c r="P44" s="200">
        <v>994</v>
      </c>
      <c r="Q44" s="200">
        <v>132</v>
      </c>
      <c r="R44" s="200">
        <v>2173</v>
      </c>
      <c r="S44" s="199">
        <v>859724</v>
      </c>
      <c r="T44" s="199">
        <v>668950</v>
      </c>
      <c r="U44" s="198">
        <v>190774</v>
      </c>
      <c r="V44" s="197" t="s">
        <v>407</v>
      </c>
      <c r="W44" s="190"/>
    </row>
    <row r="45" spans="1:23" s="25" customFormat="1" ht="14.25" customHeight="1" x14ac:dyDescent="0.15">
      <c r="A45" s="52"/>
      <c r="B45" s="478"/>
      <c r="C45" s="478"/>
      <c r="D45" s="489"/>
      <c r="E45" s="490"/>
      <c r="F45" s="196">
        <v>134249</v>
      </c>
      <c r="G45" s="195"/>
      <c r="H45" s="195"/>
      <c r="I45" s="195">
        <v>117708</v>
      </c>
      <c r="J45" s="195">
        <v>16541</v>
      </c>
      <c r="K45" s="195"/>
      <c r="L45" s="195"/>
      <c r="M45" s="195"/>
      <c r="N45" s="195"/>
      <c r="O45" s="195">
        <v>1484</v>
      </c>
      <c r="P45" s="204"/>
      <c r="Q45" s="204"/>
      <c r="R45" s="204"/>
      <c r="S45" s="193"/>
      <c r="T45" s="193"/>
      <c r="U45" s="192"/>
      <c r="V45" s="191"/>
      <c r="W45" s="52"/>
    </row>
    <row r="46" spans="1:23" s="189" customFormat="1" ht="10.5" customHeight="1" x14ac:dyDescent="0.15">
      <c r="A46" s="190"/>
      <c r="B46" s="476" t="s">
        <v>214</v>
      </c>
      <c r="C46" s="476" t="s">
        <v>214</v>
      </c>
      <c r="D46" s="476" t="s">
        <v>594</v>
      </c>
      <c r="E46" s="488"/>
      <c r="F46" s="202">
        <v>2593565</v>
      </c>
      <c r="G46" s="200">
        <v>476630</v>
      </c>
      <c r="H46" s="200">
        <v>1784381</v>
      </c>
      <c r="I46" s="200">
        <v>5877</v>
      </c>
      <c r="J46" s="200">
        <v>141648</v>
      </c>
      <c r="K46" s="200">
        <v>179077</v>
      </c>
      <c r="L46" s="201">
        <v>5952</v>
      </c>
      <c r="M46" s="200">
        <v>5952</v>
      </c>
      <c r="N46" s="200" t="s">
        <v>796</v>
      </c>
      <c r="O46" s="200">
        <v>24563</v>
      </c>
      <c r="P46" s="200">
        <v>991</v>
      </c>
      <c r="Q46" s="200">
        <v>163</v>
      </c>
      <c r="R46" s="200">
        <v>333</v>
      </c>
      <c r="S46" s="199">
        <v>685318</v>
      </c>
      <c r="T46" s="199">
        <v>542988</v>
      </c>
      <c r="U46" s="198">
        <v>142330</v>
      </c>
      <c r="V46" s="197" t="s">
        <v>400</v>
      </c>
      <c r="W46" s="190"/>
    </row>
    <row r="47" spans="1:23" s="25" customFormat="1" ht="14.25" customHeight="1" x14ac:dyDescent="0.15">
      <c r="A47" s="52"/>
      <c r="B47" s="478"/>
      <c r="C47" s="478"/>
      <c r="D47" s="489"/>
      <c r="E47" s="490"/>
      <c r="F47" s="196">
        <v>111653</v>
      </c>
      <c r="G47" s="195"/>
      <c r="H47" s="195"/>
      <c r="I47" s="195">
        <v>104058</v>
      </c>
      <c r="J47" s="195"/>
      <c r="K47" s="195"/>
      <c r="L47" s="195">
        <v>7595</v>
      </c>
      <c r="M47" s="195"/>
      <c r="N47" s="195">
        <v>7595</v>
      </c>
      <c r="O47" s="195">
        <v>1949</v>
      </c>
      <c r="P47" s="204"/>
      <c r="Q47" s="204"/>
      <c r="R47" s="204"/>
      <c r="S47" s="193"/>
      <c r="T47" s="193"/>
      <c r="U47" s="192"/>
      <c r="V47" s="191"/>
      <c r="W47" s="52"/>
    </row>
    <row r="48" spans="1:23" s="189" customFormat="1" ht="10.5" customHeight="1" x14ac:dyDescent="0.15">
      <c r="A48" s="190"/>
      <c r="B48" s="476" t="s">
        <v>214</v>
      </c>
      <c r="C48" s="476" t="s">
        <v>214</v>
      </c>
      <c r="D48" s="476" t="s">
        <v>595</v>
      </c>
      <c r="E48" s="488"/>
      <c r="F48" s="202">
        <v>2832883</v>
      </c>
      <c r="G48" s="200">
        <v>564234</v>
      </c>
      <c r="H48" s="200">
        <v>1834480</v>
      </c>
      <c r="I48" s="200" t="s">
        <v>796</v>
      </c>
      <c r="J48" s="200">
        <v>96454</v>
      </c>
      <c r="K48" s="200">
        <v>331488</v>
      </c>
      <c r="L48" s="201">
        <v>6227</v>
      </c>
      <c r="M48" s="200">
        <v>6227</v>
      </c>
      <c r="N48" s="200" t="s">
        <v>796</v>
      </c>
      <c r="O48" s="200">
        <v>18497</v>
      </c>
      <c r="P48" s="200">
        <v>893</v>
      </c>
      <c r="Q48" s="200">
        <v>178</v>
      </c>
      <c r="R48" s="200">
        <v>836</v>
      </c>
      <c r="S48" s="199">
        <v>722025</v>
      </c>
      <c r="T48" s="199">
        <v>611521</v>
      </c>
      <c r="U48" s="198">
        <v>110504</v>
      </c>
      <c r="V48" s="197" t="s">
        <v>401</v>
      </c>
      <c r="W48" s="190"/>
    </row>
    <row r="49" spans="1:23" s="25" customFormat="1" ht="14.25" customHeight="1" x14ac:dyDescent="0.15">
      <c r="A49" s="52"/>
      <c r="B49" s="478"/>
      <c r="C49" s="478"/>
      <c r="D49" s="489"/>
      <c r="E49" s="490"/>
      <c r="F49" s="196">
        <v>142064</v>
      </c>
      <c r="G49" s="195"/>
      <c r="H49" s="195"/>
      <c r="I49" s="195">
        <v>89546</v>
      </c>
      <c r="J49" s="195"/>
      <c r="K49" s="195"/>
      <c r="L49" s="195">
        <v>52518</v>
      </c>
      <c r="M49" s="195"/>
      <c r="N49" s="195">
        <v>52518</v>
      </c>
      <c r="O49" s="195">
        <v>305786</v>
      </c>
      <c r="P49" s="204"/>
      <c r="Q49" s="204"/>
      <c r="R49" s="204"/>
      <c r="S49" s="193"/>
      <c r="T49" s="193"/>
      <c r="U49" s="192"/>
      <c r="V49" s="191"/>
      <c r="W49" s="52"/>
    </row>
    <row r="50" spans="1:23" s="189" customFormat="1" ht="10.5" customHeight="1" x14ac:dyDescent="0.15">
      <c r="A50" s="190"/>
      <c r="B50" s="476" t="s">
        <v>214</v>
      </c>
      <c r="C50" s="476" t="s">
        <v>214</v>
      </c>
      <c r="D50" s="476" t="s">
        <v>596</v>
      </c>
      <c r="E50" s="488"/>
      <c r="F50" s="202">
        <v>3214246</v>
      </c>
      <c r="G50" s="200">
        <v>668442</v>
      </c>
      <c r="H50" s="200">
        <v>1968952</v>
      </c>
      <c r="I50" s="200">
        <v>38756</v>
      </c>
      <c r="J50" s="200">
        <v>203266</v>
      </c>
      <c r="K50" s="200">
        <v>328862</v>
      </c>
      <c r="L50" s="201">
        <v>5968</v>
      </c>
      <c r="M50" s="200">
        <v>5968</v>
      </c>
      <c r="N50" s="200" t="s">
        <v>796</v>
      </c>
      <c r="O50" s="200">
        <v>14633</v>
      </c>
      <c r="P50" s="200">
        <v>792</v>
      </c>
      <c r="Q50" s="200">
        <v>120</v>
      </c>
      <c r="R50" s="200">
        <v>2649</v>
      </c>
      <c r="S50" s="199">
        <v>677520</v>
      </c>
      <c r="T50" s="199">
        <v>521884</v>
      </c>
      <c r="U50" s="198">
        <v>155636</v>
      </c>
      <c r="V50" s="197" t="s">
        <v>402</v>
      </c>
      <c r="W50" s="190"/>
    </row>
    <row r="51" spans="1:23" s="25" customFormat="1" ht="14.25" customHeight="1" x14ac:dyDescent="0.15">
      <c r="A51" s="52"/>
      <c r="B51" s="478"/>
      <c r="C51" s="478"/>
      <c r="D51" s="489"/>
      <c r="E51" s="209"/>
      <c r="F51" s="196">
        <v>129209</v>
      </c>
      <c r="G51" s="195"/>
      <c r="H51" s="195"/>
      <c r="I51" s="195">
        <v>67285</v>
      </c>
      <c r="J51" s="195">
        <v>18083</v>
      </c>
      <c r="K51" s="195"/>
      <c r="L51" s="195">
        <v>43841</v>
      </c>
      <c r="M51" s="195"/>
      <c r="N51" s="195">
        <v>43841</v>
      </c>
      <c r="O51" s="195">
        <v>2026</v>
      </c>
      <c r="P51" s="204"/>
      <c r="Q51" s="204"/>
      <c r="R51" s="204"/>
      <c r="S51" s="193"/>
      <c r="T51" s="193"/>
      <c r="U51" s="192"/>
      <c r="V51" s="191"/>
      <c r="W51" s="52"/>
    </row>
    <row r="52" spans="1:23" s="189" customFormat="1" ht="10.5" customHeight="1" x14ac:dyDescent="0.15">
      <c r="A52" s="190"/>
      <c r="B52" s="476" t="s">
        <v>214</v>
      </c>
      <c r="C52" s="476" t="s">
        <v>214</v>
      </c>
      <c r="D52" s="476" t="s">
        <v>597</v>
      </c>
      <c r="E52" s="488"/>
      <c r="F52" s="202">
        <v>3017853</v>
      </c>
      <c r="G52" s="200">
        <v>616041</v>
      </c>
      <c r="H52" s="200">
        <v>1984275</v>
      </c>
      <c r="I52" s="200">
        <v>5905</v>
      </c>
      <c r="J52" s="200">
        <v>139858</v>
      </c>
      <c r="K52" s="200">
        <v>265826</v>
      </c>
      <c r="L52" s="201">
        <v>5948</v>
      </c>
      <c r="M52" s="200">
        <v>5948</v>
      </c>
      <c r="N52" s="200" t="s">
        <v>796</v>
      </c>
      <c r="O52" s="200">
        <v>12736</v>
      </c>
      <c r="P52" s="200">
        <v>3913</v>
      </c>
      <c r="Q52" s="200">
        <v>188</v>
      </c>
      <c r="R52" s="200">
        <v>620</v>
      </c>
      <c r="S52" s="199">
        <v>656881</v>
      </c>
      <c r="T52" s="199">
        <v>542175</v>
      </c>
      <c r="U52" s="198">
        <v>114706</v>
      </c>
      <c r="V52" s="197" t="s">
        <v>403</v>
      </c>
      <c r="W52" s="190"/>
    </row>
    <row r="53" spans="1:23" s="25" customFormat="1" ht="14.25" customHeight="1" x14ac:dyDescent="0.15">
      <c r="A53" s="52"/>
      <c r="B53" s="478"/>
      <c r="C53" s="478"/>
      <c r="D53" s="489"/>
      <c r="E53" s="490"/>
      <c r="F53" s="196">
        <v>17026</v>
      </c>
      <c r="G53" s="195"/>
      <c r="H53" s="195"/>
      <c r="I53" s="195">
        <v>17026</v>
      </c>
      <c r="J53" s="195"/>
      <c r="K53" s="195"/>
      <c r="L53" s="195"/>
      <c r="M53" s="195"/>
      <c r="N53" s="195"/>
      <c r="O53" s="195">
        <v>1388</v>
      </c>
      <c r="P53" s="204"/>
      <c r="Q53" s="204"/>
      <c r="R53" s="204"/>
      <c r="S53" s="193"/>
      <c r="T53" s="193"/>
      <c r="U53" s="192"/>
      <c r="V53" s="191"/>
      <c r="W53" s="52"/>
    </row>
    <row r="54" spans="1:23" s="189" customFormat="1" ht="10.5" customHeight="1" x14ac:dyDescent="0.15">
      <c r="A54" s="190"/>
      <c r="B54" s="476" t="s">
        <v>214</v>
      </c>
      <c r="C54" s="476" t="s">
        <v>214</v>
      </c>
      <c r="D54" s="491" t="s">
        <v>688</v>
      </c>
      <c r="E54" s="488"/>
      <c r="F54" s="202">
        <v>2656336</v>
      </c>
      <c r="G54" s="200">
        <v>540249</v>
      </c>
      <c r="H54" s="200">
        <v>1602315</v>
      </c>
      <c r="I54" s="200">
        <v>32474</v>
      </c>
      <c r="J54" s="200">
        <v>276220</v>
      </c>
      <c r="K54" s="200">
        <v>190959</v>
      </c>
      <c r="L54" s="201">
        <v>14119</v>
      </c>
      <c r="M54" s="200">
        <v>6230</v>
      </c>
      <c r="N54" s="200">
        <v>7889</v>
      </c>
      <c r="O54" s="200">
        <v>21955</v>
      </c>
      <c r="P54" s="200">
        <v>9316</v>
      </c>
      <c r="Q54" s="200">
        <v>221</v>
      </c>
      <c r="R54" s="200">
        <v>2283</v>
      </c>
      <c r="S54" s="199">
        <v>757416</v>
      </c>
      <c r="T54" s="199">
        <v>596967</v>
      </c>
      <c r="U54" s="198">
        <v>160449</v>
      </c>
      <c r="V54" s="197" t="s">
        <v>404</v>
      </c>
      <c r="W54" s="190"/>
    </row>
    <row r="55" spans="1:23" s="25" customFormat="1" ht="14.25" customHeight="1" x14ac:dyDescent="0.15">
      <c r="A55" s="52"/>
      <c r="B55" s="478"/>
      <c r="C55" s="478"/>
      <c r="D55" s="489"/>
      <c r="E55" s="490"/>
      <c r="F55" s="196">
        <v>211144</v>
      </c>
      <c r="G55" s="195"/>
      <c r="H55" s="195"/>
      <c r="I55" s="195">
        <v>199432</v>
      </c>
      <c r="J55" s="195">
        <v>11712</v>
      </c>
      <c r="K55" s="195"/>
      <c r="L55" s="195"/>
      <c r="M55" s="195"/>
      <c r="N55" s="195"/>
      <c r="O55" s="195">
        <v>1850</v>
      </c>
      <c r="P55" s="204"/>
      <c r="Q55" s="204"/>
      <c r="R55" s="204"/>
      <c r="S55" s="193"/>
      <c r="T55" s="193"/>
      <c r="U55" s="192"/>
      <c r="V55" s="191"/>
      <c r="W55" s="52"/>
    </row>
    <row r="56" spans="1:23" s="189" customFormat="1" ht="10.5" customHeight="1" x14ac:dyDescent="0.15">
      <c r="A56" s="190"/>
      <c r="B56" s="476" t="s">
        <v>214</v>
      </c>
      <c r="C56" s="476" t="s">
        <v>214</v>
      </c>
      <c r="D56" s="491" t="s">
        <v>689</v>
      </c>
      <c r="E56" s="488"/>
      <c r="F56" s="202">
        <v>2936557</v>
      </c>
      <c r="G56" s="200">
        <v>292385</v>
      </c>
      <c r="H56" s="200">
        <v>2129197</v>
      </c>
      <c r="I56" s="200">
        <v>5870</v>
      </c>
      <c r="J56" s="200">
        <v>354707</v>
      </c>
      <c r="K56" s="200">
        <v>144690</v>
      </c>
      <c r="L56" s="201">
        <v>9708</v>
      </c>
      <c r="M56" s="200">
        <v>5172</v>
      </c>
      <c r="N56" s="200">
        <v>4536</v>
      </c>
      <c r="O56" s="200">
        <v>18586</v>
      </c>
      <c r="P56" s="200" t="s">
        <v>796</v>
      </c>
      <c r="Q56" s="200">
        <v>160</v>
      </c>
      <c r="R56" s="200">
        <v>1783</v>
      </c>
      <c r="S56" s="199">
        <v>804560</v>
      </c>
      <c r="T56" s="199">
        <v>676647</v>
      </c>
      <c r="U56" s="198">
        <v>127913</v>
      </c>
      <c r="V56" s="197" t="s">
        <v>405</v>
      </c>
      <c r="W56" s="190"/>
    </row>
    <row r="57" spans="1:23" s="25" customFormat="1" ht="14.25" customHeight="1" x14ac:dyDescent="0.15">
      <c r="A57" s="52"/>
      <c r="B57" s="478"/>
      <c r="C57" s="478"/>
      <c r="D57" s="489"/>
      <c r="E57" s="490"/>
      <c r="F57" s="196">
        <v>391594</v>
      </c>
      <c r="G57" s="195"/>
      <c r="H57" s="195"/>
      <c r="I57" s="195">
        <v>328923</v>
      </c>
      <c r="J57" s="195">
        <v>55247</v>
      </c>
      <c r="K57" s="195"/>
      <c r="L57" s="195">
        <v>7424</v>
      </c>
      <c r="M57" s="195"/>
      <c r="N57" s="195">
        <v>7424</v>
      </c>
      <c r="O57" s="195">
        <v>1694</v>
      </c>
      <c r="P57" s="204"/>
      <c r="Q57" s="204"/>
      <c r="R57" s="204"/>
      <c r="S57" s="193"/>
      <c r="T57" s="193"/>
      <c r="U57" s="192"/>
      <c r="V57" s="191"/>
      <c r="W57" s="52"/>
    </row>
    <row r="58" spans="1:23" s="189" customFormat="1" ht="10.5" customHeight="1" x14ac:dyDescent="0.15">
      <c r="A58" s="190"/>
      <c r="B58" s="476" t="s">
        <v>214</v>
      </c>
      <c r="C58" s="476" t="s">
        <v>214</v>
      </c>
      <c r="D58" s="491" t="s">
        <v>690</v>
      </c>
      <c r="E58" s="488"/>
      <c r="F58" s="202">
        <v>3004937</v>
      </c>
      <c r="G58" s="200">
        <v>256948</v>
      </c>
      <c r="H58" s="200">
        <v>1970714</v>
      </c>
      <c r="I58" s="200">
        <v>5873</v>
      </c>
      <c r="J58" s="200">
        <v>512663</v>
      </c>
      <c r="K58" s="200">
        <v>236475</v>
      </c>
      <c r="L58" s="201">
        <v>22264</v>
      </c>
      <c r="M58" s="200">
        <v>6241</v>
      </c>
      <c r="N58" s="200">
        <v>16023</v>
      </c>
      <c r="O58" s="200">
        <v>26227</v>
      </c>
      <c r="P58" s="200">
        <v>919</v>
      </c>
      <c r="Q58" s="200">
        <v>106</v>
      </c>
      <c r="R58" s="200">
        <v>2793</v>
      </c>
      <c r="S58" s="199">
        <v>1211092</v>
      </c>
      <c r="T58" s="199">
        <v>1001083</v>
      </c>
      <c r="U58" s="198">
        <v>210009</v>
      </c>
      <c r="V58" s="197" t="s">
        <v>406</v>
      </c>
      <c r="W58" s="190"/>
    </row>
    <row r="59" spans="1:23" s="25" customFormat="1" ht="6.75" customHeight="1" x14ac:dyDescent="0.15">
      <c r="A59" s="52"/>
      <c r="B59" s="478"/>
      <c r="C59" s="478"/>
      <c r="D59" s="489"/>
      <c r="E59" s="490"/>
      <c r="F59" s="208"/>
      <c r="G59" s="204"/>
      <c r="H59" s="204"/>
      <c r="I59" s="204"/>
      <c r="J59" s="204"/>
      <c r="K59" s="204"/>
      <c r="L59" s="207"/>
      <c r="M59" s="204"/>
      <c r="N59" s="204"/>
      <c r="O59" s="204"/>
      <c r="P59" s="204"/>
      <c r="Q59" s="204"/>
      <c r="R59" s="204"/>
      <c r="S59" s="193"/>
      <c r="T59" s="193"/>
      <c r="U59" s="192"/>
      <c r="V59" s="206"/>
      <c r="W59" s="52"/>
    </row>
    <row r="60" spans="1:23" s="25" customFormat="1" ht="14.25" customHeight="1" x14ac:dyDescent="0.15">
      <c r="A60" s="52"/>
      <c r="B60" s="478"/>
      <c r="C60" s="478"/>
      <c r="D60" s="489"/>
      <c r="E60" s="490"/>
      <c r="F60" s="196">
        <v>275985</v>
      </c>
      <c r="G60" s="195"/>
      <c r="H60" s="195"/>
      <c r="I60" s="195">
        <v>198499</v>
      </c>
      <c r="J60" s="195">
        <v>77486</v>
      </c>
      <c r="K60" s="195"/>
      <c r="L60" s="195"/>
      <c r="M60" s="195"/>
      <c r="N60" s="195"/>
      <c r="O60" s="195">
        <v>1890</v>
      </c>
      <c r="P60" s="204"/>
      <c r="Q60" s="204"/>
      <c r="R60" s="204"/>
      <c r="S60" s="193"/>
      <c r="T60" s="193"/>
      <c r="U60" s="192"/>
      <c r="V60" s="206"/>
      <c r="W60" s="52"/>
    </row>
    <row r="61" spans="1:23" s="189" customFormat="1" ht="10.5" customHeight="1" x14ac:dyDescent="0.15">
      <c r="A61" s="190"/>
      <c r="B61" s="476" t="s">
        <v>687</v>
      </c>
      <c r="C61" s="476" t="s">
        <v>887</v>
      </c>
      <c r="D61" s="476" t="s">
        <v>598</v>
      </c>
      <c r="E61" s="488"/>
      <c r="F61" s="202">
        <v>2990794</v>
      </c>
      <c r="G61" s="200">
        <v>271403</v>
      </c>
      <c r="H61" s="200">
        <v>2090585</v>
      </c>
      <c r="I61" s="200">
        <v>39977</v>
      </c>
      <c r="J61" s="200">
        <v>458944</v>
      </c>
      <c r="K61" s="200">
        <v>94793</v>
      </c>
      <c r="L61" s="201">
        <v>35092</v>
      </c>
      <c r="M61" s="200">
        <v>4990</v>
      </c>
      <c r="N61" s="200">
        <v>30102</v>
      </c>
      <c r="O61" s="200">
        <v>11876</v>
      </c>
      <c r="P61" s="200">
        <v>5800</v>
      </c>
      <c r="Q61" s="200">
        <v>116</v>
      </c>
      <c r="R61" s="200">
        <v>1297</v>
      </c>
      <c r="S61" s="199">
        <v>1025796</v>
      </c>
      <c r="T61" s="199">
        <v>879690</v>
      </c>
      <c r="U61" s="198">
        <v>146106</v>
      </c>
      <c r="V61" s="205" t="s">
        <v>892</v>
      </c>
      <c r="W61" s="190"/>
    </row>
    <row r="62" spans="1:23" s="25" customFormat="1" ht="14.25" customHeight="1" x14ac:dyDescent="0.15">
      <c r="A62" s="52"/>
      <c r="B62" s="478"/>
      <c r="C62" s="479"/>
      <c r="D62" s="489"/>
      <c r="E62" s="490"/>
      <c r="F62" s="196">
        <v>195245</v>
      </c>
      <c r="G62" s="195"/>
      <c r="H62" s="195"/>
      <c r="I62" s="195">
        <v>156743</v>
      </c>
      <c r="J62" s="195">
        <v>38502</v>
      </c>
      <c r="K62" s="195"/>
      <c r="L62" s="195"/>
      <c r="M62" s="195"/>
      <c r="N62" s="195"/>
      <c r="O62" s="195">
        <v>1355</v>
      </c>
      <c r="P62" s="204"/>
      <c r="Q62" s="204"/>
      <c r="R62" s="204"/>
      <c r="S62" s="193"/>
      <c r="T62" s="193"/>
      <c r="U62" s="192"/>
      <c r="V62" s="203"/>
      <c r="W62" s="52"/>
    </row>
    <row r="63" spans="1:23" s="189" customFormat="1" ht="10.5" customHeight="1" x14ac:dyDescent="0.15">
      <c r="A63" s="190"/>
      <c r="B63" s="476" t="s">
        <v>214</v>
      </c>
      <c r="C63" s="476" t="s">
        <v>214</v>
      </c>
      <c r="D63" s="476" t="s">
        <v>590</v>
      </c>
      <c r="E63" s="488"/>
      <c r="F63" s="202">
        <v>2543812</v>
      </c>
      <c r="G63" s="200">
        <v>228995</v>
      </c>
      <c r="H63" s="200">
        <v>1612323</v>
      </c>
      <c r="I63" s="200">
        <v>51849</v>
      </c>
      <c r="J63" s="200">
        <v>558481</v>
      </c>
      <c r="K63" s="200">
        <v>86206</v>
      </c>
      <c r="L63" s="201">
        <v>5958</v>
      </c>
      <c r="M63" s="200">
        <v>5958</v>
      </c>
      <c r="N63" s="200" t="s">
        <v>796</v>
      </c>
      <c r="O63" s="200">
        <v>16414</v>
      </c>
      <c r="P63" s="200">
        <v>1884</v>
      </c>
      <c r="Q63" s="200">
        <v>183</v>
      </c>
      <c r="R63" s="200">
        <v>1974</v>
      </c>
      <c r="S63" s="199">
        <v>854078</v>
      </c>
      <c r="T63" s="199">
        <v>717803</v>
      </c>
      <c r="U63" s="198">
        <v>136275</v>
      </c>
      <c r="V63" s="197" t="s">
        <v>397</v>
      </c>
      <c r="W63" s="190"/>
    </row>
    <row r="64" spans="1:23" s="25" customFormat="1" ht="14.25" customHeight="1" x14ac:dyDescent="0.15">
      <c r="A64" s="52"/>
      <c r="B64" s="478"/>
      <c r="C64" s="478"/>
      <c r="D64" s="489"/>
      <c r="E64" s="490"/>
      <c r="F64" s="196">
        <v>127082</v>
      </c>
      <c r="G64" s="195"/>
      <c r="H64" s="195"/>
      <c r="I64" s="195">
        <v>101390</v>
      </c>
      <c r="J64" s="195">
        <v>25692</v>
      </c>
      <c r="K64" s="195"/>
      <c r="L64" s="195"/>
      <c r="M64" s="195"/>
      <c r="N64" s="195"/>
      <c r="O64" s="195">
        <v>1710</v>
      </c>
      <c r="P64" s="194"/>
      <c r="Q64" s="194"/>
      <c r="R64" s="194"/>
      <c r="S64" s="193"/>
      <c r="T64" s="193"/>
      <c r="U64" s="192"/>
      <c r="V64" s="191"/>
      <c r="W64" s="52"/>
    </row>
    <row r="65" spans="1:23" s="189" customFormat="1" ht="10.5" customHeight="1" x14ac:dyDescent="0.15">
      <c r="A65" s="190"/>
      <c r="B65" s="778" t="s">
        <v>214</v>
      </c>
      <c r="C65" s="778" t="s">
        <v>214</v>
      </c>
      <c r="D65" s="779" t="s">
        <v>599</v>
      </c>
      <c r="E65" s="780"/>
      <c r="F65" s="781">
        <v>2960006</v>
      </c>
      <c r="G65" s="782">
        <v>263791</v>
      </c>
      <c r="H65" s="782">
        <v>2121211</v>
      </c>
      <c r="I65" s="783">
        <v>55614</v>
      </c>
      <c r="J65" s="782">
        <v>383676</v>
      </c>
      <c r="K65" s="782">
        <v>125599</v>
      </c>
      <c r="L65" s="784">
        <v>10115</v>
      </c>
      <c r="M65" s="782">
        <v>6109</v>
      </c>
      <c r="N65" s="782">
        <v>4006</v>
      </c>
      <c r="O65" s="782">
        <v>13236</v>
      </c>
      <c r="P65" s="783">
        <v>2912</v>
      </c>
      <c r="Q65" s="782">
        <v>166</v>
      </c>
      <c r="R65" s="782">
        <v>2715</v>
      </c>
      <c r="S65" s="785">
        <v>1174336</v>
      </c>
      <c r="T65" s="785">
        <v>1054198</v>
      </c>
      <c r="U65" s="786">
        <v>120138</v>
      </c>
      <c r="V65" s="787" t="s">
        <v>398</v>
      </c>
      <c r="W65" s="190"/>
    </row>
    <row r="66" spans="1:23" s="185" customFormat="1" ht="12" customHeight="1" x14ac:dyDescent="0.15">
      <c r="A66" s="514"/>
      <c r="B66" s="516" t="s">
        <v>916</v>
      </c>
      <c r="C66" s="516"/>
      <c r="D66" s="516"/>
      <c r="E66" s="516"/>
      <c r="F66" s="516"/>
      <c r="G66" s="516"/>
      <c r="H66" s="516"/>
      <c r="I66" s="514"/>
      <c r="J66" s="514"/>
      <c r="K66" s="514"/>
      <c r="L66" s="514"/>
      <c r="M66" s="514"/>
      <c r="N66" s="514"/>
      <c r="O66" s="25" t="s">
        <v>917</v>
      </c>
      <c r="P66" s="514"/>
      <c r="Q66" s="514"/>
      <c r="R66" s="514"/>
      <c r="S66" s="514"/>
      <c r="T66" s="514"/>
      <c r="U66" s="514"/>
      <c r="V66" s="188"/>
      <c r="W66" s="514"/>
    </row>
    <row r="67" spans="1:23" s="187" customFormat="1" ht="12" customHeight="1" x14ac:dyDescent="0.15">
      <c r="A67" s="528"/>
      <c r="B67" s="94" t="s">
        <v>897</v>
      </c>
      <c r="C67" s="66"/>
      <c r="D67" s="169"/>
      <c r="E67" s="169"/>
      <c r="F67" s="540"/>
      <c r="G67" s="540"/>
      <c r="H67" s="540"/>
      <c r="I67" s="25"/>
      <c r="J67" s="25"/>
      <c r="K67" s="25"/>
      <c r="L67" s="25"/>
      <c r="M67" s="25"/>
      <c r="N67" s="25"/>
      <c r="O67" s="95" t="s">
        <v>918</v>
      </c>
      <c r="P67" s="25"/>
      <c r="Q67" s="25"/>
      <c r="R67" s="25"/>
      <c r="S67" s="25"/>
      <c r="T67" s="25"/>
      <c r="U67" s="25"/>
      <c r="V67" s="514"/>
      <c r="W67" s="528"/>
    </row>
    <row r="68" spans="1:23" s="185" customFormat="1" ht="11.25" customHeight="1" x14ac:dyDescent="0.15">
      <c r="A68" s="514"/>
      <c r="B68" s="94" t="s">
        <v>474</v>
      </c>
      <c r="C68" s="123"/>
      <c r="D68" s="514"/>
      <c r="E68" s="514"/>
      <c r="F68" s="514"/>
      <c r="G68" s="514"/>
      <c r="H68" s="186"/>
      <c r="I68" s="514"/>
      <c r="J68" s="514"/>
      <c r="K68" s="514"/>
      <c r="L68" s="514"/>
      <c r="M68" s="514"/>
      <c r="N68" s="514"/>
      <c r="O68" s="514"/>
      <c r="P68" s="514"/>
      <c r="Q68" s="514"/>
      <c r="R68" s="514"/>
      <c r="S68" s="514"/>
      <c r="T68" s="514"/>
      <c r="U68" s="514"/>
      <c r="V68" s="514"/>
      <c r="W68" s="514"/>
    </row>
  </sheetData>
  <mergeCells count="2">
    <mergeCell ref="V4:V7"/>
    <mergeCell ref="B5:E5"/>
  </mergeCells>
  <phoneticPr fontId="34"/>
  <pageMargins left="0.59055118110236227" right="0.59055118110236227" top="0.59055118110236227" bottom="0.59055118110236227" header="0.59055118110236227" footer="0.15748031496062992"/>
  <pageSetup paperSize="9" scale="91" orientation="portrait" r:id="rId1"/>
  <headerFooter alignWithMargins="0"/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87B8-0141-42C2-95CD-52B8F4FC82A9}">
  <dimension ref="A1:W433"/>
  <sheetViews>
    <sheetView view="pageBreakPreview" zoomScaleNormal="91" zoomScaleSheetLayoutView="100" workbookViewId="0"/>
  </sheetViews>
  <sheetFormatPr defaultColWidth="6.875" defaultRowHeight="13.5" x14ac:dyDescent="0.15"/>
  <cols>
    <col min="1" max="1" width="16" style="240" customWidth="1"/>
    <col min="2" max="22" width="8.625" style="240" customWidth="1"/>
    <col min="23" max="23" width="6.875" style="240" customWidth="1"/>
    <col min="24" max="16384" width="6.875" style="240"/>
  </cols>
  <sheetData>
    <row r="1" spans="1:23" ht="15" customHeight="1" x14ac:dyDescent="0.15">
      <c r="A1" s="492" t="s">
        <v>289</v>
      </c>
      <c r="C1" s="453"/>
      <c r="D1" s="453"/>
      <c r="E1" s="453"/>
      <c r="F1" s="453"/>
      <c r="G1" s="453"/>
      <c r="H1" s="453"/>
      <c r="I1" s="453"/>
      <c r="J1" s="453"/>
      <c r="K1" s="454" t="s">
        <v>392</v>
      </c>
      <c r="L1" s="453"/>
      <c r="M1" s="453"/>
      <c r="N1" s="453"/>
      <c r="O1" s="453"/>
      <c r="P1" s="455"/>
      <c r="Q1" s="456"/>
      <c r="R1" s="456"/>
      <c r="S1" s="456"/>
      <c r="T1" s="456"/>
      <c r="U1" s="457"/>
      <c r="V1" s="458" t="s">
        <v>919</v>
      </c>
    </row>
    <row r="2" spans="1:23" s="244" customFormat="1" ht="21" customHeight="1" x14ac:dyDescent="0.15">
      <c r="A2" s="1026" t="s">
        <v>153</v>
      </c>
      <c r="B2" s="789" t="s">
        <v>288</v>
      </c>
      <c r="C2" s="790"/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  <c r="S2" s="790"/>
      <c r="T2" s="790"/>
      <c r="U2" s="790"/>
      <c r="V2" s="790"/>
      <c r="W2" s="1029" t="s">
        <v>72</v>
      </c>
    </row>
    <row r="3" spans="1:23" s="244" customFormat="1" ht="21" customHeight="1" x14ac:dyDescent="0.15">
      <c r="A3" s="1027"/>
      <c r="B3" s="1032" t="s">
        <v>707</v>
      </c>
      <c r="C3" s="789" t="s">
        <v>244</v>
      </c>
      <c r="D3" s="790"/>
      <c r="E3" s="790"/>
      <c r="F3" s="790"/>
      <c r="G3" s="790"/>
      <c r="H3" s="790"/>
      <c r="I3" s="790"/>
      <c r="J3" s="790"/>
      <c r="K3" s="790"/>
      <c r="L3" s="790"/>
      <c r="M3" s="790"/>
      <c r="N3" s="790"/>
      <c r="O3" s="790"/>
      <c r="P3" s="790"/>
      <c r="Q3" s="790"/>
      <c r="R3" s="790"/>
      <c r="S3" s="790"/>
      <c r="T3" s="790"/>
      <c r="U3" s="790"/>
      <c r="V3" s="790"/>
      <c r="W3" s="1030"/>
    </row>
    <row r="4" spans="1:23" s="244" customFormat="1" ht="52.5" customHeight="1" x14ac:dyDescent="0.15">
      <c r="A4" s="1028"/>
      <c r="B4" s="1033"/>
      <c r="C4" s="530" t="s">
        <v>920</v>
      </c>
      <c r="D4" s="245" t="s">
        <v>235</v>
      </c>
      <c r="E4" s="245" t="s">
        <v>921</v>
      </c>
      <c r="F4" s="245" t="s">
        <v>250</v>
      </c>
      <c r="G4" s="245" t="s">
        <v>256</v>
      </c>
      <c r="H4" s="245" t="s">
        <v>301</v>
      </c>
      <c r="I4" s="245" t="s">
        <v>255</v>
      </c>
      <c r="J4" s="245" t="s">
        <v>234</v>
      </c>
      <c r="K4" s="245" t="s">
        <v>233</v>
      </c>
      <c r="L4" s="245" t="s">
        <v>232</v>
      </c>
      <c r="M4" s="245" t="s">
        <v>282</v>
      </c>
      <c r="N4" s="245" t="s">
        <v>231</v>
      </c>
      <c r="O4" s="245" t="s">
        <v>260</v>
      </c>
      <c r="P4" s="245" t="s">
        <v>281</v>
      </c>
      <c r="Q4" s="245" t="s">
        <v>280</v>
      </c>
      <c r="R4" s="245" t="s">
        <v>534</v>
      </c>
      <c r="S4" s="245" t="s">
        <v>243</v>
      </c>
      <c r="T4" s="245" t="s">
        <v>242</v>
      </c>
      <c r="U4" s="245" t="s">
        <v>241</v>
      </c>
      <c r="V4" s="247" t="s">
        <v>230</v>
      </c>
      <c r="W4" s="1031"/>
    </row>
    <row r="5" spans="1:23" s="241" customFormat="1" ht="9.75" customHeight="1" x14ac:dyDescent="0.15">
      <c r="A5" s="645" t="s">
        <v>831</v>
      </c>
      <c r="B5" s="792">
        <v>34955953</v>
      </c>
      <c r="C5" s="793">
        <v>27207175</v>
      </c>
      <c r="D5" s="793">
        <v>8750545</v>
      </c>
      <c r="E5" s="793">
        <v>520309</v>
      </c>
      <c r="F5" s="793">
        <v>82439</v>
      </c>
      <c r="G5" s="793">
        <v>26763</v>
      </c>
      <c r="H5" s="793" t="s">
        <v>796</v>
      </c>
      <c r="I5" s="793">
        <v>91836</v>
      </c>
      <c r="J5" s="793">
        <v>335606</v>
      </c>
      <c r="K5" s="793">
        <v>514310</v>
      </c>
      <c r="L5" s="793">
        <v>122549</v>
      </c>
      <c r="M5" s="793">
        <v>21661</v>
      </c>
      <c r="N5" s="793" t="s">
        <v>796</v>
      </c>
      <c r="O5" s="793">
        <v>1882304</v>
      </c>
      <c r="P5" s="793">
        <v>14825</v>
      </c>
      <c r="Q5" s="793">
        <v>30593</v>
      </c>
      <c r="R5" s="793">
        <v>91803</v>
      </c>
      <c r="S5" s="793">
        <v>939424</v>
      </c>
      <c r="T5" s="793">
        <v>1222091</v>
      </c>
      <c r="U5" s="793">
        <v>2044535</v>
      </c>
      <c r="V5" s="793">
        <v>5859243</v>
      </c>
      <c r="W5" s="794" t="s">
        <v>517</v>
      </c>
    </row>
    <row r="6" spans="1:23" s="241" customFormat="1" ht="9.75" customHeight="1" x14ac:dyDescent="0.15">
      <c r="A6" s="448" t="s">
        <v>557</v>
      </c>
      <c r="B6" s="241">
        <v>39136664</v>
      </c>
      <c r="C6" s="241">
        <v>30987931</v>
      </c>
      <c r="D6" s="241">
        <v>9254242</v>
      </c>
      <c r="E6" s="241">
        <v>687661</v>
      </c>
      <c r="F6" s="241" t="s">
        <v>796</v>
      </c>
      <c r="G6" s="241" t="s">
        <v>796</v>
      </c>
      <c r="H6" s="241" t="s">
        <v>796</v>
      </c>
      <c r="I6" s="241">
        <v>145148</v>
      </c>
      <c r="J6" s="241">
        <v>509738</v>
      </c>
      <c r="K6" s="241">
        <v>1169575</v>
      </c>
      <c r="L6" s="241">
        <v>235299</v>
      </c>
      <c r="M6" s="241" t="s">
        <v>796</v>
      </c>
      <c r="N6" s="241" t="s">
        <v>796</v>
      </c>
      <c r="O6" s="241">
        <v>1562807</v>
      </c>
      <c r="P6" s="241" t="s">
        <v>796</v>
      </c>
      <c r="Q6" s="241">
        <v>11553</v>
      </c>
      <c r="R6" s="241">
        <v>103033</v>
      </c>
      <c r="S6" s="241">
        <v>1268082</v>
      </c>
      <c r="T6" s="241">
        <v>2325577</v>
      </c>
      <c r="U6" s="241">
        <v>2172238</v>
      </c>
      <c r="V6" s="241">
        <v>5185461</v>
      </c>
      <c r="W6" s="242" t="s">
        <v>558</v>
      </c>
    </row>
    <row r="7" spans="1:23" s="241" customFormat="1" ht="9.75" customHeight="1" x14ac:dyDescent="0.15">
      <c r="A7" s="448" t="s">
        <v>682</v>
      </c>
      <c r="B7" s="241">
        <v>32841517</v>
      </c>
      <c r="C7" s="241">
        <v>27309477</v>
      </c>
      <c r="D7" s="241">
        <v>7113643</v>
      </c>
      <c r="E7" s="241">
        <v>413586</v>
      </c>
      <c r="F7" s="241">
        <v>154064</v>
      </c>
      <c r="G7" s="241" t="s">
        <v>796</v>
      </c>
      <c r="H7" s="241" t="s">
        <v>796</v>
      </c>
      <c r="I7" s="241">
        <v>85698</v>
      </c>
      <c r="J7" s="241">
        <v>1233568</v>
      </c>
      <c r="K7" s="241">
        <v>1201128</v>
      </c>
      <c r="L7" s="241" t="s">
        <v>796</v>
      </c>
      <c r="M7" s="241" t="s">
        <v>796</v>
      </c>
      <c r="N7" s="241">
        <v>7487</v>
      </c>
      <c r="O7" s="241">
        <v>688517</v>
      </c>
      <c r="P7" s="241">
        <v>93614</v>
      </c>
      <c r="Q7" s="241" t="s">
        <v>796</v>
      </c>
      <c r="R7" s="241" t="s">
        <v>796</v>
      </c>
      <c r="S7" s="241">
        <v>1110367</v>
      </c>
      <c r="T7" s="241">
        <v>1864046</v>
      </c>
      <c r="U7" s="241">
        <v>2328791</v>
      </c>
      <c r="V7" s="241">
        <v>4508497</v>
      </c>
      <c r="W7" s="242" t="s">
        <v>683</v>
      </c>
    </row>
    <row r="8" spans="1:23" s="241" customFormat="1" ht="9.75" customHeight="1" x14ac:dyDescent="0.15">
      <c r="A8" s="448" t="s">
        <v>784</v>
      </c>
      <c r="B8" s="241">
        <v>32531948</v>
      </c>
      <c r="C8" s="241">
        <v>28986476</v>
      </c>
      <c r="D8" s="241">
        <v>8266456</v>
      </c>
      <c r="E8" s="241">
        <v>706234</v>
      </c>
      <c r="F8" s="241">
        <v>35881</v>
      </c>
      <c r="G8" s="241" t="s">
        <v>796</v>
      </c>
      <c r="H8" s="241" t="s">
        <v>796</v>
      </c>
      <c r="I8" s="241">
        <v>288223</v>
      </c>
      <c r="J8" s="241">
        <v>406123</v>
      </c>
      <c r="K8" s="241">
        <v>370581</v>
      </c>
      <c r="L8" s="241" t="s">
        <v>796</v>
      </c>
      <c r="M8" s="241" t="s">
        <v>796</v>
      </c>
      <c r="N8" s="241" t="s">
        <v>796</v>
      </c>
      <c r="O8" s="241">
        <v>208016</v>
      </c>
      <c r="P8" s="241" t="s">
        <v>796</v>
      </c>
      <c r="Q8" s="241" t="s">
        <v>796</v>
      </c>
      <c r="R8" s="241">
        <v>58686</v>
      </c>
      <c r="S8" s="241">
        <v>1095838</v>
      </c>
      <c r="T8" s="241">
        <v>1560962</v>
      </c>
      <c r="U8" s="241">
        <v>3716945</v>
      </c>
      <c r="V8" s="241">
        <v>5134118</v>
      </c>
      <c r="W8" s="242" t="s">
        <v>785</v>
      </c>
    </row>
    <row r="9" spans="1:23" s="241" customFormat="1" ht="9.75" customHeight="1" x14ac:dyDescent="0.15">
      <c r="A9" s="448" t="s">
        <v>832</v>
      </c>
      <c r="B9" s="241">
        <v>33128837</v>
      </c>
      <c r="C9" s="241">
        <v>30352731</v>
      </c>
      <c r="D9" s="241">
        <v>11083887</v>
      </c>
      <c r="E9" s="241">
        <v>876163</v>
      </c>
      <c r="F9" s="241">
        <v>136904</v>
      </c>
      <c r="G9" s="241" t="s">
        <v>796</v>
      </c>
      <c r="H9" s="241" t="s">
        <v>796</v>
      </c>
      <c r="I9" s="241">
        <v>129340</v>
      </c>
      <c r="J9" s="241">
        <v>344900</v>
      </c>
      <c r="K9" s="241">
        <v>90942</v>
      </c>
      <c r="L9" s="241">
        <v>13056</v>
      </c>
      <c r="M9" s="241" t="s">
        <v>796</v>
      </c>
      <c r="N9" s="241" t="s">
        <v>796</v>
      </c>
      <c r="O9" s="241">
        <v>316215</v>
      </c>
      <c r="P9" s="241" t="s">
        <v>796</v>
      </c>
      <c r="Q9" s="241" t="s">
        <v>796</v>
      </c>
      <c r="R9" s="241">
        <v>31827</v>
      </c>
      <c r="S9" s="241">
        <v>438503</v>
      </c>
      <c r="T9" s="241">
        <v>720274</v>
      </c>
      <c r="U9" s="241">
        <v>4998968</v>
      </c>
      <c r="V9" s="241">
        <v>3967676</v>
      </c>
      <c r="W9" s="242" t="s">
        <v>833</v>
      </c>
    </row>
    <row r="10" spans="1:23" s="241" customFormat="1" ht="6.75" customHeight="1" x14ac:dyDescent="0.15">
      <c r="A10" s="464"/>
      <c r="W10" s="242"/>
    </row>
    <row r="11" spans="1:23" s="241" customFormat="1" ht="9.75" customHeight="1" x14ac:dyDescent="0.15">
      <c r="A11" s="448" t="s">
        <v>834</v>
      </c>
      <c r="B11" s="241">
        <v>32269085</v>
      </c>
      <c r="C11" s="241">
        <v>28941880</v>
      </c>
      <c r="D11" s="241">
        <v>8749615</v>
      </c>
      <c r="E11" s="241">
        <v>594762</v>
      </c>
      <c r="F11" s="241">
        <v>35881</v>
      </c>
      <c r="G11" s="241" t="s">
        <v>796</v>
      </c>
      <c r="H11" s="241" t="s">
        <v>796</v>
      </c>
      <c r="I11" s="241">
        <v>265732</v>
      </c>
      <c r="J11" s="241">
        <v>162591</v>
      </c>
      <c r="K11" s="241">
        <v>119488</v>
      </c>
      <c r="L11" s="241" t="s">
        <v>796</v>
      </c>
      <c r="M11" s="241" t="s">
        <v>796</v>
      </c>
      <c r="N11" s="241" t="s">
        <v>796</v>
      </c>
      <c r="O11" s="241">
        <v>214126</v>
      </c>
      <c r="P11" s="241" t="s">
        <v>796</v>
      </c>
      <c r="Q11" s="241" t="s">
        <v>796</v>
      </c>
      <c r="R11" s="241">
        <v>58686</v>
      </c>
      <c r="S11" s="241">
        <v>1010193</v>
      </c>
      <c r="T11" s="241">
        <v>1191888</v>
      </c>
      <c r="U11" s="241">
        <v>4237665</v>
      </c>
      <c r="V11" s="241">
        <v>4988690</v>
      </c>
      <c r="W11" s="242" t="s">
        <v>786</v>
      </c>
    </row>
    <row r="12" spans="1:23" s="241" customFormat="1" ht="9.75" customHeight="1" x14ac:dyDescent="0.15">
      <c r="A12" s="448" t="s">
        <v>835</v>
      </c>
      <c r="B12" s="241">
        <v>33820231</v>
      </c>
      <c r="C12" s="241">
        <v>31100203</v>
      </c>
      <c r="D12" s="241">
        <v>11512666</v>
      </c>
      <c r="E12" s="241">
        <v>1229514</v>
      </c>
      <c r="F12" s="241">
        <v>280002</v>
      </c>
      <c r="G12" s="241" t="s">
        <v>796</v>
      </c>
      <c r="H12" s="241">
        <v>27307</v>
      </c>
      <c r="I12" s="241">
        <v>142734</v>
      </c>
      <c r="J12" s="241">
        <v>354997</v>
      </c>
      <c r="K12" s="241">
        <v>62673</v>
      </c>
      <c r="L12" s="241">
        <v>13056</v>
      </c>
      <c r="M12" s="241" t="s">
        <v>796</v>
      </c>
      <c r="N12" s="241" t="s">
        <v>796</v>
      </c>
      <c r="O12" s="241">
        <v>499184</v>
      </c>
      <c r="P12" s="241" t="s">
        <v>796</v>
      </c>
      <c r="Q12" s="241" t="s">
        <v>796</v>
      </c>
      <c r="R12" s="241">
        <v>61434</v>
      </c>
      <c r="S12" s="241">
        <v>600289</v>
      </c>
      <c r="T12" s="241">
        <v>436885</v>
      </c>
      <c r="U12" s="241">
        <v>4483297</v>
      </c>
      <c r="V12" s="241">
        <v>4057900</v>
      </c>
      <c r="W12" s="242" t="s">
        <v>836</v>
      </c>
    </row>
    <row r="13" spans="1:23" s="241" customFormat="1" ht="6.75" customHeight="1" x14ac:dyDescent="0.15">
      <c r="A13" s="464"/>
      <c r="W13" s="242"/>
    </row>
    <row r="14" spans="1:23" s="241" customFormat="1" ht="9.75" customHeight="1" x14ac:dyDescent="0.15">
      <c r="A14" s="448" t="s">
        <v>837</v>
      </c>
      <c r="B14" s="241">
        <v>7803218</v>
      </c>
      <c r="C14" s="241">
        <v>7181986</v>
      </c>
      <c r="D14" s="241">
        <v>2175695</v>
      </c>
      <c r="E14" s="241">
        <v>164663</v>
      </c>
      <c r="F14" s="241" t="s">
        <v>796</v>
      </c>
      <c r="G14" s="241" t="s">
        <v>796</v>
      </c>
      <c r="H14" s="241" t="s">
        <v>796</v>
      </c>
      <c r="I14" s="241">
        <v>26769</v>
      </c>
      <c r="J14" s="241" t="s">
        <v>796</v>
      </c>
      <c r="K14" s="241">
        <v>31664</v>
      </c>
      <c r="L14" s="241" t="s">
        <v>796</v>
      </c>
      <c r="M14" s="241" t="s">
        <v>796</v>
      </c>
      <c r="N14" s="241" t="s">
        <v>796</v>
      </c>
      <c r="O14" s="241">
        <v>46292</v>
      </c>
      <c r="P14" s="241" t="s">
        <v>796</v>
      </c>
      <c r="Q14" s="241" t="s">
        <v>796</v>
      </c>
      <c r="R14" s="241" t="s">
        <v>796</v>
      </c>
      <c r="S14" s="241">
        <v>245688</v>
      </c>
      <c r="T14" s="241">
        <v>324951</v>
      </c>
      <c r="U14" s="241">
        <v>1437551</v>
      </c>
      <c r="V14" s="241">
        <v>1041969</v>
      </c>
      <c r="W14" s="242" t="s">
        <v>787</v>
      </c>
    </row>
    <row r="15" spans="1:23" s="241" customFormat="1" ht="9.75" customHeight="1" x14ac:dyDescent="0.15">
      <c r="A15" s="448" t="s">
        <v>559</v>
      </c>
      <c r="B15" s="241">
        <v>7662807</v>
      </c>
      <c r="C15" s="241">
        <v>7019080</v>
      </c>
      <c r="D15" s="241">
        <v>2403050</v>
      </c>
      <c r="E15" s="241">
        <v>175473</v>
      </c>
      <c r="F15" s="241">
        <v>59176</v>
      </c>
      <c r="G15" s="241" t="s">
        <v>796</v>
      </c>
      <c r="H15" s="241" t="s">
        <v>796</v>
      </c>
      <c r="I15" s="241">
        <v>51349</v>
      </c>
      <c r="J15" s="241">
        <v>4242</v>
      </c>
      <c r="K15" s="241">
        <v>3663</v>
      </c>
      <c r="L15" s="241">
        <v>13056</v>
      </c>
      <c r="M15" s="241" t="s">
        <v>796</v>
      </c>
      <c r="N15" s="241" t="s">
        <v>796</v>
      </c>
      <c r="O15" s="241">
        <v>101526</v>
      </c>
      <c r="P15" s="241" t="s">
        <v>796</v>
      </c>
      <c r="Q15" s="241" t="s">
        <v>796</v>
      </c>
      <c r="R15" s="241">
        <v>28689</v>
      </c>
      <c r="S15" s="241">
        <v>35427</v>
      </c>
      <c r="T15" s="241">
        <v>45174</v>
      </c>
      <c r="U15" s="241">
        <v>854642</v>
      </c>
      <c r="V15" s="241">
        <v>1017162</v>
      </c>
      <c r="W15" s="242" t="s">
        <v>78</v>
      </c>
    </row>
    <row r="16" spans="1:23" s="241" customFormat="1" ht="9.75" customHeight="1" x14ac:dyDescent="0.15">
      <c r="A16" s="448" t="s">
        <v>560</v>
      </c>
      <c r="B16" s="241">
        <v>9064982</v>
      </c>
      <c r="C16" s="241">
        <v>8232352</v>
      </c>
      <c r="D16" s="241">
        <v>3329699</v>
      </c>
      <c r="E16" s="241">
        <v>228818</v>
      </c>
      <c r="F16" s="241">
        <v>41437</v>
      </c>
      <c r="G16" s="241" t="s">
        <v>796</v>
      </c>
      <c r="H16" s="241" t="s">
        <v>796</v>
      </c>
      <c r="I16" s="241">
        <v>51222</v>
      </c>
      <c r="J16" s="241">
        <v>291356</v>
      </c>
      <c r="K16" s="241">
        <v>49573</v>
      </c>
      <c r="L16" s="241" t="s">
        <v>796</v>
      </c>
      <c r="M16" s="241" t="s">
        <v>796</v>
      </c>
      <c r="N16" s="241" t="s">
        <v>796</v>
      </c>
      <c r="O16" s="241">
        <v>111360</v>
      </c>
      <c r="P16" s="241" t="s">
        <v>796</v>
      </c>
      <c r="Q16" s="241" t="s">
        <v>796</v>
      </c>
      <c r="R16" s="241" t="s">
        <v>796</v>
      </c>
      <c r="S16" s="241">
        <v>80371</v>
      </c>
      <c r="T16" s="241">
        <v>241442</v>
      </c>
      <c r="U16" s="241">
        <v>1288676</v>
      </c>
      <c r="V16" s="241">
        <v>1007392</v>
      </c>
      <c r="W16" s="242" t="s">
        <v>79</v>
      </c>
    </row>
    <row r="17" spans="1:23" s="241" customFormat="1" ht="9.75" customHeight="1" x14ac:dyDescent="0.15">
      <c r="A17" s="448" t="s">
        <v>561</v>
      </c>
      <c r="B17" s="241">
        <v>8597830</v>
      </c>
      <c r="C17" s="241">
        <v>7919313</v>
      </c>
      <c r="D17" s="241">
        <v>3175443</v>
      </c>
      <c r="E17" s="241">
        <v>307209</v>
      </c>
      <c r="F17" s="241">
        <v>36291</v>
      </c>
      <c r="G17" s="241" t="s">
        <v>796</v>
      </c>
      <c r="H17" s="241" t="s">
        <v>796</v>
      </c>
      <c r="I17" s="241" t="s">
        <v>796</v>
      </c>
      <c r="J17" s="241">
        <v>49302</v>
      </c>
      <c r="K17" s="241">
        <v>6042</v>
      </c>
      <c r="L17" s="241" t="s">
        <v>796</v>
      </c>
      <c r="M17" s="241" t="s">
        <v>796</v>
      </c>
      <c r="N17" s="241" t="s">
        <v>796</v>
      </c>
      <c r="O17" s="241">
        <v>57037</v>
      </c>
      <c r="P17" s="241" t="s">
        <v>796</v>
      </c>
      <c r="Q17" s="241" t="s">
        <v>796</v>
      </c>
      <c r="R17" s="241">
        <v>3138</v>
      </c>
      <c r="S17" s="241">
        <v>77017</v>
      </c>
      <c r="T17" s="241">
        <v>108707</v>
      </c>
      <c r="U17" s="241">
        <v>1418099</v>
      </c>
      <c r="V17" s="241">
        <v>901153</v>
      </c>
      <c r="W17" s="242" t="s">
        <v>80</v>
      </c>
    </row>
    <row r="18" spans="1:23" s="241" customFormat="1" ht="9.75" customHeight="1" x14ac:dyDescent="0.15">
      <c r="A18" s="448" t="s">
        <v>838</v>
      </c>
      <c r="B18" s="241">
        <v>8494612</v>
      </c>
      <c r="C18" s="241">
        <v>7929458</v>
      </c>
      <c r="D18" s="241">
        <v>2604474</v>
      </c>
      <c r="E18" s="241">
        <v>518014</v>
      </c>
      <c r="F18" s="241">
        <v>143098</v>
      </c>
      <c r="G18" s="241" t="s">
        <v>796</v>
      </c>
      <c r="H18" s="241">
        <v>27307</v>
      </c>
      <c r="I18" s="241">
        <v>40163</v>
      </c>
      <c r="J18" s="241">
        <v>10097</v>
      </c>
      <c r="K18" s="241">
        <v>3395</v>
      </c>
      <c r="L18" s="241" t="s">
        <v>796</v>
      </c>
      <c r="M18" s="241" t="s">
        <v>796</v>
      </c>
      <c r="N18" s="241" t="s">
        <v>796</v>
      </c>
      <c r="O18" s="241">
        <v>229261</v>
      </c>
      <c r="P18" s="241" t="s">
        <v>796</v>
      </c>
      <c r="Q18" s="241" t="s">
        <v>796</v>
      </c>
      <c r="R18" s="241">
        <v>29607</v>
      </c>
      <c r="S18" s="241">
        <v>407474</v>
      </c>
      <c r="T18" s="241">
        <v>41562</v>
      </c>
      <c r="U18" s="241">
        <v>921880</v>
      </c>
      <c r="V18" s="241">
        <v>1132193</v>
      </c>
      <c r="W18" s="242" t="s">
        <v>839</v>
      </c>
    </row>
    <row r="19" spans="1:23" s="241" customFormat="1" ht="6.75" customHeight="1" x14ac:dyDescent="0.15">
      <c r="A19" s="464"/>
      <c r="W19" s="242"/>
    </row>
    <row r="20" spans="1:23" s="241" customFormat="1" ht="9.75" customHeight="1" x14ac:dyDescent="0.15">
      <c r="A20" s="448" t="s">
        <v>840</v>
      </c>
      <c r="B20" s="241">
        <v>2811612</v>
      </c>
      <c r="C20" s="241">
        <v>2584744</v>
      </c>
      <c r="D20" s="241">
        <v>882084</v>
      </c>
      <c r="E20" s="241">
        <v>77650</v>
      </c>
      <c r="F20" s="241" t="s">
        <v>796</v>
      </c>
      <c r="G20" s="241" t="s">
        <v>796</v>
      </c>
      <c r="H20" s="241" t="s">
        <v>796</v>
      </c>
      <c r="I20" s="241" t="s">
        <v>796</v>
      </c>
      <c r="J20" s="241" t="s">
        <v>796</v>
      </c>
      <c r="K20" s="241">
        <v>31664</v>
      </c>
      <c r="L20" s="241" t="s">
        <v>796</v>
      </c>
      <c r="M20" s="241" t="s">
        <v>796</v>
      </c>
      <c r="N20" s="241" t="s">
        <v>796</v>
      </c>
      <c r="O20" s="241">
        <v>46292</v>
      </c>
      <c r="P20" s="241" t="s">
        <v>796</v>
      </c>
      <c r="Q20" s="241" t="s">
        <v>796</v>
      </c>
      <c r="R20" s="241" t="s">
        <v>796</v>
      </c>
      <c r="S20" s="241">
        <v>164938</v>
      </c>
      <c r="T20" s="241">
        <v>147867</v>
      </c>
      <c r="U20" s="241">
        <v>238862</v>
      </c>
      <c r="V20" s="241">
        <v>313694</v>
      </c>
      <c r="W20" s="242" t="s">
        <v>788</v>
      </c>
    </row>
    <row r="21" spans="1:23" s="241" customFormat="1" ht="9.75" customHeight="1" x14ac:dyDescent="0.15">
      <c r="A21" s="448" t="s">
        <v>562</v>
      </c>
      <c r="B21" s="241">
        <v>2502265</v>
      </c>
      <c r="C21" s="241">
        <v>2236247</v>
      </c>
      <c r="D21" s="241">
        <v>618120</v>
      </c>
      <c r="E21" s="241">
        <v>42865</v>
      </c>
      <c r="F21" s="241" t="s">
        <v>796</v>
      </c>
      <c r="G21" s="241" t="s">
        <v>796</v>
      </c>
      <c r="H21" s="241" t="s">
        <v>796</v>
      </c>
      <c r="I21" s="241" t="s">
        <v>796</v>
      </c>
      <c r="J21" s="241" t="s">
        <v>796</v>
      </c>
      <c r="K21" s="241" t="s">
        <v>796</v>
      </c>
      <c r="L21" s="241" t="s">
        <v>796</v>
      </c>
      <c r="M21" s="241" t="s">
        <v>796</v>
      </c>
      <c r="N21" s="241" t="s">
        <v>796</v>
      </c>
      <c r="O21" s="241" t="s">
        <v>796</v>
      </c>
      <c r="P21" s="241" t="s">
        <v>796</v>
      </c>
      <c r="Q21" s="241" t="s">
        <v>796</v>
      </c>
      <c r="R21" s="241" t="s">
        <v>796</v>
      </c>
      <c r="S21" s="241">
        <v>80750</v>
      </c>
      <c r="T21" s="241">
        <v>64915</v>
      </c>
      <c r="U21" s="241">
        <v>628251</v>
      </c>
      <c r="V21" s="241">
        <v>420954</v>
      </c>
      <c r="W21" s="242" t="s">
        <v>66</v>
      </c>
    </row>
    <row r="22" spans="1:23" s="241" customFormat="1" ht="9.75" customHeight="1" x14ac:dyDescent="0.15">
      <c r="A22" s="448" t="s">
        <v>563</v>
      </c>
      <c r="B22" s="241">
        <v>2489341</v>
      </c>
      <c r="C22" s="241">
        <v>2360995</v>
      </c>
      <c r="D22" s="241">
        <v>675491</v>
      </c>
      <c r="E22" s="241">
        <v>44148</v>
      </c>
      <c r="F22" s="241" t="s">
        <v>796</v>
      </c>
      <c r="G22" s="241" t="s">
        <v>796</v>
      </c>
      <c r="H22" s="241" t="s">
        <v>796</v>
      </c>
      <c r="I22" s="241">
        <v>26769</v>
      </c>
      <c r="J22" s="241" t="s">
        <v>796</v>
      </c>
      <c r="K22" s="241" t="s">
        <v>796</v>
      </c>
      <c r="L22" s="241" t="s">
        <v>796</v>
      </c>
      <c r="M22" s="241" t="s">
        <v>796</v>
      </c>
      <c r="N22" s="241" t="s">
        <v>796</v>
      </c>
      <c r="O22" s="241" t="s">
        <v>796</v>
      </c>
      <c r="P22" s="241" t="s">
        <v>796</v>
      </c>
      <c r="Q22" s="241" t="s">
        <v>796</v>
      </c>
      <c r="R22" s="241" t="s">
        <v>796</v>
      </c>
      <c r="S22" s="241" t="s">
        <v>796</v>
      </c>
      <c r="T22" s="241">
        <v>112169</v>
      </c>
      <c r="U22" s="241">
        <v>570438</v>
      </c>
      <c r="V22" s="241">
        <v>307321</v>
      </c>
      <c r="W22" s="242" t="s">
        <v>67</v>
      </c>
    </row>
    <row r="23" spans="1:23" s="241" customFormat="1" ht="9.75" customHeight="1" x14ac:dyDescent="0.15">
      <c r="A23" s="448" t="s">
        <v>564</v>
      </c>
      <c r="B23" s="241">
        <v>2569115</v>
      </c>
      <c r="C23" s="241">
        <v>2302989</v>
      </c>
      <c r="D23" s="241">
        <v>684572</v>
      </c>
      <c r="E23" s="241">
        <v>46365</v>
      </c>
      <c r="F23" s="241">
        <v>11924</v>
      </c>
      <c r="G23" s="241" t="s">
        <v>796</v>
      </c>
      <c r="H23" s="241" t="s">
        <v>796</v>
      </c>
      <c r="I23" s="241" t="s">
        <v>796</v>
      </c>
      <c r="J23" s="241" t="s">
        <v>796</v>
      </c>
      <c r="K23" s="241">
        <v>3663</v>
      </c>
      <c r="L23" s="241" t="s">
        <v>796</v>
      </c>
      <c r="M23" s="241" t="s">
        <v>796</v>
      </c>
      <c r="N23" s="241" t="s">
        <v>796</v>
      </c>
      <c r="O23" s="241">
        <v>50518</v>
      </c>
      <c r="P23" s="241" t="s">
        <v>796</v>
      </c>
      <c r="Q23" s="241" t="s">
        <v>796</v>
      </c>
      <c r="R23" s="241">
        <v>28689</v>
      </c>
      <c r="S23" s="241" t="s">
        <v>796</v>
      </c>
      <c r="T23" s="241" t="s">
        <v>796</v>
      </c>
      <c r="U23" s="241">
        <v>79680</v>
      </c>
      <c r="V23" s="241">
        <v>419719</v>
      </c>
      <c r="W23" s="242" t="s">
        <v>68</v>
      </c>
    </row>
    <row r="24" spans="1:23" s="241" customFormat="1" ht="9.75" customHeight="1" x14ac:dyDescent="0.15">
      <c r="A24" s="448" t="s">
        <v>565</v>
      </c>
      <c r="B24" s="241">
        <v>2500127</v>
      </c>
      <c r="C24" s="241">
        <v>2293069</v>
      </c>
      <c r="D24" s="241">
        <v>841755</v>
      </c>
      <c r="E24" s="241">
        <v>78056</v>
      </c>
      <c r="F24" s="241" t="s">
        <v>796</v>
      </c>
      <c r="G24" s="241" t="s">
        <v>796</v>
      </c>
      <c r="H24" s="241" t="s">
        <v>796</v>
      </c>
      <c r="I24" s="241" t="s">
        <v>796</v>
      </c>
      <c r="J24" s="241" t="s">
        <v>796</v>
      </c>
      <c r="K24" s="241" t="s">
        <v>796</v>
      </c>
      <c r="L24" s="241">
        <v>13056</v>
      </c>
      <c r="M24" s="241" t="s">
        <v>796</v>
      </c>
      <c r="N24" s="241" t="s">
        <v>796</v>
      </c>
      <c r="O24" s="241">
        <v>51008</v>
      </c>
      <c r="P24" s="241" t="s">
        <v>796</v>
      </c>
      <c r="Q24" s="241" t="s">
        <v>796</v>
      </c>
      <c r="R24" s="241" t="s">
        <v>796</v>
      </c>
      <c r="S24" s="241">
        <v>35427</v>
      </c>
      <c r="T24" s="241">
        <v>45174</v>
      </c>
      <c r="U24" s="241">
        <v>391595</v>
      </c>
      <c r="V24" s="241">
        <v>218895</v>
      </c>
      <c r="W24" s="242" t="s">
        <v>81</v>
      </c>
    </row>
    <row r="25" spans="1:23" s="241" customFormat="1" ht="9.75" customHeight="1" x14ac:dyDescent="0.15">
      <c r="A25" s="448" t="s">
        <v>566</v>
      </c>
      <c r="B25" s="241">
        <v>2593565</v>
      </c>
      <c r="C25" s="241">
        <v>2423022</v>
      </c>
      <c r="D25" s="241">
        <v>876723</v>
      </c>
      <c r="E25" s="241">
        <v>51052</v>
      </c>
      <c r="F25" s="241">
        <v>47252</v>
      </c>
      <c r="G25" s="241" t="s">
        <v>796</v>
      </c>
      <c r="H25" s="241" t="s">
        <v>796</v>
      </c>
      <c r="I25" s="241">
        <v>51349</v>
      </c>
      <c r="J25" s="241">
        <v>4242</v>
      </c>
      <c r="K25" s="241" t="s">
        <v>796</v>
      </c>
      <c r="L25" s="241" t="s">
        <v>796</v>
      </c>
      <c r="M25" s="241" t="s">
        <v>796</v>
      </c>
      <c r="N25" s="241" t="s">
        <v>796</v>
      </c>
      <c r="O25" s="241" t="s">
        <v>796</v>
      </c>
      <c r="P25" s="241" t="s">
        <v>796</v>
      </c>
      <c r="Q25" s="241" t="s">
        <v>796</v>
      </c>
      <c r="R25" s="241" t="s">
        <v>796</v>
      </c>
      <c r="S25" s="241" t="s">
        <v>796</v>
      </c>
      <c r="T25" s="241" t="s">
        <v>796</v>
      </c>
      <c r="U25" s="241">
        <v>383367</v>
      </c>
      <c r="V25" s="241">
        <v>378548</v>
      </c>
      <c r="W25" s="242" t="s">
        <v>82</v>
      </c>
    </row>
    <row r="26" spans="1:23" s="241" customFormat="1" ht="9.75" customHeight="1" x14ac:dyDescent="0.15">
      <c r="A26" s="448" t="s">
        <v>567</v>
      </c>
      <c r="B26" s="241">
        <v>2832883</v>
      </c>
      <c r="C26" s="241">
        <v>2510719</v>
      </c>
      <c r="D26" s="241">
        <v>1116475</v>
      </c>
      <c r="E26" s="241" t="s">
        <v>796</v>
      </c>
      <c r="F26" s="241" t="s">
        <v>796</v>
      </c>
      <c r="G26" s="241" t="s">
        <v>796</v>
      </c>
      <c r="H26" s="241" t="s">
        <v>796</v>
      </c>
      <c r="I26" s="241" t="s">
        <v>796</v>
      </c>
      <c r="J26" s="241" t="s">
        <v>796</v>
      </c>
      <c r="K26" s="241">
        <v>49573</v>
      </c>
      <c r="L26" s="241" t="s">
        <v>796</v>
      </c>
      <c r="M26" s="241" t="s">
        <v>796</v>
      </c>
      <c r="N26" s="241" t="s">
        <v>796</v>
      </c>
      <c r="O26" s="241" t="s">
        <v>796</v>
      </c>
      <c r="P26" s="241" t="s">
        <v>796</v>
      </c>
      <c r="Q26" s="241" t="s">
        <v>796</v>
      </c>
      <c r="R26" s="241" t="s">
        <v>796</v>
      </c>
      <c r="S26" s="241" t="s">
        <v>796</v>
      </c>
      <c r="T26" s="241">
        <v>79187</v>
      </c>
      <c r="U26" s="241">
        <v>421639</v>
      </c>
      <c r="V26" s="241">
        <v>417864</v>
      </c>
      <c r="W26" s="242" t="s">
        <v>83</v>
      </c>
    </row>
    <row r="27" spans="1:23" s="241" customFormat="1" ht="9.75" customHeight="1" x14ac:dyDescent="0.15">
      <c r="A27" s="448" t="s">
        <v>568</v>
      </c>
      <c r="B27" s="241">
        <v>3214246</v>
      </c>
      <c r="C27" s="241">
        <v>2918235</v>
      </c>
      <c r="D27" s="241">
        <v>1239501</v>
      </c>
      <c r="E27" s="241">
        <v>147912</v>
      </c>
      <c r="F27" s="241" t="s">
        <v>796</v>
      </c>
      <c r="G27" s="241" t="s">
        <v>796</v>
      </c>
      <c r="H27" s="241" t="s">
        <v>796</v>
      </c>
      <c r="I27" s="241" t="s">
        <v>796</v>
      </c>
      <c r="J27" s="241">
        <v>124166</v>
      </c>
      <c r="K27" s="241" t="s">
        <v>796</v>
      </c>
      <c r="L27" s="241" t="s">
        <v>796</v>
      </c>
      <c r="M27" s="241" t="s">
        <v>796</v>
      </c>
      <c r="N27" s="241" t="s">
        <v>796</v>
      </c>
      <c r="O27" s="241">
        <v>79340</v>
      </c>
      <c r="P27" s="241" t="s">
        <v>796</v>
      </c>
      <c r="Q27" s="241" t="s">
        <v>796</v>
      </c>
      <c r="R27" s="241" t="s">
        <v>796</v>
      </c>
      <c r="S27" s="241" t="s">
        <v>796</v>
      </c>
      <c r="T27" s="241" t="s">
        <v>796</v>
      </c>
      <c r="U27" s="241">
        <v>510193</v>
      </c>
      <c r="V27" s="241">
        <v>301731</v>
      </c>
      <c r="W27" s="242" t="s">
        <v>84</v>
      </c>
    </row>
    <row r="28" spans="1:23" s="241" customFormat="1" ht="9.75" customHeight="1" x14ac:dyDescent="0.15">
      <c r="A28" s="448" t="s">
        <v>569</v>
      </c>
      <c r="B28" s="241">
        <v>3017853</v>
      </c>
      <c r="C28" s="241">
        <v>2803398</v>
      </c>
      <c r="D28" s="241">
        <v>973723</v>
      </c>
      <c r="E28" s="241">
        <v>80906</v>
      </c>
      <c r="F28" s="241">
        <v>41437</v>
      </c>
      <c r="G28" s="241" t="s">
        <v>796</v>
      </c>
      <c r="H28" s="241" t="s">
        <v>796</v>
      </c>
      <c r="I28" s="241">
        <v>51222</v>
      </c>
      <c r="J28" s="241">
        <v>167190</v>
      </c>
      <c r="K28" s="241" t="s">
        <v>796</v>
      </c>
      <c r="L28" s="241" t="s">
        <v>796</v>
      </c>
      <c r="M28" s="241" t="s">
        <v>796</v>
      </c>
      <c r="N28" s="241" t="s">
        <v>796</v>
      </c>
      <c r="O28" s="241">
        <v>32020</v>
      </c>
      <c r="P28" s="241" t="s">
        <v>796</v>
      </c>
      <c r="Q28" s="241" t="s">
        <v>796</v>
      </c>
      <c r="R28" s="241" t="s">
        <v>796</v>
      </c>
      <c r="S28" s="241">
        <v>80371</v>
      </c>
      <c r="T28" s="241">
        <v>162255</v>
      </c>
      <c r="U28" s="241">
        <v>356844</v>
      </c>
      <c r="V28" s="241">
        <v>287797</v>
      </c>
      <c r="W28" s="242" t="s">
        <v>85</v>
      </c>
    </row>
    <row r="29" spans="1:23" s="241" customFormat="1" ht="9.75" customHeight="1" x14ac:dyDescent="0.15">
      <c r="A29" s="448" t="s">
        <v>570</v>
      </c>
      <c r="B29" s="241">
        <v>2656336</v>
      </c>
      <c r="C29" s="241">
        <v>2428906</v>
      </c>
      <c r="D29" s="241">
        <v>1253650</v>
      </c>
      <c r="E29" s="241">
        <v>48371</v>
      </c>
      <c r="F29" s="241">
        <v>36291</v>
      </c>
      <c r="G29" s="241" t="s">
        <v>796</v>
      </c>
      <c r="H29" s="241" t="s">
        <v>796</v>
      </c>
      <c r="I29" s="241" t="s">
        <v>796</v>
      </c>
      <c r="J29" s="241">
        <v>49302</v>
      </c>
      <c r="K29" s="241">
        <v>6042</v>
      </c>
      <c r="L29" s="241" t="s">
        <v>796</v>
      </c>
      <c r="M29" s="241" t="s">
        <v>796</v>
      </c>
      <c r="N29" s="241" t="s">
        <v>796</v>
      </c>
      <c r="O29" s="241">
        <v>24508</v>
      </c>
      <c r="P29" s="241" t="s">
        <v>796</v>
      </c>
      <c r="Q29" s="241" t="s">
        <v>796</v>
      </c>
      <c r="R29" s="241" t="s">
        <v>796</v>
      </c>
      <c r="S29" s="241" t="s">
        <v>796</v>
      </c>
      <c r="T29" s="241">
        <v>61074</v>
      </c>
      <c r="U29" s="241">
        <v>178911</v>
      </c>
      <c r="V29" s="241">
        <v>183775</v>
      </c>
      <c r="W29" s="242" t="s">
        <v>69</v>
      </c>
    </row>
    <row r="30" spans="1:23" s="241" customFormat="1" ht="9.75" customHeight="1" x14ac:dyDescent="0.15">
      <c r="A30" s="448" t="s">
        <v>571</v>
      </c>
      <c r="B30" s="241">
        <v>2936557</v>
      </c>
      <c r="C30" s="241">
        <v>2797866</v>
      </c>
      <c r="D30" s="241">
        <v>946365</v>
      </c>
      <c r="E30" s="241">
        <v>79297</v>
      </c>
      <c r="F30" s="241" t="s">
        <v>796</v>
      </c>
      <c r="G30" s="241" t="s">
        <v>796</v>
      </c>
      <c r="H30" s="241" t="s">
        <v>796</v>
      </c>
      <c r="I30" s="241" t="s">
        <v>796</v>
      </c>
      <c r="J30" s="241" t="s">
        <v>796</v>
      </c>
      <c r="K30" s="241" t="s">
        <v>796</v>
      </c>
      <c r="L30" s="241" t="s">
        <v>796</v>
      </c>
      <c r="M30" s="241" t="s">
        <v>796</v>
      </c>
      <c r="N30" s="241" t="s">
        <v>796</v>
      </c>
      <c r="O30" s="241">
        <v>32529</v>
      </c>
      <c r="P30" s="241" t="s">
        <v>796</v>
      </c>
      <c r="Q30" s="241" t="s">
        <v>796</v>
      </c>
      <c r="R30" s="241" t="s">
        <v>796</v>
      </c>
      <c r="S30" s="241">
        <v>77017</v>
      </c>
      <c r="T30" s="241" t="s">
        <v>796</v>
      </c>
      <c r="U30" s="241">
        <v>733337</v>
      </c>
      <c r="V30" s="241">
        <v>431270</v>
      </c>
      <c r="W30" s="242" t="s">
        <v>70</v>
      </c>
    </row>
    <row r="31" spans="1:23" s="241" customFormat="1" ht="9.75" customHeight="1" x14ac:dyDescent="0.15">
      <c r="A31" s="448" t="s">
        <v>572</v>
      </c>
      <c r="B31" s="241">
        <v>3004937</v>
      </c>
      <c r="C31" s="241">
        <v>2692541</v>
      </c>
      <c r="D31" s="241">
        <v>975428</v>
      </c>
      <c r="E31" s="241">
        <v>179541</v>
      </c>
      <c r="F31" s="241" t="s">
        <v>796</v>
      </c>
      <c r="G31" s="241" t="s">
        <v>796</v>
      </c>
      <c r="H31" s="241" t="s">
        <v>796</v>
      </c>
      <c r="I31" s="241" t="s">
        <v>796</v>
      </c>
      <c r="J31" s="241" t="s">
        <v>796</v>
      </c>
      <c r="K31" s="241" t="s">
        <v>796</v>
      </c>
      <c r="L31" s="241" t="s">
        <v>796</v>
      </c>
      <c r="M31" s="241" t="s">
        <v>796</v>
      </c>
      <c r="N31" s="241" t="s">
        <v>796</v>
      </c>
      <c r="O31" s="241" t="s">
        <v>796</v>
      </c>
      <c r="P31" s="241" t="s">
        <v>796</v>
      </c>
      <c r="Q31" s="241" t="s">
        <v>796</v>
      </c>
      <c r="R31" s="241">
        <v>3138</v>
      </c>
      <c r="S31" s="241" t="s">
        <v>796</v>
      </c>
      <c r="T31" s="241">
        <v>47633</v>
      </c>
      <c r="U31" s="241">
        <v>505851</v>
      </c>
      <c r="V31" s="241">
        <v>286108</v>
      </c>
      <c r="W31" s="242" t="s">
        <v>71</v>
      </c>
    </row>
    <row r="32" spans="1:23" s="241" customFormat="1" ht="9.75" customHeight="1" x14ac:dyDescent="0.15">
      <c r="A32" s="448" t="s">
        <v>841</v>
      </c>
      <c r="B32" s="241">
        <v>2990794</v>
      </c>
      <c r="C32" s="241">
        <v>2683061</v>
      </c>
      <c r="D32" s="241">
        <v>947247</v>
      </c>
      <c r="E32" s="241">
        <v>104763</v>
      </c>
      <c r="F32" s="241">
        <v>57839</v>
      </c>
      <c r="G32" s="241" t="s">
        <v>796</v>
      </c>
      <c r="H32" s="241">
        <v>27307</v>
      </c>
      <c r="I32" s="241">
        <v>40163</v>
      </c>
      <c r="J32" s="241">
        <v>779</v>
      </c>
      <c r="K32" s="241">
        <v>3395</v>
      </c>
      <c r="L32" s="241" t="s">
        <v>796</v>
      </c>
      <c r="M32" s="241" t="s">
        <v>796</v>
      </c>
      <c r="N32" s="241" t="s">
        <v>796</v>
      </c>
      <c r="O32" s="241">
        <v>17275</v>
      </c>
      <c r="P32" s="241" t="s">
        <v>796</v>
      </c>
      <c r="Q32" s="241" t="s">
        <v>796</v>
      </c>
      <c r="R32" s="241">
        <v>29607</v>
      </c>
      <c r="S32" s="241">
        <v>109126</v>
      </c>
      <c r="T32" s="241" t="s">
        <v>796</v>
      </c>
      <c r="U32" s="241">
        <v>353223</v>
      </c>
      <c r="V32" s="241">
        <v>314372</v>
      </c>
      <c r="W32" s="242" t="s">
        <v>842</v>
      </c>
    </row>
    <row r="33" spans="1:23" s="241" customFormat="1" ht="9.75" customHeight="1" x14ac:dyDescent="0.15">
      <c r="A33" s="448" t="s">
        <v>573</v>
      </c>
      <c r="B33" s="241">
        <v>2543812</v>
      </c>
      <c r="C33" s="241">
        <v>2440641</v>
      </c>
      <c r="D33" s="241">
        <v>874294</v>
      </c>
      <c r="E33" s="241">
        <v>192890</v>
      </c>
      <c r="F33" s="241">
        <v>15103</v>
      </c>
      <c r="G33" s="241" t="s">
        <v>796</v>
      </c>
      <c r="H33" s="241" t="s">
        <v>796</v>
      </c>
      <c r="I33" s="241" t="s">
        <v>796</v>
      </c>
      <c r="J33" s="241">
        <v>22</v>
      </c>
      <c r="K33" s="241" t="s">
        <v>796</v>
      </c>
      <c r="L33" s="241" t="s">
        <v>796</v>
      </c>
      <c r="M33" s="241" t="s">
        <v>796</v>
      </c>
      <c r="N33" s="241" t="s">
        <v>796</v>
      </c>
      <c r="O33" s="241">
        <v>128623</v>
      </c>
      <c r="P33" s="241" t="s">
        <v>796</v>
      </c>
      <c r="Q33" s="241" t="s">
        <v>796</v>
      </c>
      <c r="R33" s="241" t="s">
        <v>796</v>
      </c>
      <c r="S33" s="241">
        <v>134262</v>
      </c>
      <c r="T33" s="241" t="s">
        <v>796</v>
      </c>
      <c r="U33" s="241">
        <v>427652</v>
      </c>
      <c r="V33" s="241">
        <v>274655</v>
      </c>
      <c r="W33" s="242" t="s">
        <v>66</v>
      </c>
    </row>
    <row r="34" spans="1:23" s="241" customFormat="1" ht="9.75" customHeight="1" x14ac:dyDescent="0.15">
      <c r="A34" s="795" t="s">
        <v>574</v>
      </c>
      <c r="B34" s="796">
        <v>2960006</v>
      </c>
      <c r="C34" s="797">
        <v>2805756</v>
      </c>
      <c r="D34" s="797">
        <v>782933</v>
      </c>
      <c r="E34" s="797">
        <v>220361</v>
      </c>
      <c r="F34" s="797">
        <v>70156</v>
      </c>
      <c r="G34" s="797" t="s">
        <v>796</v>
      </c>
      <c r="H34" s="797" t="s">
        <v>796</v>
      </c>
      <c r="I34" s="797" t="s">
        <v>796</v>
      </c>
      <c r="J34" s="797">
        <v>9296</v>
      </c>
      <c r="K34" s="797" t="s">
        <v>796</v>
      </c>
      <c r="L34" s="797" t="s">
        <v>796</v>
      </c>
      <c r="M34" s="797" t="s">
        <v>796</v>
      </c>
      <c r="N34" s="797" t="s">
        <v>796</v>
      </c>
      <c r="O34" s="797">
        <v>83363</v>
      </c>
      <c r="P34" s="797" t="s">
        <v>796</v>
      </c>
      <c r="Q34" s="797" t="s">
        <v>796</v>
      </c>
      <c r="R34" s="797" t="s">
        <v>796</v>
      </c>
      <c r="S34" s="797">
        <v>164086</v>
      </c>
      <c r="T34" s="797">
        <v>41562</v>
      </c>
      <c r="U34" s="797">
        <v>141005</v>
      </c>
      <c r="V34" s="797">
        <v>543166</v>
      </c>
      <c r="W34" s="798" t="s">
        <v>67</v>
      </c>
    </row>
    <row r="35" spans="1:23" ht="12" customHeight="1" x14ac:dyDescent="0.15"/>
    <row r="36" spans="1:23" ht="12" customHeight="1" x14ac:dyDescent="0.15"/>
    <row r="37" spans="1:23" ht="12" customHeight="1" x14ac:dyDescent="0.15">
      <c r="K37" s="246" t="s">
        <v>86</v>
      </c>
    </row>
    <row r="38" spans="1:23" s="244" customFormat="1" ht="21" customHeight="1" x14ac:dyDescent="0.15">
      <c r="A38" s="1026" t="s">
        <v>153</v>
      </c>
      <c r="B38" s="799" t="s">
        <v>287</v>
      </c>
      <c r="C38" s="790"/>
      <c r="D38" s="790"/>
      <c r="E38" s="790"/>
      <c r="F38" s="790"/>
      <c r="G38" s="790"/>
      <c r="H38" s="790"/>
      <c r="I38" s="790"/>
      <c r="J38" s="790"/>
      <c r="K38" s="790"/>
      <c r="L38" s="790"/>
      <c r="M38" s="790"/>
      <c r="N38" s="790"/>
      <c r="O38" s="790"/>
      <c r="P38" s="790"/>
      <c r="Q38" s="790"/>
      <c r="R38" s="790"/>
      <c r="S38" s="790"/>
      <c r="T38" s="790"/>
      <c r="U38" s="790"/>
      <c r="V38" s="790"/>
      <c r="W38" s="1029" t="s">
        <v>72</v>
      </c>
    </row>
    <row r="39" spans="1:23" s="244" customFormat="1" ht="21" customHeight="1" x14ac:dyDescent="0.15">
      <c r="A39" s="1027"/>
      <c r="B39" s="799" t="s">
        <v>239</v>
      </c>
      <c r="C39" s="788"/>
      <c r="D39" s="789" t="s">
        <v>238</v>
      </c>
      <c r="E39" s="790"/>
      <c r="F39" s="790"/>
      <c r="G39" s="790"/>
      <c r="H39" s="790"/>
      <c r="I39" s="790"/>
      <c r="J39" s="790"/>
      <c r="K39" s="790"/>
      <c r="L39" s="790"/>
      <c r="M39" s="790"/>
      <c r="N39" s="790"/>
      <c r="O39" s="788"/>
      <c r="P39" s="789" t="s">
        <v>237</v>
      </c>
      <c r="Q39" s="790"/>
      <c r="R39" s="788"/>
      <c r="S39" s="789" t="s">
        <v>236</v>
      </c>
      <c r="T39" s="788"/>
      <c r="U39" s="789" t="s">
        <v>221</v>
      </c>
      <c r="V39" s="790"/>
      <c r="W39" s="1030"/>
    </row>
    <row r="40" spans="1:23" s="244" customFormat="1" ht="52.5" customHeight="1" x14ac:dyDescent="0.15">
      <c r="A40" s="1028"/>
      <c r="B40" s="245" t="s">
        <v>229</v>
      </c>
      <c r="C40" s="248" t="s">
        <v>1085</v>
      </c>
      <c r="D40" s="530" t="s">
        <v>94</v>
      </c>
      <c r="E40" s="245" t="s">
        <v>228</v>
      </c>
      <c r="F40" s="245" t="s">
        <v>278</v>
      </c>
      <c r="G40" s="248" t="s">
        <v>922</v>
      </c>
      <c r="H40" s="245" t="s">
        <v>227</v>
      </c>
      <c r="I40" s="245" t="s">
        <v>225</v>
      </c>
      <c r="J40" s="245" t="s">
        <v>259</v>
      </c>
      <c r="K40" s="245" t="s">
        <v>608</v>
      </c>
      <c r="L40" s="245" t="s">
        <v>224</v>
      </c>
      <c r="M40" s="245" t="s">
        <v>277</v>
      </c>
      <c r="N40" s="245" t="s">
        <v>535</v>
      </c>
      <c r="O40" s="245" t="s">
        <v>536</v>
      </c>
      <c r="P40" s="530" t="s">
        <v>96</v>
      </c>
      <c r="Q40" s="245" t="s">
        <v>223</v>
      </c>
      <c r="R40" s="245" t="s">
        <v>276</v>
      </c>
      <c r="S40" s="530" t="s">
        <v>923</v>
      </c>
      <c r="T40" s="245" t="s">
        <v>222</v>
      </c>
      <c r="U40" s="530" t="s">
        <v>21</v>
      </c>
      <c r="V40" s="247" t="s">
        <v>218</v>
      </c>
      <c r="W40" s="1031"/>
    </row>
    <row r="41" spans="1:23" s="241" customFormat="1" ht="9.75" customHeight="1" x14ac:dyDescent="0.15">
      <c r="A41" s="645" t="s">
        <v>831</v>
      </c>
      <c r="B41" s="792">
        <v>31678</v>
      </c>
      <c r="C41" s="793">
        <v>4624661</v>
      </c>
      <c r="D41" s="793">
        <v>2013760</v>
      </c>
      <c r="E41" s="793">
        <v>332435</v>
      </c>
      <c r="F41" s="793" t="s">
        <v>796</v>
      </c>
      <c r="G41" s="793" t="s">
        <v>796</v>
      </c>
      <c r="H41" s="793">
        <v>2</v>
      </c>
      <c r="I41" s="793">
        <v>153215</v>
      </c>
      <c r="J41" s="793" t="s">
        <v>796</v>
      </c>
      <c r="K41" s="793" t="s">
        <v>796</v>
      </c>
      <c r="L41" s="793">
        <v>1358524</v>
      </c>
      <c r="M41" s="793">
        <v>129163</v>
      </c>
      <c r="N41" s="793">
        <v>40421</v>
      </c>
      <c r="O41" s="793" t="s">
        <v>796</v>
      </c>
      <c r="P41" s="793">
        <v>2513447</v>
      </c>
      <c r="Q41" s="793">
        <v>2271347</v>
      </c>
      <c r="R41" s="793">
        <v>242100</v>
      </c>
      <c r="S41" s="793">
        <v>1027905</v>
      </c>
      <c r="T41" s="793">
        <v>1027905</v>
      </c>
      <c r="U41" s="793">
        <v>1180307</v>
      </c>
      <c r="V41" s="793">
        <v>500734</v>
      </c>
      <c r="W41" s="794" t="s">
        <v>517</v>
      </c>
    </row>
    <row r="42" spans="1:23" s="241" customFormat="1" ht="9.75" customHeight="1" x14ac:dyDescent="0.15">
      <c r="A42" s="448" t="s">
        <v>557</v>
      </c>
      <c r="B42" s="241">
        <v>552695</v>
      </c>
      <c r="C42" s="241">
        <v>5804822</v>
      </c>
      <c r="D42" s="241">
        <v>2006490</v>
      </c>
      <c r="E42" s="241">
        <v>100565</v>
      </c>
      <c r="F42" s="241" t="s">
        <v>796</v>
      </c>
      <c r="G42" s="241">
        <v>4787</v>
      </c>
      <c r="H42" s="241" t="s">
        <v>796</v>
      </c>
      <c r="I42" s="241">
        <v>853387</v>
      </c>
      <c r="J42" s="241">
        <v>34699</v>
      </c>
      <c r="K42" s="241">
        <v>45340</v>
      </c>
      <c r="L42" s="241">
        <v>868769</v>
      </c>
      <c r="M42" s="241" t="s">
        <v>796</v>
      </c>
      <c r="N42" s="241" t="s">
        <v>796</v>
      </c>
      <c r="O42" s="241">
        <v>98943</v>
      </c>
      <c r="P42" s="241">
        <v>2584037</v>
      </c>
      <c r="Q42" s="241">
        <v>2584037</v>
      </c>
      <c r="R42" s="241" t="s">
        <v>796</v>
      </c>
      <c r="S42" s="241">
        <v>1257626</v>
      </c>
      <c r="T42" s="241">
        <v>1257626</v>
      </c>
      <c r="U42" s="241">
        <v>969199</v>
      </c>
      <c r="V42" s="241">
        <v>680446</v>
      </c>
      <c r="W42" s="242" t="s">
        <v>558</v>
      </c>
    </row>
    <row r="43" spans="1:23" s="241" customFormat="1" ht="9.75" customHeight="1" x14ac:dyDescent="0.15">
      <c r="A43" s="448" t="s">
        <v>682</v>
      </c>
      <c r="B43" s="241">
        <v>15896</v>
      </c>
      <c r="C43" s="241">
        <v>6490575</v>
      </c>
      <c r="D43" s="241">
        <v>1252125</v>
      </c>
      <c r="E43" s="241">
        <v>43547</v>
      </c>
      <c r="F43" s="241">
        <v>80648</v>
      </c>
      <c r="G43" s="241">
        <v>114982</v>
      </c>
      <c r="H43" s="241">
        <v>51372</v>
      </c>
      <c r="I43" s="241">
        <v>535178</v>
      </c>
      <c r="J43" s="241">
        <v>151378</v>
      </c>
      <c r="K43" s="241" t="s">
        <v>796</v>
      </c>
      <c r="L43" s="241">
        <v>184554</v>
      </c>
      <c r="M43" s="241">
        <v>90466</v>
      </c>
      <c r="N43" s="241" t="s">
        <v>796</v>
      </c>
      <c r="O43" s="241" t="s">
        <v>796</v>
      </c>
      <c r="P43" s="241">
        <v>1284444</v>
      </c>
      <c r="Q43" s="241">
        <v>1284444</v>
      </c>
      <c r="R43" s="241" t="s">
        <v>796</v>
      </c>
      <c r="S43" s="241">
        <v>1279585</v>
      </c>
      <c r="T43" s="241">
        <v>1279585</v>
      </c>
      <c r="U43" s="241">
        <v>986716</v>
      </c>
      <c r="V43" s="241">
        <v>844447</v>
      </c>
      <c r="W43" s="242" t="s">
        <v>683</v>
      </c>
    </row>
    <row r="44" spans="1:23" s="241" customFormat="1" ht="9.75" customHeight="1" x14ac:dyDescent="0.15">
      <c r="A44" s="448" t="s">
        <v>784</v>
      </c>
      <c r="B44" s="241">
        <v>124655</v>
      </c>
      <c r="C44" s="241">
        <v>7013758</v>
      </c>
      <c r="D44" s="241">
        <v>666500</v>
      </c>
      <c r="E44" s="241" t="s">
        <v>796</v>
      </c>
      <c r="F44" s="241" t="s">
        <v>796</v>
      </c>
      <c r="G44" s="241">
        <v>1705</v>
      </c>
      <c r="H44" s="241" t="s">
        <v>796</v>
      </c>
      <c r="I44" s="241">
        <v>236635</v>
      </c>
      <c r="J44" s="241">
        <v>428160</v>
      </c>
      <c r="K44" s="241" t="s">
        <v>796</v>
      </c>
      <c r="L44" s="241" t="s">
        <v>796</v>
      </c>
      <c r="M44" s="241" t="s">
        <v>796</v>
      </c>
      <c r="N44" s="241" t="s">
        <v>796</v>
      </c>
      <c r="O44" s="241" t="s">
        <v>796</v>
      </c>
      <c r="P44" s="241">
        <v>913906</v>
      </c>
      <c r="Q44" s="241">
        <v>913906</v>
      </c>
      <c r="R44" s="241" t="s">
        <v>796</v>
      </c>
      <c r="S44" s="241">
        <v>528176</v>
      </c>
      <c r="T44" s="241">
        <v>528176</v>
      </c>
      <c r="U44" s="241">
        <v>897906</v>
      </c>
      <c r="V44" s="241">
        <v>897906</v>
      </c>
      <c r="W44" s="242" t="s">
        <v>785</v>
      </c>
    </row>
    <row r="45" spans="1:23" s="241" customFormat="1" ht="9.75" customHeight="1" x14ac:dyDescent="0.15">
      <c r="A45" s="448" t="s">
        <v>832</v>
      </c>
      <c r="B45" s="241">
        <v>174792</v>
      </c>
      <c r="C45" s="241">
        <v>7029284</v>
      </c>
      <c r="D45" s="241">
        <v>93</v>
      </c>
      <c r="E45" s="241" t="s">
        <v>796</v>
      </c>
      <c r="F45" s="241" t="s">
        <v>796</v>
      </c>
      <c r="G45" s="241" t="s">
        <v>796</v>
      </c>
      <c r="H45" s="241">
        <v>93</v>
      </c>
      <c r="I45" s="241" t="s">
        <v>796</v>
      </c>
      <c r="J45" s="241" t="s">
        <v>796</v>
      </c>
      <c r="K45" s="241" t="s">
        <v>796</v>
      </c>
      <c r="L45" s="241" t="s">
        <v>796</v>
      </c>
      <c r="M45" s="241" t="s">
        <v>796</v>
      </c>
      <c r="N45" s="241" t="s">
        <v>796</v>
      </c>
      <c r="O45" s="241" t="s">
        <v>796</v>
      </c>
      <c r="P45" s="241">
        <v>1154212</v>
      </c>
      <c r="Q45" s="241">
        <v>1154212</v>
      </c>
      <c r="R45" s="241" t="s">
        <v>796</v>
      </c>
      <c r="S45" s="241">
        <v>1225907</v>
      </c>
      <c r="T45" s="241">
        <v>1225907</v>
      </c>
      <c r="U45" s="241">
        <v>132491</v>
      </c>
      <c r="V45" s="241">
        <v>132491</v>
      </c>
      <c r="W45" s="242" t="s">
        <v>833</v>
      </c>
    </row>
    <row r="46" spans="1:23" s="241" customFormat="1" ht="6.75" customHeight="1" x14ac:dyDescent="0.15">
      <c r="A46" s="464"/>
      <c r="W46" s="242"/>
    </row>
    <row r="47" spans="1:23" s="241" customFormat="1" ht="9.75" customHeight="1" x14ac:dyDescent="0.15">
      <c r="A47" s="448" t="s">
        <v>834</v>
      </c>
      <c r="B47" s="241">
        <v>124655</v>
      </c>
      <c r="C47" s="241">
        <v>7187908</v>
      </c>
      <c r="D47" s="241">
        <v>591930</v>
      </c>
      <c r="E47" s="241" t="s">
        <v>796</v>
      </c>
      <c r="F47" s="241" t="s">
        <v>796</v>
      </c>
      <c r="G47" s="241">
        <v>1681</v>
      </c>
      <c r="H47" s="241">
        <v>93</v>
      </c>
      <c r="I47" s="241">
        <v>161996</v>
      </c>
      <c r="J47" s="241">
        <v>428160</v>
      </c>
      <c r="K47" s="241" t="s">
        <v>796</v>
      </c>
      <c r="L47" s="241" t="s">
        <v>796</v>
      </c>
      <c r="M47" s="241" t="s">
        <v>796</v>
      </c>
      <c r="N47" s="241" t="s">
        <v>796</v>
      </c>
      <c r="O47" s="241" t="s">
        <v>796</v>
      </c>
      <c r="P47" s="241">
        <v>1077948</v>
      </c>
      <c r="Q47" s="241">
        <v>1077948</v>
      </c>
      <c r="R47" s="241" t="s">
        <v>796</v>
      </c>
      <c r="S47" s="241">
        <v>573880</v>
      </c>
      <c r="T47" s="241">
        <v>573880</v>
      </c>
      <c r="U47" s="241">
        <v>626338</v>
      </c>
      <c r="V47" s="241">
        <v>626338</v>
      </c>
      <c r="W47" s="242" t="s">
        <v>786</v>
      </c>
    </row>
    <row r="48" spans="1:23" s="241" customFormat="1" ht="9.75" customHeight="1" x14ac:dyDescent="0.15">
      <c r="A48" s="448" t="s">
        <v>835</v>
      </c>
      <c r="B48" s="241">
        <v>210405</v>
      </c>
      <c r="C48" s="241">
        <v>7127860</v>
      </c>
      <c r="D48" s="241" t="s">
        <v>796</v>
      </c>
      <c r="E48" s="241" t="s">
        <v>796</v>
      </c>
      <c r="F48" s="241" t="s">
        <v>796</v>
      </c>
      <c r="G48" s="241" t="s">
        <v>796</v>
      </c>
      <c r="H48" s="241" t="s">
        <v>796</v>
      </c>
      <c r="I48" s="241" t="s">
        <v>796</v>
      </c>
      <c r="J48" s="241" t="s">
        <v>796</v>
      </c>
      <c r="K48" s="241" t="s">
        <v>796</v>
      </c>
      <c r="L48" s="241" t="s">
        <v>796</v>
      </c>
      <c r="M48" s="241" t="s">
        <v>796</v>
      </c>
      <c r="N48" s="241" t="s">
        <v>796</v>
      </c>
      <c r="O48" s="241" t="s">
        <v>796</v>
      </c>
      <c r="P48" s="241">
        <v>1036665</v>
      </c>
      <c r="Q48" s="241">
        <v>1036665</v>
      </c>
      <c r="R48" s="241" t="s">
        <v>796</v>
      </c>
      <c r="S48" s="241">
        <v>1323787</v>
      </c>
      <c r="T48" s="241">
        <v>1323787</v>
      </c>
      <c r="U48" s="241">
        <v>95273</v>
      </c>
      <c r="V48" s="241">
        <v>95273</v>
      </c>
      <c r="W48" s="242" t="s">
        <v>836</v>
      </c>
    </row>
    <row r="49" spans="1:23" s="241" customFormat="1" ht="6.75" customHeight="1" x14ac:dyDescent="0.15">
      <c r="A49" s="464"/>
      <c r="W49" s="242"/>
    </row>
    <row r="50" spans="1:23" s="241" customFormat="1" ht="9.75" customHeight="1" x14ac:dyDescent="0.15">
      <c r="A50" s="448" t="s">
        <v>837</v>
      </c>
      <c r="B50" s="241" t="s">
        <v>796</v>
      </c>
      <c r="C50" s="241">
        <v>1686744</v>
      </c>
      <c r="D50" s="241">
        <v>93</v>
      </c>
      <c r="E50" s="241" t="s">
        <v>796</v>
      </c>
      <c r="F50" s="241" t="s">
        <v>796</v>
      </c>
      <c r="G50" s="241" t="s">
        <v>796</v>
      </c>
      <c r="H50" s="241">
        <v>93</v>
      </c>
      <c r="I50" s="241" t="s">
        <v>796</v>
      </c>
      <c r="J50" s="241" t="s">
        <v>796</v>
      </c>
      <c r="K50" s="241" t="s">
        <v>796</v>
      </c>
      <c r="L50" s="241" t="s">
        <v>796</v>
      </c>
      <c r="M50" s="241" t="s">
        <v>796</v>
      </c>
      <c r="N50" s="241" t="s">
        <v>796</v>
      </c>
      <c r="O50" s="241" t="s">
        <v>796</v>
      </c>
      <c r="P50" s="241">
        <v>288264</v>
      </c>
      <c r="Q50" s="241">
        <v>288264</v>
      </c>
      <c r="R50" s="241" t="s">
        <v>796</v>
      </c>
      <c r="S50" s="241">
        <v>245468</v>
      </c>
      <c r="T50" s="241">
        <v>245468</v>
      </c>
      <c r="U50" s="241">
        <v>37218</v>
      </c>
      <c r="V50" s="241">
        <v>37218</v>
      </c>
      <c r="W50" s="242" t="s">
        <v>787</v>
      </c>
    </row>
    <row r="51" spans="1:23" s="241" customFormat="1" ht="9.75" customHeight="1" x14ac:dyDescent="0.15">
      <c r="A51" s="448" t="s">
        <v>559</v>
      </c>
      <c r="B51" s="241">
        <v>82749</v>
      </c>
      <c r="C51" s="241">
        <v>2143702</v>
      </c>
      <c r="D51" s="241" t="s">
        <v>796</v>
      </c>
      <c r="E51" s="241" t="s">
        <v>796</v>
      </c>
      <c r="F51" s="241" t="s">
        <v>796</v>
      </c>
      <c r="G51" s="241" t="s">
        <v>796</v>
      </c>
      <c r="H51" s="241" t="s">
        <v>796</v>
      </c>
      <c r="I51" s="241" t="s">
        <v>796</v>
      </c>
      <c r="J51" s="241" t="s">
        <v>796</v>
      </c>
      <c r="K51" s="241" t="s">
        <v>796</v>
      </c>
      <c r="L51" s="241" t="s">
        <v>796</v>
      </c>
      <c r="M51" s="241" t="s">
        <v>796</v>
      </c>
      <c r="N51" s="241" t="s">
        <v>796</v>
      </c>
      <c r="O51" s="241" t="s">
        <v>796</v>
      </c>
      <c r="P51" s="241">
        <v>249942</v>
      </c>
      <c r="Q51" s="241">
        <v>249942</v>
      </c>
      <c r="R51" s="241" t="s">
        <v>796</v>
      </c>
      <c r="S51" s="241">
        <v>305297</v>
      </c>
      <c r="T51" s="241">
        <v>305297</v>
      </c>
      <c r="U51" s="241">
        <v>55290</v>
      </c>
      <c r="V51" s="241">
        <v>55290</v>
      </c>
      <c r="W51" s="242" t="s">
        <v>78</v>
      </c>
    </row>
    <row r="52" spans="1:23" s="241" customFormat="1" ht="9.75" customHeight="1" x14ac:dyDescent="0.15">
      <c r="A52" s="448" t="s">
        <v>560</v>
      </c>
      <c r="B52" s="241" t="s">
        <v>796</v>
      </c>
      <c r="C52" s="241">
        <v>1511006</v>
      </c>
      <c r="D52" s="241" t="s">
        <v>796</v>
      </c>
      <c r="E52" s="241" t="s">
        <v>796</v>
      </c>
      <c r="F52" s="241" t="s">
        <v>796</v>
      </c>
      <c r="G52" s="241" t="s">
        <v>796</v>
      </c>
      <c r="H52" s="241" t="s">
        <v>796</v>
      </c>
      <c r="I52" s="241" t="s">
        <v>796</v>
      </c>
      <c r="J52" s="241" t="s">
        <v>796</v>
      </c>
      <c r="K52" s="241" t="s">
        <v>796</v>
      </c>
      <c r="L52" s="241" t="s">
        <v>796</v>
      </c>
      <c r="M52" s="241" t="s">
        <v>796</v>
      </c>
      <c r="N52" s="241" t="s">
        <v>796</v>
      </c>
      <c r="O52" s="241" t="s">
        <v>796</v>
      </c>
      <c r="P52" s="241">
        <v>304191</v>
      </c>
      <c r="Q52" s="241">
        <v>304191</v>
      </c>
      <c r="R52" s="241" t="s">
        <v>796</v>
      </c>
      <c r="S52" s="241">
        <v>409705</v>
      </c>
      <c r="T52" s="241">
        <v>409705</v>
      </c>
      <c r="U52" s="241">
        <v>39983</v>
      </c>
      <c r="V52" s="241">
        <v>39983</v>
      </c>
      <c r="W52" s="242" t="s">
        <v>79</v>
      </c>
    </row>
    <row r="53" spans="1:23" s="241" customFormat="1" ht="9.75" customHeight="1" x14ac:dyDescent="0.15">
      <c r="A53" s="448" t="s">
        <v>561</v>
      </c>
      <c r="B53" s="241">
        <v>92043</v>
      </c>
      <c r="C53" s="241">
        <v>1687832</v>
      </c>
      <c r="D53" s="241" t="s">
        <v>796</v>
      </c>
      <c r="E53" s="241" t="s">
        <v>796</v>
      </c>
      <c r="F53" s="241" t="s">
        <v>796</v>
      </c>
      <c r="G53" s="241" t="s">
        <v>796</v>
      </c>
      <c r="H53" s="241" t="s">
        <v>796</v>
      </c>
      <c r="I53" s="241" t="s">
        <v>796</v>
      </c>
      <c r="J53" s="241" t="s">
        <v>796</v>
      </c>
      <c r="K53" s="241" t="s">
        <v>796</v>
      </c>
      <c r="L53" s="241" t="s">
        <v>796</v>
      </c>
      <c r="M53" s="241" t="s">
        <v>796</v>
      </c>
      <c r="N53" s="241" t="s">
        <v>796</v>
      </c>
      <c r="O53" s="241" t="s">
        <v>796</v>
      </c>
      <c r="P53" s="241">
        <v>311815</v>
      </c>
      <c r="Q53" s="241">
        <v>311815</v>
      </c>
      <c r="R53" s="241" t="s">
        <v>796</v>
      </c>
      <c r="S53" s="241">
        <v>265437</v>
      </c>
      <c r="T53" s="241">
        <v>265437</v>
      </c>
      <c r="U53" s="241" t="s">
        <v>796</v>
      </c>
      <c r="V53" s="241" t="s">
        <v>796</v>
      </c>
      <c r="W53" s="242" t="s">
        <v>80</v>
      </c>
    </row>
    <row r="54" spans="1:23" s="241" customFormat="1" ht="9.75" customHeight="1" x14ac:dyDescent="0.15">
      <c r="A54" s="448" t="s">
        <v>838</v>
      </c>
      <c r="B54" s="241">
        <v>35613</v>
      </c>
      <c r="C54" s="241">
        <v>1785320</v>
      </c>
      <c r="D54" s="241" t="s">
        <v>796</v>
      </c>
      <c r="E54" s="241" t="s">
        <v>796</v>
      </c>
      <c r="F54" s="241" t="s">
        <v>796</v>
      </c>
      <c r="G54" s="241" t="s">
        <v>796</v>
      </c>
      <c r="H54" s="241" t="s">
        <v>796</v>
      </c>
      <c r="I54" s="241" t="s">
        <v>796</v>
      </c>
      <c r="J54" s="241" t="s">
        <v>796</v>
      </c>
      <c r="K54" s="241" t="s">
        <v>796</v>
      </c>
      <c r="L54" s="241" t="s">
        <v>796</v>
      </c>
      <c r="M54" s="241" t="s">
        <v>796</v>
      </c>
      <c r="N54" s="241" t="s">
        <v>796</v>
      </c>
      <c r="O54" s="241" t="s">
        <v>796</v>
      </c>
      <c r="P54" s="241">
        <v>170717</v>
      </c>
      <c r="Q54" s="241">
        <v>170717</v>
      </c>
      <c r="R54" s="241" t="s">
        <v>796</v>
      </c>
      <c r="S54" s="241">
        <v>343348</v>
      </c>
      <c r="T54" s="241">
        <v>343348</v>
      </c>
      <c r="U54" s="241" t="s">
        <v>796</v>
      </c>
      <c r="V54" s="241" t="s">
        <v>796</v>
      </c>
      <c r="W54" s="242" t="s">
        <v>839</v>
      </c>
    </row>
    <row r="55" spans="1:23" s="241" customFormat="1" ht="6.75" customHeight="1" x14ac:dyDescent="0.15">
      <c r="A55" s="464"/>
      <c r="W55" s="242"/>
    </row>
    <row r="56" spans="1:23" s="241" customFormat="1" ht="9.75" customHeight="1" x14ac:dyDescent="0.15">
      <c r="A56" s="448" t="s">
        <v>840</v>
      </c>
      <c r="B56" s="241" t="s">
        <v>796</v>
      </c>
      <c r="C56" s="241">
        <v>681693</v>
      </c>
      <c r="D56" s="241" t="s">
        <v>796</v>
      </c>
      <c r="E56" s="241" t="s">
        <v>796</v>
      </c>
      <c r="F56" s="241" t="s">
        <v>796</v>
      </c>
      <c r="G56" s="241" t="s">
        <v>796</v>
      </c>
      <c r="H56" s="241" t="s">
        <v>796</v>
      </c>
      <c r="I56" s="241" t="s">
        <v>796</v>
      </c>
      <c r="J56" s="241" t="s">
        <v>796</v>
      </c>
      <c r="K56" s="241" t="s">
        <v>796</v>
      </c>
      <c r="L56" s="241" t="s">
        <v>796</v>
      </c>
      <c r="M56" s="241" t="s">
        <v>796</v>
      </c>
      <c r="N56" s="241" t="s">
        <v>796</v>
      </c>
      <c r="O56" s="241" t="s">
        <v>796</v>
      </c>
      <c r="P56" s="241">
        <v>57336</v>
      </c>
      <c r="Q56" s="241">
        <v>57336</v>
      </c>
      <c r="R56" s="241" t="s">
        <v>796</v>
      </c>
      <c r="S56" s="241">
        <v>119343</v>
      </c>
      <c r="T56" s="241">
        <v>119343</v>
      </c>
      <c r="U56" s="241" t="s">
        <v>796</v>
      </c>
      <c r="V56" s="241" t="s">
        <v>796</v>
      </c>
      <c r="W56" s="242" t="s">
        <v>788</v>
      </c>
    </row>
    <row r="57" spans="1:23" s="241" customFormat="1" ht="9.75" customHeight="1" x14ac:dyDescent="0.15">
      <c r="A57" s="448" t="s">
        <v>562</v>
      </c>
      <c r="B57" s="241" t="s">
        <v>796</v>
      </c>
      <c r="C57" s="241">
        <v>380392</v>
      </c>
      <c r="D57" s="241" t="s">
        <v>796</v>
      </c>
      <c r="E57" s="241" t="s">
        <v>796</v>
      </c>
      <c r="F57" s="241" t="s">
        <v>796</v>
      </c>
      <c r="G57" s="241" t="s">
        <v>796</v>
      </c>
      <c r="H57" s="241" t="s">
        <v>796</v>
      </c>
      <c r="I57" s="241" t="s">
        <v>796</v>
      </c>
      <c r="J57" s="241" t="s">
        <v>796</v>
      </c>
      <c r="K57" s="241" t="s">
        <v>796</v>
      </c>
      <c r="L57" s="241" t="s">
        <v>796</v>
      </c>
      <c r="M57" s="241" t="s">
        <v>796</v>
      </c>
      <c r="N57" s="241" t="s">
        <v>796</v>
      </c>
      <c r="O57" s="241" t="s">
        <v>796</v>
      </c>
      <c r="P57" s="241">
        <v>154580</v>
      </c>
      <c r="Q57" s="241">
        <v>154580</v>
      </c>
      <c r="R57" s="241" t="s">
        <v>796</v>
      </c>
      <c r="S57" s="241">
        <v>74220</v>
      </c>
      <c r="T57" s="241">
        <v>74220</v>
      </c>
      <c r="U57" s="241">
        <v>37218</v>
      </c>
      <c r="V57" s="241">
        <v>37218</v>
      </c>
      <c r="W57" s="242" t="s">
        <v>66</v>
      </c>
    </row>
    <row r="58" spans="1:23" s="241" customFormat="1" ht="9.75" customHeight="1" x14ac:dyDescent="0.15">
      <c r="A58" s="448" t="s">
        <v>563</v>
      </c>
      <c r="B58" s="241" t="s">
        <v>796</v>
      </c>
      <c r="C58" s="241">
        <v>624659</v>
      </c>
      <c r="D58" s="241">
        <v>93</v>
      </c>
      <c r="E58" s="241" t="s">
        <v>796</v>
      </c>
      <c r="F58" s="241" t="s">
        <v>796</v>
      </c>
      <c r="G58" s="241" t="s">
        <v>796</v>
      </c>
      <c r="H58" s="241">
        <v>93</v>
      </c>
      <c r="I58" s="241" t="s">
        <v>796</v>
      </c>
      <c r="J58" s="241" t="s">
        <v>796</v>
      </c>
      <c r="K58" s="241" t="s">
        <v>796</v>
      </c>
      <c r="L58" s="241" t="s">
        <v>796</v>
      </c>
      <c r="M58" s="241" t="s">
        <v>796</v>
      </c>
      <c r="N58" s="241" t="s">
        <v>796</v>
      </c>
      <c r="O58" s="241" t="s">
        <v>796</v>
      </c>
      <c r="P58" s="241">
        <v>76348</v>
      </c>
      <c r="Q58" s="241">
        <v>76348</v>
      </c>
      <c r="R58" s="241" t="s">
        <v>796</v>
      </c>
      <c r="S58" s="241">
        <v>51905</v>
      </c>
      <c r="T58" s="241">
        <v>51905</v>
      </c>
      <c r="U58" s="241" t="s">
        <v>796</v>
      </c>
      <c r="V58" s="241" t="s">
        <v>796</v>
      </c>
      <c r="W58" s="242" t="s">
        <v>67</v>
      </c>
    </row>
    <row r="59" spans="1:23" s="241" customFormat="1" ht="9.75" customHeight="1" x14ac:dyDescent="0.15">
      <c r="A59" s="448" t="s">
        <v>564</v>
      </c>
      <c r="B59" s="241" t="s">
        <v>796</v>
      </c>
      <c r="C59" s="241">
        <v>977859</v>
      </c>
      <c r="D59" s="241" t="s">
        <v>796</v>
      </c>
      <c r="E59" s="241" t="s">
        <v>796</v>
      </c>
      <c r="F59" s="241" t="s">
        <v>796</v>
      </c>
      <c r="G59" s="241" t="s">
        <v>796</v>
      </c>
      <c r="H59" s="241" t="s">
        <v>796</v>
      </c>
      <c r="I59" s="241" t="s">
        <v>796</v>
      </c>
      <c r="J59" s="241" t="s">
        <v>796</v>
      </c>
      <c r="K59" s="241" t="s">
        <v>796</v>
      </c>
      <c r="L59" s="241" t="s">
        <v>796</v>
      </c>
      <c r="M59" s="241" t="s">
        <v>796</v>
      </c>
      <c r="N59" s="241" t="s">
        <v>796</v>
      </c>
      <c r="O59" s="241" t="s">
        <v>796</v>
      </c>
      <c r="P59" s="241">
        <v>78788</v>
      </c>
      <c r="Q59" s="241">
        <v>78788</v>
      </c>
      <c r="R59" s="241" t="s">
        <v>796</v>
      </c>
      <c r="S59" s="241">
        <v>154140</v>
      </c>
      <c r="T59" s="241">
        <v>154140</v>
      </c>
      <c r="U59" s="241" t="s">
        <v>796</v>
      </c>
      <c r="V59" s="241" t="s">
        <v>796</v>
      </c>
      <c r="W59" s="242" t="s">
        <v>68</v>
      </c>
    </row>
    <row r="60" spans="1:23" s="241" customFormat="1" ht="9.75" customHeight="1" x14ac:dyDescent="0.15">
      <c r="A60" s="448" t="s">
        <v>565</v>
      </c>
      <c r="B60" s="241" t="s">
        <v>796</v>
      </c>
      <c r="C60" s="241">
        <v>618103</v>
      </c>
      <c r="D60" s="241" t="s">
        <v>796</v>
      </c>
      <c r="E60" s="241" t="s">
        <v>796</v>
      </c>
      <c r="F60" s="241" t="s">
        <v>796</v>
      </c>
      <c r="G60" s="241" t="s">
        <v>796</v>
      </c>
      <c r="H60" s="241" t="s">
        <v>796</v>
      </c>
      <c r="I60" s="241" t="s">
        <v>796</v>
      </c>
      <c r="J60" s="241" t="s">
        <v>796</v>
      </c>
      <c r="K60" s="241" t="s">
        <v>796</v>
      </c>
      <c r="L60" s="241" t="s">
        <v>796</v>
      </c>
      <c r="M60" s="241" t="s">
        <v>796</v>
      </c>
      <c r="N60" s="241" t="s">
        <v>796</v>
      </c>
      <c r="O60" s="241" t="s">
        <v>796</v>
      </c>
      <c r="P60" s="241">
        <v>51483</v>
      </c>
      <c r="Q60" s="241">
        <v>51483</v>
      </c>
      <c r="R60" s="241" t="s">
        <v>796</v>
      </c>
      <c r="S60" s="241">
        <v>100285</v>
      </c>
      <c r="T60" s="241">
        <v>100285</v>
      </c>
      <c r="U60" s="241">
        <v>55290</v>
      </c>
      <c r="V60" s="241">
        <v>55290</v>
      </c>
      <c r="W60" s="242" t="s">
        <v>81</v>
      </c>
    </row>
    <row r="61" spans="1:23" s="241" customFormat="1" ht="9.75" customHeight="1" x14ac:dyDescent="0.15">
      <c r="A61" s="448" t="s">
        <v>566</v>
      </c>
      <c r="B61" s="241">
        <v>82749</v>
      </c>
      <c r="C61" s="241">
        <v>547740</v>
      </c>
      <c r="D61" s="241" t="s">
        <v>796</v>
      </c>
      <c r="E61" s="241" t="s">
        <v>796</v>
      </c>
      <c r="F61" s="241" t="s">
        <v>796</v>
      </c>
      <c r="G61" s="241" t="s">
        <v>796</v>
      </c>
      <c r="H61" s="241" t="s">
        <v>796</v>
      </c>
      <c r="I61" s="241" t="s">
        <v>796</v>
      </c>
      <c r="J61" s="241" t="s">
        <v>796</v>
      </c>
      <c r="K61" s="241" t="s">
        <v>796</v>
      </c>
      <c r="L61" s="241" t="s">
        <v>796</v>
      </c>
      <c r="M61" s="241" t="s">
        <v>796</v>
      </c>
      <c r="N61" s="241" t="s">
        <v>796</v>
      </c>
      <c r="O61" s="241" t="s">
        <v>796</v>
      </c>
      <c r="P61" s="241">
        <v>119671</v>
      </c>
      <c r="Q61" s="241">
        <v>119671</v>
      </c>
      <c r="R61" s="241" t="s">
        <v>796</v>
      </c>
      <c r="S61" s="241">
        <v>50872</v>
      </c>
      <c r="T61" s="241">
        <v>50872</v>
      </c>
      <c r="U61" s="241" t="s">
        <v>796</v>
      </c>
      <c r="V61" s="241" t="s">
        <v>796</v>
      </c>
      <c r="W61" s="242" t="s">
        <v>82</v>
      </c>
    </row>
    <row r="62" spans="1:23" s="241" customFormat="1" ht="9.75" customHeight="1" x14ac:dyDescent="0.15">
      <c r="A62" s="448" t="s">
        <v>567</v>
      </c>
      <c r="B62" s="241" t="s">
        <v>796</v>
      </c>
      <c r="C62" s="241">
        <v>425981</v>
      </c>
      <c r="D62" s="241" t="s">
        <v>796</v>
      </c>
      <c r="E62" s="241" t="s">
        <v>796</v>
      </c>
      <c r="F62" s="241" t="s">
        <v>796</v>
      </c>
      <c r="G62" s="241" t="s">
        <v>796</v>
      </c>
      <c r="H62" s="241" t="s">
        <v>796</v>
      </c>
      <c r="I62" s="241" t="s">
        <v>796</v>
      </c>
      <c r="J62" s="241" t="s">
        <v>796</v>
      </c>
      <c r="K62" s="241" t="s">
        <v>796</v>
      </c>
      <c r="L62" s="241" t="s">
        <v>796</v>
      </c>
      <c r="M62" s="241" t="s">
        <v>796</v>
      </c>
      <c r="N62" s="241" t="s">
        <v>796</v>
      </c>
      <c r="O62" s="241" t="s">
        <v>796</v>
      </c>
      <c r="P62" s="241">
        <v>89499</v>
      </c>
      <c r="Q62" s="241">
        <v>89499</v>
      </c>
      <c r="R62" s="241" t="s">
        <v>796</v>
      </c>
      <c r="S62" s="241">
        <v>153914</v>
      </c>
      <c r="T62" s="241">
        <v>153914</v>
      </c>
      <c r="U62" s="241" t="s">
        <v>796</v>
      </c>
      <c r="V62" s="241" t="s">
        <v>796</v>
      </c>
      <c r="W62" s="242" t="s">
        <v>83</v>
      </c>
    </row>
    <row r="63" spans="1:23" s="241" customFormat="1" ht="9.75" customHeight="1" x14ac:dyDescent="0.15">
      <c r="A63" s="448" t="s">
        <v>568</v>
      </c>
      <c r="B63" s="241" t="s">
        <v>796</v>
      </c>
      <c r="C63" s="241">
        <v>515392</v>
      </c>
      <c r="D63" s="241" t="s">
        <v>796</v>
      </c>
      <c r="E63" s="241" t="s">
        <v>796</v>
      </c>
      <c r="F63" s="241" t="s">
        <v>796</v>
      </c>
      <c r="G63" s="241" t="s">
        <v>796</v>
      </c>
      <c r="H63" s="241" t="s">
        <v>796</v>
      </c>
      <c r="I63" s="241" t="s">
        <v>796</v>
      </c>
      <c r="J63" s="241" t="s">
        <v>796</v>
      </c>
      <c r="K63" s="241" t="s">
        <v>796</v>
      </c>
      <c r="L63" s="241" t="s">
        <v>796</v>
      </c>
      <c r="M63" s="241" t="s">
        <v>796</v>
      </c>
      <c r="N63" s="241" t="s">
        <v>796</v>
      </c>
      <c r="O63" s="241" t="s">
        <v>796</v>
      </c>
      <c r="P63" s="241">
        <v>102191</v>
      </c>
      <c r="Q63" s="241">
        <v>102191</v>
      </c>
      <c r="R63" s="241" t="s">
        <v>796</v>
      </c>
      <c r="S63" s="241">
        <v>153837</v>
      </c>
      <c r="T63" s="241">
        <v>153837</v>
      </c>
      <c r="U63" s="241">
        <v>39983</v>
      </c>
      <c r="V63" s="241">
        <v>39983</v>
      </c>
      <c r="W63" s="242" t="s">
        <v>84</v>
      </c>
    </row>
    <row r="64" spans="1:23" s="241" customFormat="1" ht="9.75" customHeight="1" x14ac:dyDescent="0.15">
      <c r="A64" s="448" t="s">
        <v>569</v>
      </c>
      <c r="B64" s="241" t="s">
        <v>796</v>
      </c>
      <c r="C64" s="241">
        <v>569633</v>
      </c>
      <c r="D64" s="241" t="s">
        <v>796</v>
      </c>
      <c r="E64" s="241" t="s">
        <v>796</v>
      </c>
      <c r="F64" s="241" t="s">
        <v>796</v>
      </c>
      <c r="G64" s="241" t="s">
        <v>796</v>
      </c>
      <c r="H64" s="241" t="s">
        <v>796</v>
      </c>
      <c r="I64" s="241" t="s">
        <v>796</v>
      </c>
      <c r="J64" s="241" t="s">
        <v>796</v>
      </c>
      <c r="K64" s="241" t="s">
        <v>796</v>
      </c>
      <c r="L64" s="241" t="s">
        <v>796</v>
      </c>
      <c r="M64" s="241" t="s">
        <v>796</v>
      </c>
      <c r="N64" s="241" t="s">
        <v>796</v>
      </c>
      <c r="O64" s="241" t="s">
        <v>796</v>
      </c>
      <c r="P64" s="241">
        <v>112501</v>
      </c>
      <c r="Q64" s="241">
        <v>112501</v>
      </c>
      <c r="R64" s="241" t="s">
        <v>796</v>
      </c>
      <c r="S64" s="241">
        <v>101954</v>
      </c>
      <c r="T64" s="241">
        <v>101954</v>
      </c>
      <c r="U64" s="241" t="s">
        <v>796</v>
      </c>
      <c r="V64" s="241" t="s">
        <v>796</v>
      </c>
      <c r="W64" s="242" t="s">
        <v>85</v>
      </c>
    </row>
    <row r="65" spans="1:23" s="241" customFormat="1" ht="9.75" customHeight="1" x14ac:dyDescent="0.15">
      <c r="A65" s="448" t="s">
        <v>570</v>
      </c>
      <c r="B65" s="241">
        <v>41888</v>
      </c>
      <c r="C65" s="241">
        <v>545094</v>
      </c>
      <c r="D65" s="241" t="s">
        <v>796</v>
      </c>
      <c r="E65" s="241" t="s">
        <v>796</v>
      </c>
      <c r="F65" s="241" t="s">
        <v>796</v>
      </c>
      <c r="G65" s="241" t="s">
        <v>796</v>
      </c>
      <c r="H65" s="241" t="s">
        <v>796</v>
      </c>
      <c r="I65" s="241" t="s">
        <v>796</v>
      </c>
      <c r="J65" s="241" t="s">
        <v>796</v>
      </c>
      <c r="K65" s="241" t="s">
        <v>796</v>
      </c>
      <c r="L65" s="241" t="s">
        <v>796</v>
      </c>
      <c r="M65" s="241" t="s">
        <v>796</v>
      </c>
      <c r="N65" s="241" t="s">
        <v>796</v>
      </c>
      <c r="O65" s="241" t="s">
        <v>796</v>
      </c>
      <c r="P65" s="241">
        <v>124859</v>
      </c>
      <c r="Q65" s="241">
        <v>124859</v>
      </c>
      <c r="R65" s="241" t="s">
        <v>796</v>
      </c>
      <c r="S65" s="241">
        <v>102571</v>
      </c>
      <c r="T65" s="241">
        <v>102571</v>
      </c>
      <c r="U65" s="241" t="s">
        <v>796</v>
      </c>
      <c r="V65" s="241" t="s">
        <v>796</v>
      </c>
      <c r="W65" s="242" t="s">
        <v>69</v>
      </c>
    </row>
    <row r="66" spans="1:23" s="241" customFormat="1" ht="9.75" customHeight="1" x14ac:dyDescent="0.15">
      <c r="A66" s="448" t="s">
        <v>571</v>
      </c>
      <c r="B66" s="241">
        <v>9502</v>
      </c>
      <c r="C66" s="241">
        <v>488549</v>
      </c>
      <c r="D66" s="241" t="s">
        <v>796</v>
      </c>
      <c r="E66" s="241" t="s">
        <v>796</v>
      </c>
      <c r="F66" s="241" t="s">
        <v>796</v>
      </c>
      <c r="G66" s="241" t="s">
        <v>796</v>
      </c>
      <c r="H66" s="241" t="s">
        <v>796</v>
      </c>
      <c r="I66" s="241" t="s">
        <v>796</v>
      </c>
      <c r="J66" s="241" t="s">
        <v>796</v>
      </c>
      <c r="K66" s="241" t="s">
        <v>796</v>
      </c>
      <c r="L66" s="241" t="s">
        <v>796</v>
      </c>
      <c r="M66" s="241" t="s">
        <v>796</v>
      </c>
      <c r="N66" s="241" t="s">
        <v>796</v>
      </c>
      <c r="O66" s="241" t="s">
        <v>796</v>
      </c>
      <c r="P66" s="241">
        <v>86382</v>
      </c>
      <c r="Q66" s="241">
        <v>86382</v>
      </c>
      <c r="R66" s="241" t="s">
        <v>796</v>
      </c>
      <c r="S66" s="241">
        <v>52309</v>
      </c>
      <c r="T66" s="241">
        <v>52309</v>
      </c>
      <c r="U66" s="241" t="s">
        <v>796</v>
      </c>
      <c r="V66" s="241" t="s">
        <v>796</v>
      </c>
      <c r="W66" s="242" t="s">
        <v>70</v>
      </c>
    </row>
    <row r="67" spans="1:23" s="241" customFormat="1" ht="9.75" customHeight="1" x14ac:dyDescent="0.15">
      <c r="A67" s="448" t="s">
        <v>572</v>
      </c>
      <c r="B67" s="241">
        <v>40653</v>
      </c>
      <c r="C67" s="241">
        <v>654189</v>
      </c>
      <c r="D67" s="241" t="s">
        <v>796</v>
      </c>
      <c r="E67" s="241" t="s">
        <v>796</v>
      </c>
      <c r="F67" s="241" t="s">
        <v>796</v>
      </c>
      <c r="G67" s="241" t="s">
        <v>796</v>
      </c>
      <c r="H67" s="241" t="s">
        <v>796</v>
      </c>
      <c r="I67" s="241" t="s">
        <v>796</v>
      </c>
      <c r="J67" s="241" t="s">
        <v>796</v>
      </c>
      <c r="K67" s="241" t="s">
        <v>796</v>
      </c>
      <c r="L67" s="241" t="s">
        <v>796</v>
      </c>
      <c r="M67" s="241" t="s">
        <v>796</v>
      </c>
      <c r="N67" s="241" t="s">
        <v>796</v>
      </c>
      <c r="O67" s="241" t="s">
        <v>796</v>
      </c>
      <c r="P67" s="241">
        <v>100574</v>
      </c>
      <c r="Q67" s="241">
        <v>100574</v>
      </c>
      <c r="R67" s="241" t="s">
        <v>796</v>
      </c>
      <c r="S67" s="241">
        <v>110557</v>
      </c>
      <c r="T67" s="241">
        <v>110557</v>
      </c>
      <c r="U67" s="241" t="s">
        <v>796</v>
      </c>
      <c r="V67" s="241" t="s">
        <v>796</v>
      </c>
      <c r="W67" s="242" t="s">
        <v>71</v>
      </c>
    </row>
    <row r="68" spans="1:23" s="241" customFormat="1" ht="9.75" customHeight="1" x14ac:dyDescent="0.15">
      <c r="A68" s="448" t="s">
        <v>841</v>
      </c>
      <c r="B68" s="241">
        <v>35613</v>
      </c>
      <c r="C68" s="241">
        <v>642352</v>
      </c>
      <c r="D68" s="241" t="s">
        <v>796</v>
      </c>
      <c r="E68" s="241" t="s">
        <v>796</v>
      </c>
      <c r="F68" s="241" t="s">
        <v>796</v>
      </c>
      <c r="G68" s="241" t="s">
        <v>796</v>
      </c>
      <c r="H68" s="241" t="s">
        <v>796</v>
      </c>
      <c r="I68" s="241" t="s">
        <v>796</v>
      </c>
      <c r="J68" s="241" t="s">
        <v>796</v>
      </c>
      <c r="K68" s="241" t="s">
        <v>796</v>
      </c>
      <c r="L68" s="241" t="s">
        <v>796</v>
      </c>
      <c r="M68" s="241" t="s">
        <v>796</v>
      </c>
      <c r="N68" s="241" t="s">
        <v>796</v>
      </c>
      <c r="O68" s="241" t="s">
        <v>796</v>
      </c>
      <c r="P68" s="241">
        <v>118811</v>
      </c>
      <c r="Q68" s="241">
        <v>118811</v>
      </c>
      <c r="R68" s="241" t="s">
        <v>796</v>
      </c>
      <c r="S68" s="241">
        <v>188922</v>
      </c>
      <c r="T68" s="241">
        <v>188922</v>
      </c>
      <c r="U68" s="241" t="s">
        <v>796</v>
      </c>
      <c r="V68" s="241" t="s">
        <v>796</v>
      </c>
      <c r="W68" s="242" t="s">
        <v>842</v>
      </c>
    </row>
    <row r="69" spans="1:23" s="241" customFormat="1" ht="9.75" customHeight="1" x14ac:dyDescent="0.15">
      <c r="A69" s="448" t="s">
        <v>573</v>
      </c>
      <c r="B69" s="241" t="s">
        <v>796</v>
      </c>
      <c r="C69" s="241">
        <v>393140</v>
      </c>
      <c r="D69" s="241" t="s">
        <v>796</v>
      </c>
      <c r="E69" s="241" t="s">
        <v>796</v>
      </c>
      <c r="F69" s="241" t="s">
        <v>796</v>
      </c>
      <c r="G69" s="241" t="s">
        <v>796</v>
      </c>
      <c r="H69" s="241" t="s">
        <v>796</v>
      </c>
      <c r="I69" s="241" t="s">
        <v>796</v>
      </c>
      <c r="J69" s="241" t="s">
        <v>796</v>
      </c>
      <c r="K69" s="241" t="s">
        <v>796</v>
      </c>
      <c r="L69" s="241" t="s">
        <v>796</v>
      </c>
      <c r="M69" s="241" t="s">
        <v>796</v>
      </c>
      <c r="N69" s="241" t="s">
        <v>796</v>
      </c>
      <c r="O69" s="241" t="s">
        <v>796</v>
      </c>
      <c r="P69" s="241">
        <v>51906</v>
      </c>
      <c r="Q69" s="241">
        <v>51906</v>
      </c>
      <c r="R69" s="241" t="s">
        <v>796</v>
      </c>
      <c r="S69" s="241">
        <v>51265</v>
      </c>
      <c r="T69" s="241">
        <v>51265</v>
      </c>
      <c r="U69" s="241" t="s">
        <v>796</v>
      </c>
      <c r="V69" s="241" t="s">
        <v>796</v>
      </c>
      <c r="W69" s="242" t="s">
        <v>66</v>
      </c>
    </row>
    <row r="70" spans="1:23" s="241" customFormat="1" ht="9.75" customHeight="1" x14ac:dyDescent="0.15">
      <c r="A70" s="795" t="s">
        <v>574</v>
      </c>
      <c r="B70" s="796" t="s">
        <v>796</v>
      </c>
      <c r="C70" s="797">
        <v>749828</v>
      </c>
      <c r="D70" s="797" t="s">
        <v>796</v>
      </c>
      <c r="E70" s="797" t="s">
        <v>796</v>
      </c>
      <c r="F70" s="797" t="s">
        <v>796</v>
      </c>
      <c r="G70" s="797" t="s">
        <v>796</v>
      </c>
      <c r="H70" s="797" t="s">
        <v>796</v>
      </c>
      <c r="I70" s="797" t="s">
        <v>796</v>
      </c>
      <c r="J70" s="797" t="s">
        <v>796</v>
      </c>
      <c r="K70" s="797" t="s">
        <v>796</v>
      </c>
      <c r="L70" s="797" t="s">
        <v>796</v>
      </c>
      <c r="M70" s="797" t="s">
        <v>796</v>
      </c>
      <c r="N70" s="797" t="s">
        <v>796</v>
      </c>
      <c r="O70" s="797" t="s">
        <v>796</v>
      </c>
      <c r="P70" s="797" t="s">
        <v>796</v>
      </c>
      <c r="Q70" s="797" t="s">
        <v>796</v>
      </c>
      <c r="R70" s="797" t="s">
        <v>796</v>
      </c>
      <c r="S70" s="797">
        <v>103161</v>
      </c>
      <c r="T70" s="797">
        <v>103161</v>
      </c>
      <c r="U70" s="797" t="s">
        <v>796</v>
      </c>
      <c r="V70" s="797" t="s">
        <v>796</v>
      </c>
      <c r="W70" s="798" t="s">
        <v>67</v>
      </c>
    </row>
    <row r="71" spans="1:23" ht="12" customHeight="1" x14ac:dyDescent="0.15"/>
    <row r="72" spans="1:23" ht="12" customHeight="1" x14ac:dyDescent="0.15"/>
    <row r="73" spans="1:23" ht="12" customHeight="1" x14ac:dyDescent="0.15">
      <c r="K73" s="246" t="s">
        <v>86</v>
      </c>
      <c r="V73" s="249" t="s">
        <v>924</v>
      </c>
    </row>
    <row r="74" spans="1:23" s="244" customFormat="1" ht="21" customHeight="1" x14ac:dyDescent="0.15">
      <c r="A74" s="1026" t="s">
        <v>153</v>
      </c>
      <c r="B74" s="799" t="s">
        <v>287</v>
      </c>
      <c r="C74" s="790"/>
      <c r="D74" s="790"/>
      <c r="E74" s="790"/>
      <c r="F74" s="788"/>
      <c r="G74" s="789" t="s">
        <v>286</v>
      </c>
      <c r="H74" s="790"/>
      <c r="I74" s="790"/>
      <c r="J74" s="790"/>
      <c r="K74" s="790"/>
      <c r="L74" s="790"/>
      <c r="M74" s="790"/>
      <c r="N74" s="790"/>
      <c r="O74" s="790"/>
      <c r="P74" s="790"/>
      <c r="Q74" s="788"/>
      <c r="R74" s="789" t="s">
        <v>285</v>
      </c>
      <c r="S74" s="790"/>
      <c r="T74" s="790"/>
      <c r="U74" s="790"/>
      <c r="V74" s="790"/>
      <c r="W74" s="1029" t="s">
        <v>72</v>
      </c>
    </row>
    <row r="75" spans="1:23" s="244" customFormat="1" ht="21" customHeight="1" x14ac:dyDescent="0.15">
      <c r="A75" s="1027"/>
      <c r="B75" s="799" t="s">
        <v>273</v>
      </c>
      <c r="C75" s="788"/>
      <c r="D75" s="789" t="s">
        <v>220</v>
      </c>
      <c r="E75" s="790"/>
      <c r="F75" s="788"/>
      <c r="G75" s="1032" t="s">
        <v>284</v>
      </c>
      <c r="H75" s="789" t="s">
        <v>244</v>
      </c>
      <c r="I75" s="790"/>
      <c r="J75" s="790"/>
      <c r="K75" s="790"/>
      <c r="L75" s="790"/>
      <c r="M75" s="790"/>
      <c r="N75" s="790"/>
      <c r="O75" s="788"/>
      <c r="P75" s="789" t="s">
        <v>237</v>
      </c>
      <c r="Q75" s="788"/>
      <c r="R75" s="1032" t="s">
        <v>283</v>
      </c>
      <c r="S75" s="789" t="s">
        <v>244</v>
      </c>
      <c r="T75" s="790"/>
      <c r="U75" s="790"/>
      <c r="V75" s="790"/>
      <c r="W75" s="1030"/>
    </row>
    <row r="76" spans="1:23" s="244" customFormat="1" ht="52.5" customHeight="1" x14ac:dyDescent="0.15">
      <c r="A76" s="1028"/>
      <c r="B76" s="245" t="s">
        <v>217</v>
      </c>
      <c r="C76" s="245" t="s">
        <v>216</v>
      </c>
      <c r="D76" s="530" t="s">
        <v>45</v>
      </c>
      <c r="E76" s="245" t="s">
        <v>215</v>
      </c>
      <c r="F76" s="245" t="s">
        <v>709</v>
      </c>
      <c r="G76" s="1033"/>
      <c r="H76" s="530" t="s">
        <v>920</v>
      </c>
      <c r="I76" s="245" t="s">
        <v>235</v>
      </c>
      <c r="J76" s="245" t="s">
        <v>921</v>
      </c>
      <c r="K76" s="245" t="s">
        <v>250</v>
      </c>
      <c r="L76" s="245" t="s">
        <v>234</v>
      </c>
      <c r="M76" s="245" t="s">
        <v>233</v>
      </c>
      <c r="N76" s="245" t="s">
        <v>232</v>
      </c>
      <c r="O76" s="248" t="s">
        <v>925</v>
      </c>
      <c r="P76" s="530" t="s">
        <v>96</v>
      </c>
      <c r="Q76" s="245" t="s">
        <v>223</v>
      </c>
      <c r="R76" s="1033"/>
      <c r="S76" s="530" t="s">
        <v>920</v>
      </c>
      <c r="T76" s="245" t="s">
        <v>235</v>
      </c>
      <c r="U76" s="245" t="s">
        <v>250</v>
      </c>
      <c r="V76" s="247" t="s">
        <v>256</v>
      </c>
      <c r="W76" s="1031"/>
    </row>
    <row r="77" spans="1:23" s="241" customFormat="1" ht="9.75" customHeight="1" x14ac:dyDescent="0.15">
      <c r="A77" s="645" t="s">
        <v>831</v>
      </c>
      <c r="B77" s="792">
        <v>638148</v>
      </c>
      <c r="C77" s="793">
        <v>41425</v>
      </c>
      <c r="D77" s="793">
        <v>1013359</v>
      </c>
      <c r="E77" s="793">
        <v>614950</v>
      </c>
      <c r="F77" s="793">
        <v>398409</v>
      </c>
      <c r="G77" s="793">
        <v>3127198</v>
      </c>
      <c r="H77" s="793">
        <v>3077701</v>
      </c>
      <c r="I77" s="793">
        <v>2446721</v>
      </c>
      <c r="J77" s="793">
        <v>389872</v>
      </c>
      <c r="K77" s="793" t="s">
        <v>796</v>
      </c>
      <c r="L77" s="793">
        <v>193125</v>
      </c>
      <c r="M77" s="793" t="s">
        <v>796</v>
      </c>
      <c r="N77" s="793" t="s">
        <v>796</v>
      </c>
      <c r="O77" s="793">
        <v>47983</v>
      </c>
      <c r="P77" s="793">
        <v>49497</v>
      </c>
      <c r="Q77" s="793">
        <v>49497</v>
      </c>
      <c r="R77" s="793">
        <v>27977796</v>
      </c>
      <c r="S77" s="793">
        <v>20364650</v>
      </c>
      <c r="T77" s="793">
        <v>2905201</v>
      </c>
      <c r="U77" s="793">
        <v>82439</v>
      </c>
      <c r="V77" s="793">
        <v>26763</v>
      </c>
      <c r="W77" s="794" t="s">
        <v>517</v>
      </c>
    </row>
    <row r="78" spans="1:23" s="241" customFormat="1" ht="9.75" customHeight="1" x14ac:dyDescent="0.15">
      <c r="A78" s="448" t="s">
        <v>557</v>
      </c>
      <c r="B78" s="241">
        <v>288753</v>
      </c>
      <c r="C78" s="241" t="s">
        <v>796</v>
      </c>
      <c r="D78" s="241">
        <v>1331381</v>
      </c>
      <c r="E78" s="241">
        <v>706988</v>
      </c>
      <c r="F78" s="241">
        <v>624393</v>
      </c>
      <c r="G78" s="241">
        <v>2926721</v>
      </c>
      <c r="H78" s="241">
        <v>2897605</v>
      </c>
      <c r="I78" s="241">
        <v>2153681</v>
      </c>
      <c r="J78" s="241">
        <v>468571</v>
      </c>
      <c r="K78" s="241" t="s">
        <v>796</v>
      </c>
      <c r="L78" s="241">
        <v>134555</v>
      </c>
      <c r="M78" s="241">
        <v>140798</v>
      </c>
      <c r="N78" s="241" t="s">
        <v>796</v>
      </c>
      <c r="O78" s="241" t="s">
        <v>796</v>
      </c>
      <c r="P78" s="241">
        <v>29116</v>
      </c>
      <c r="Q78" s="241">
        <v>29116</v>
      </c>
      <c r="R78" s="241">
        <v>30646454</v>
      </c>
      <c r="S78" s="241">
        <v>22526998</v>
      </c>
      <c r="T78" s="241">
        <v>2645622</v>
      </c>
      <c r="U78" s="241" t="s">
        <v>796</v>
      </c>
      <c r="V78" s="241" t="s">
        <v>796</v>
      </c>
      <c r="W78" s="242" t="s">
        <v>558</v>
      </c>
    </row>
    <row r="79" spans="1:23" s="241" customFormat="1" ht="9.75" customHeight="1" x14ac:dyDescent="0.15">
      <c r="A79" s="448" t="s">
        <v>682</v>
      </c>
      <c r="B79" s="241">
        <v>142269</v>
      </c>
      <c r="C79" s="241" t="s">
        <v>796</v>
      </c>
      <c r="D79" s="241">
        <v>729170</v>
      </c>
      <c r="E79" s="241">
        <v>437527</v>
      </c>
      <c r="F79" s="241">
        <v>291643</v>
      </c>
      <c r="G79" s="241">
        <v>2339243</v>
      </c>
      <c r="H79" s="241">
        <v>2339151</v>
      </c>
      <c r="I79" s="241">
        <v>2107354</v>
      </c>
      <c r="J79" s="241">
        <v>36591</v>
      </c>
      <c r="K79" s="241" t="s">
        <v>796</v>
      </c>
      <c r="L79" s="241">
        <v>63301</v>
      </c>
      <c r="M79" s="241">
        <v>131905</v>
      </c>
      <c r="N79" s="241" t="s">
        <v>796</v>
      </c>
      <c r="O79" s="241" t="s">
        <v>796</v>
      </c>
      <c r="P79" s="241">
        <v>92</v>
      </c>
      <c r="Q79" s="241">
        <v>92</v>
      </c>
      <c r="R79" s="241">
        <v>25844993</v>
      </c>
      <c r="S79" s="241">
        <v>20313327</v>
      </c>
      <c r="T79" s="241">
        <v>2089167</v>
      </c>
      <c r="U79" s="241">
        <v>117631</v>
      </c>
      <c r="V79" s="241" t="s">
        <v>796</v>
      </c>
      <c r="W79" s="242" t="s">
        <v>683</v>
      </c>
    </row>
    <row r="80" spans="1:23" s="241" customFormat="1" ht="9.75" customHeight="1" x14ac:dyDescent="0.15">
      <c r="A80" s="448" t="s">
        <v>784</v>
      </c>
      <c r="B80" s="241" t="s">
        <v>796</v>
      </c>
      <c r="C80" s="241" t="s">
        <v>796</v>
      </c>
      <c r="D80" s="241">
        <v>538984</v>
      </c>
      <c r="E80" s="241">
        <v>429091</v>
      </c>
      <c r="F80" s="241">
        <v>109893</v>
      </c>
      <c r="G80" s="241">
        <v>3201446</v>
      </c>
      <c r="H80" s="241">
        <v>3201377</v>
      </c>
      <c r="I80" s="241">
        <v>2874093</v>
      </c>
      <c r="J80" s="241">
        <v>228230</v>
      </c>
      <c r="K80" s="241">
        <v>35881</v>
      </c>
      <c r="L80" s="241">
        <v>54527</v>
      </c>
      <c r="M80" s="241">
        <v>8646</v>
      </c>
      <c r="N80" s="241" t="s">
        <v>796</v>
      </c>
      <c r="O80" s="241" t="s">
        <v>796</v>
      </c>
      <c r="P80" s="241">
        <v>69</v>
      </c>
      <c r="Q80" s="241">
        <v>69</v>
      </c>
      <c r="R80" s="241">
        <v>25030157</v>
      </c>
      <c r="S80" s="241">
        <v>21486459</v>
      </c>
      <c r="T80" s="241">
        <v>2133075</v>
      </c>
      <c r="U80" s="241" t="s">
        <v>796</v>
      </c>
      <c r="V80" s="241" t="s">
        <v>796</v>
      </c>
      <c r="W80" s="242" t="s">
        <v>785</v>
      </c>
    </row>
    <row r="81" spans="1:23" s="241" customFormat="1" ht="9.75" customHeight="1" x14ac:dyDescent="0.15">
      <c r="A81" s="448" t="s">
        <v>832</v>
      </c>
      <c r="B81" s="241" t="s">
        <v>796</v>
      </c>
      <c r="C81" s="241" t="s">
        <v>796</v>
      </c>
      <c r="D81" s="241">
        <v>263403</v>
      </c>
      <c r="E81" s="241">
        <v>263403</v>
      </c>
      <c r="F81" s="241" t="s">
        <v>796</v>
      </c>
      <c r="G81" s="241">
        <v>4774005</v>
      </c>
      <c r="H81" s="241">
        <v>4773912</v>
      </c>
      <c r="I81" s="241">
        <v>4056840</v>
      </c>
      <c r="J81" s="241">
        <v>172639</v>
      </c>
      <c r="K81" s="241">
        <v>136904</v>
      </c>
      <c r="L81" s="241">
        <v>344900</v>
      </c>
      <c r="M81" s="241">
        <v>49573</v>
      </c>
      <c r="N81" s="241">
        <v>13056</v>
      </c>
      <c r="O81" s="241" t="s">
        <v>796</v>
      </c>
      <c r="P81" s="241">
        <v>93</v>
      </c>
      <c r="Q81" s="241">
        <v>93</v>
      </c>
      <c r="R81" s="241">
        <v>23362676</v>
      </c>
      <c r="S81" s="241">
        <v>20586756</v>
      </c>
      <c r="T81" s="241">
        <v>2776214</v>
      </c>
      <c r="U81" s="241" t="s">
        <v>796</v>
      </c>
      <c r="V81" s="241" t="s">
        <v>796</v>
      </c>
      <c r="W81" s="242" t="s">
        <v>833</v>
      </c>
    </row>
    <row r="82" spans="1:23" s="241" customFormat="1" ht="6.75" customHeight="1" x14ac:dyDescent="0.15">
      <c r="A82" s="464"/>
      <c r="W82" s="242"/>
    </row>
    <row r="83" spans="1:23" s="241" customFormat="1" ht="9.75" customHeight="1" x14ac:dyDescent="0.15">
      <c r="A83" s="448" t="s">
        <v>834</v>
      </c>
      <c r="B83" s="241" t="s">
        <v>796</v>
      </c>
      <c r="C83" s="241" t="s">
        <v>796</v>
      </c>
      <c r="D83" s="241">
        <v>457109</v>
      </c>
      <c r="E83" s="241">
        <v>347216</v>
      </c>
      <c r="F83" s="241">
        <v>109893</v>
      </c>
      <c r="G83" s="241">
        <v>3548046</v>
      </c>
      <c r="H83" s="241">
        <v>3547954</v>
      </c>
      <c r="I83" s="241">
        <v>3220670</v>
      </c>
      <c r="J83" s="241">
        <v>228230</v>
      </c>
      <c r="K83" s="241">
        <v>35881</v>
      </c>
      <c r="L83" s="241">
        <v>54527</v>
      </c>
      <c r="M83" s="241">
        <v>8646</v>
      </c>
      <c r="N83" s="241" t="s">
        <v>796</v>
      </c>
      <c r="O83" s="241" t="s">
        <v>796</v>
      </c>
      <c r="P83" s="241">
        <v>92</v>
      </c>
      <c r="Q83" s="241">
        <v>92</v>
      </c>
      <c r="R83" s="241">
        <v>24942208</v>
      </c>
      <c r="S83" s="241">
        <v>21616869</v>
      </c>
      <c r="T83" s="241">
        <v>2277748</v>
      </c>
      <c r="U83" s="241" t="s">
        <v>796</v>
      </c>
      <c r="V83" s="241" t="s">
        <v>796</v>
      </c>
      <c r="W83" s="242" t="s">
        <v>786</v>
      </c>
    </row>
    <row r="84" spans="1:23" s="241" customFormat="1" ht="9.75" customHeight="1" x14ac:dyDescent="0.15">
      <c r="A84" s="448" t="s">
        <v>835</v>
      </c>
      <c r="B84" s="241" t="s">
        <v>796</v>
      </c>
      <c r="C84" s="241" t="s">
        <v>796</v>
      </c>
      <c r="D84" s="241">
        <v>264303</v>
      </c>
      <c r="E84" s="241">
        <v>264303</v>
      </c>
      <c r="F84" s="241" t="s">
        <v>796</v>
      </c>
      <c r="G84" s="241">
        <v>4861497</v>
      </c>
      <c r="H84" s="241">
        <v>4861427</v>
      </c>
      <c r="I84" s="241">
        <v>4101236</v>
      </c>
      <c r="J84" s="241">
        <v>172639</v>
      </c>
      <c r="K84" s="241">
        <v>180023</v>
      </c>
      <c r="L84" s="241">
        <v>344900</v>
      </c>
      <c r="M84" s="241">
        <v>49573</v>
      </c>
      <c r="N84" s="241">
        <v>13056</v>
      </c>
      <c r="O84" s="241" t="s">
        <v>796</v>
      </c>
      <c r="P84" s="241">
        <v>70</v>
      </c>
      <c r="Q84" s="241">
        <v>70</v>
      </c>
      <c r="R84" s="241">
        <v>23085944</v>
      </c>
      <c r="S84" s="241">
        <v>20365986</v>
      </c>
      <c r="T84" s="241">
        <v>2629665</v>
      </c>
      <c r="U84" s="241">
        <v>99979</v>
      </c>
      <c r="V84" s="241" t="s">
        <v>796</v>
      </c>
      <c r="W84" s="242" t="s">
        <v>836</v>
      </c>
    </row>
    <row r="85" spans="1:23" s="241" customFormat="1" ht="6.75" customHeight="1" x14ac:dyDescent="0.15">
      <c r="A85" s="464"/>
      <c r="W85" s="242"/>
    </row>
    <row r="86" spans="1:23" s="241" customFormat="1" ht="9.75" customHeight="1" x14ac:dyDescent="0.15">
      <c r="A86" s="448" t="s">
        <v>837</v>
      </c>
      <c r="B86" s="241" t="s">
        <v>796</v>
      </c>
      <c r="C86" s="241" t="s">
        <v>796</v>
      </c>
      <c r="D86" s="241">
        <v>50189</v>
      </c>
      <c r="E86" s="241">
        <v>50189</v>
      </c>
      <c r="F86" s="241" t="s">
        <v>796</v>
      </c>
      <c r="G86" s="241">
        <v>676697</v>
      </c>
      <c r="H86" s="241">
        <v>676674</v>
      </c>
      <c r="I86" s="241">
        <v>676674</v>
      </c>
      <c r="J86" s="241" t="s">
        <v>796</v>
      </c>
      <c r="K86" s="241" t="s">
        <v>796</v>
      </c>
      <c r="L86" s="241" t="s">
        <v>796</v>
      </c>
      <c r="M86" s="241" t="s">
        <v>796</v>
      </c>
      <c r="N86" s="241" t="s">
        <v>796</v>
      </c>
      <c r="O86" s="241" t="s">
        <v>796</v>
      </c>
      <c r="P86" s="241">
        <v>23</v>
      </c>
      <c r="Q86" s="241">
        <v>23</v>
      </c>
      <c r="R86" s="241">
        <v>6100851</v>
      </c>
      <c r="S86" s="241">
        <v>5479735</v>
      </c>
      <c r="T86" s="241">
        <v>669771</v>
      </c>
      <c r="U86" s="241" t="s">
        <v>796</v>
      </c>
      <c r="V86" s="241" t="s">
        <v>796</v>
      </c>
      <c r="W86" s="242" t="s">
        <v>787</v>
      </c>
    </row>
    <row r="87" spans="1:23" s="241" customFormat="1" ht="9.75" customHeight="1" x14ac:dyDescent="0.15">
      <c r="A87" s="448" t="s">
        <v>559</v>
      </c>
      <c r="B87" s="241" t="s">
        <v>796</v>
      </c>
      <c r="C87" s="241" t="s">
        <v>796</v>
      </c>
      <c r="D87" s="241">
        <v>33198</v>
      </c>
      <c r="E87" s="241">
        <v>33198</v>
      </c>
      <c r="F87" s="241" t="s">
        <v>796</v>
      </c>
      <c r="G87" s="241">
        <v>1159009</v>
      </c>
      <c r="H87" s="241">
        <v>1158986</v>
      </c>
      <c r="I87" s="241">
        <v>1055883</v>
      </c>
      <c r="J87" s="241">
        <v>26629</v>
      </c>
      <c r="K87" s="241">
        <v>59176</v>
      </c>
      <c r="L87" s="241">
        <v>4242</v>
      </c>
      <c r="M87" s="241" t="s">
        <v>796</v>
      </c>
      <c r="N87" s="241">
        <v>13056</v>
      </c>
      <c r="O87" s="241" t="s">
        <v>796</v>
      </c>
      <c r="P87" s="241">
        <v>23</v>
      </c>
      <c r="Q87" s="241">
        <v>23</v>
      </c>
      <c r="R87" s="241">
        <v>5771892</v>
      </c>
      <c r="S87" s="241">
        <v>5128188</v>
      </c>
      <c r="T87" s="241">
        <v>764105</v>
      </c>
      <c r="U87" s="241" t="s">
        <v>796</v>
      </c>
      <c r="V87" s="241" t="s">
        <v>796</v>
      </c>
      <c r="W87" s="242" t="s">
        <v>78</v>
      </c>
    </row>
    <row r="88" spans="1:23" s="241" customFormat="1" ht="9.75" customHeight="1" x14ac:dyDescent="0.15">
      <c r="A88" s="448" t="s">
        <v>560</v>
      </c>
      <c r="B88" s="241" t="s">
        <v>796</v>
      </c>
      <c r="C88" s="241" t="s">
        <v>796</v>
      </c>
      <c r="D88" s="241">
        <v>78751</v>
      </c>
      <c r="E88" s="241">
        <v>78751</v>
      </c>
      <c r="F88" s="241" t="s">
        <v>796</v>
      </c>
      <c r="G88" s="241">
        <v>1848717</v>
      </c>
      <c r="H88" s="241">
        <v>1848694</v>
      </c>
      <c r="I88" s="241">
        <v>1367987</v>
      </c>
      <c r="J88" s="241">
        <v>98341</v>
      </c>
      <c r="K88" s="241">
        <v>41437</v>
      </c>
      <c r="L88" s="241">
        <v>291356</v>
      </c>
      <c r="M88" s="241">
        <v>49573</v>
      </c>
      <c r="N88" s="241" t="s">
        <v>796</v>
      </c>
      <c r="O88" s="241" t="s">
        <v>796</v>
      </c>
      <c r="P88" s="241">
        <v>23</v>
      </c>
      <c r="Q88" s="241">
        <v>23</v>
      </c>
      <c r="R88" s="241">
        <v>5787707</v>
      </c>
      <c r="S88" s="241">
        <v>4955100</v>
      </c>
      <c r="T88" s="241">
        <v>663631</v>
      </c>
      <c r="U88" s="241" t="s">
        <v>796</v>
      </c>
      <c r="V88" s="241" t="s">
        <v>796</v>
      </c>
      <c r="W88" s="242" t="s">
        <v>79</v>
      </c>
    </row>
    <row r="89" spans="1:23" s="241" customFormat="1" ht="9.75" customHeight="1" x14ac:dyDescent="0.15">
      <c r="A89" s="448" t="s">
        <v>561</v>
      </c>
      <c r="B89" s="241" t="s">
        <v>796</v>
      </c>
      <c r="C89" s="241" t="s">
        <v>796</v>
      </c>
      <c r="D89" s="241">
        <v>101265</v>
      </c>
      <c r="E89" s="241">
        <v>101265</v>
      </c>
      <c r="F89" s="241" t="s">
        <v>796</v>
      </c>
      <c r="G89" s="241">
        <v>1089582</v>
      </c>
      <c r="H89" s="241">
        <v>1089558</v>
      </c>
      <c r="I89" s="241">
        <v>956296</v>
      </c>
      <c r="J89" s="241">
        <v>47669</v>
      </c>
      <c r="K89" s="241">
        <v>36291</v>
      </c>
      <c r="L89" s="241">
        <v>49302</v>
      </c>
      <c r="M89" s="241" t="s">
        <v>796</v>
      </c>
      <c r="N89" s="241" t="s">
        <v>796</v>
      </c>
      <c r="O89" s="241" t="s">
        <v>796</v>
      </c>
      <c r="P89" s="241">
        <v>24</v>
      </c>
      <c r="Q89" s="241">
        <v>24</v>
      </c>
      <c r="R89" s="241">
        <v>5702226</v>
      </c>
      <c r="S89" s="241">
        <v>5023733</v>
      </c>
      <c r="T89" s="241">
        <v>678707</v>
      </c>
      <c r="U89" s="241" t="s">
        <v>796</v>
      </c>
      <c r="V89" s="241" t="s">
        <v>796</v>
      </c>
      <c r="W89" s="242" t="s">
        <v>80</v>
      </c>
    </row>
    <row r="90" spans="1:23" s="241" customFormat="1" ht="9.75" customHeight="1" x14ac:dyDescent="0.15">
      <c r="A90" s="448" t="s">
        <v>838</v>
      </c>
      <c r="B90" s="241" t="s">
        <v>796</v>
      </c>
      <c r="C90" s="241" t="s">
        <v>796</v>
      </c>
      <c r="D90" s="241">
        <v>51089</v>
      </c>
      <c r="E90" s="241">
        <v>51089</v>
      </c>
      <c r="F90" s="241" t="s">
        <v>796</v>
      </c>
      <c r="G90" s="241">
        <v>764189</v>
      </c>
      <c r="H90" s="241">
        <v>764189</v>
      </c>
      <c r="I90" s="241">
        <v>721070</v>
      </c>
      <c r="J90" s="241" t="s">
        <v>796</v>
      </c>
      <c r="K90" s="241">
        <v>43119</v>
      </c>
      <c r="L90" s="241" t="s">
        <v>796</v>
      </c>
      <c r="M90" s="241" t="s">
        <v>796</v>
      </c>
      <c r="N90" s="241" t="s">
        <v>796</v>
      </c>
      <c r="O90" s="241" t="s">
        <v>796</v>
      </c>
      <c r="P90" s="241" t="s">
        <v>796</v>
      </c>
      <c r="Q90" s="241" t="s">
        <v>796</v>
      </c>
      <c r="R90" s="241">
        <v>5824119</v>
      </c>
      <c r="S90" s="241">
        <v>5258965</v>
      </c>
      <c r="T90" s="241">
        <v>523222</v>
      </c>
      <c r="U90" s="241">
        <v>99979</v>
      </c>
      <c r="V90" s="241" t="s">
        <v>796</v>
      </c>
      <c r="W90" s="242" t="s">
        <v>839</v>
      </c>
    </row>
    <row r="91" spans="1:23" s="241" customFormat="1" ht="6.75" customHeight="1" x14ac:dyDescent="0.15">
      <c r="A91" s="464"/>
      <c r="W91" s="242"/>
    </row>
    <row r="92" spans="1:23" s="241" customFormat="1" ht="9.75" customHeight="1" x14ac:dyDescent="0.15">
      <c r="A92" s="448" t="s">
        <v>840</v>
      </c>
      <c r="B92" s="241" t="s">
        <v>796</v>
      </c>
      <c r="C92" s="241" t="s">
        <v>796</v>
      </c>
      <c r="D92" s="241">
        <v>50189</v>
      </c>
      <c r="E92" s="241">
        <v>50189</v>
      </c>
      <c r="F92" s="241" t="s">
        <v>796</v>
      </c>
      <c r="G92" s="241">
        <v>303102</v>
      </c>
      <c r="H92" s="241">
        <v>303102</v>
      </c>
      <c r="I92" s="241">
        <v>303102</v>
      </c>
      <c r="J92" s="241" t="s">
        <v>796</v>
      </c>
      <c r="K92" s="241" t="s">
        <v>796</v>
      </c>
      <c r="L92" s="241" t="s">
        <v>796</v>
      </c>
      <c r="M92" s="241" t="s">
        <v>796</v>
      </c>
      <c r="N92" s="241" t="s">
        <v>796</v>
      </c>
      <c r="O92" s="241" t="s">
        <v>796</v>
      </c>
      <c r="P92" s="241" t="s">
        <v>796</v>
      </c>
      <c r="Q92" s="241" t="s">
        <v>796</v>
      </c>
      <c r="R92" s="241">
        <v>1972852</v>
      </c>
      <c r="S92" s="241">
        <v>1745984</v>
      </c>
      <c r="T92" s="241">
        <v>152638</v>
      </c>
      <c r="U92" s="241" t="s">
        <v>796</v>
      </c>
      <c r="V92" s="241" t="s">
        <v>796</v>
      </c>
      <c r="W92" s="242" t="s">
        <v>788</v>
      </c>
    </row>
    <row r="93" spans="1:23" s="241" customFormat="1" ht="9.75" customHeight="1" x14ac:dyDescent="0.15">
      <c r="A93" s="448" t="s">
        <v>562</v>
      </c>
      <c r="B93" s="241" t="s">
        <v>796</v>
      </c>
      <c r="C93" s="241" t="s">
        <v>796</v>
      </c>
      <c r="D93" s="241" t="s">
        <v>796</v>
      </c>
      <c r="E93" s="241" t="s">
        <v>796</v>
      </c>
      <c r="F93" s="241" t="s">
        <v>796</v>
      </c>
      <c r="G93" s="241">
        <v>139243</v>
      </c>
      <c r="H93" s="241">
        <v>139243</v>
      </c>
      <c r="I93" s="241">
        <v>139243</v>
      </c>
      <c r="J93" s="241" t="s">
        <v>796</v>
      </c>
      <c r="K93" s="241" t="s">
        <v>796</v>
      </c>
      <c r="L93" s="241" t="s">
        <v>796</v>
      </c>
      <c r="M93" s="241" t="s">
        <v>796</v>
      </c>
      <c r="N93" s="241" t="s">
        <v>796</v>
      </c>
      <c r="O93" s="241" t="s">
        <v>796</v>
      </c>
      <c r="P93" s="241" t="s">
        <v>796</v>
      </c>
      <c r="Q93" s="241" t="s">
        <v>796</v>
      </c>
      <c r="R93" s="241">
        <v>2036220</v>
      </c>
      <c r="S93" s="241">
        <v>1770202</v>
      </c>
      <c r="T93" s="241">
        <v>194940</v>
      </c>
      <c r="U93" s="241" t="s">
        <v>796</v>
      </c>
      <c r="V93" s="241" t="s">
        <v>796</v>
      </c>
      <c r="W93" s="242" t="s">
        <v>66</v>
      </c>
    </row>
    <row r="94" spans="1:23" s="241" customFormat="1" ht="9.75" customHeight="1" x14ac:dyDescent="0.15">
      <c r="A94" s="448" t="s">
        <v>563</v>
      </c>
      <c r="B94" s="241" t="s">
        <v>796</v>
      </c>
      <c r="C94" s="241" t="s">
        <v>796</v>
      </c>
      <c r="D94" s="241" t="s">
        <v>796</v>
      </c>
      <c r="E94" s="241" t="s">
        <v>796</v>
      </c>
      <c r="F94" s="241" t="s">
        <v>796</v>
      </c>
      <c r="G94" s="241">
        <v>234352</v>
      </c>
      <c r="H94" s="241">
        <v>234329</v>
      </c>
      <c r="I94" s="241">
        <v>234329</v>
      </c>
      <c r="J94" s="241" t="s">
        <v>796</v>
      </c>
      <c r="K94" s="241" t="s">
        <v>796</v>
      </c>
      <c r="L94" s="241" t="s">
        <v>796</v>
      </c>
      <c r="M94" s="241" t="s">
        <v>796</v>
      </c>
      <c r="N94" s="241" t="s">
        <v>796</v>
      </c>
      <c r="O94" s="241" t="s">
        <v>796</v>
      </c>
      <c r="P94" s="241">
        <v>23</v>
      </c>
      <c r="Q94" s="241">
        <v>23</v>
      </c>
      <c r="R94" s="241">
        <v>2091779</v>
      </c>
      <c r="S94" s="241">
        <v>1963549</v>
      </c>
      <c r="T94" s="241">
        <v>322193</v>
      </c>
      <c r="U94" s="241" t="s">
        <v>796</v>
      </c>
      <c r="V94" s="241" t="s">
        <v>796</v>
      </c>
      <c r="W94" s="242" t="s">
        <v>67</v>
      </c>
    </row>
    <row r="95" spans="1:23" s="241" customFormat="1" ht="9.75" customHeight="1" x14ac:dyDescent="0.15">
      <c r="A95" s="448" t="s">
        <v>564</v>
      </c>
      <c r="B95" s="241" t="s">
        <v>796</v>
      </c>
      <c r="C95" s="241" t="s">
        <v>796</v>
      </c>
      <c r="D95" s="241">
        <v>33198</v>
      </c>
      <c r="E95" s="241">
        <v>33198</v>
      </c>
      <c r="F95" s="241" t="s">
        <v>796</v>
      </c>
      <c r="G95" s="241">
        <v>286633</v>
      </c>
      <c r="H95" s="241">
        <v>286633</v>
      </c>
      <c r="I95" s="241">
        <v>274709</v>
      </c>
      <c r="J95" s="241" t="s">
        <v>796</v>
      </c>
      <c r="K95" s="241">
        <v>11924</v>
      </c>
      <c r="L95" s="241" t="s">
        <v>796</v>
      </c>
      <c r="M95" s="241" t="s">
        <v>796</v>
      </c>
      <c r="N95" s="241" t="s">
        <v>796</v>
      </c>
      <c r="O95" s="241" t="s">
        <v>796</v>
      </c>
      <c r="P95" s="241" t="s">
        <v>796</v>
      </c>
      <c r="Q95" s="241" t="s">
        <v>796</v>
      </c>
      <c r="R95" s="241">
        <v>2126476</v>
      </c>
      <c r="S95" s="241">
        <v>1860350</v>
      </c>
      <c r="T95" s="241">
        <v>300222</v>
      </c>
      <c r="U95" s="241" t="s">
        <v>796</v>
      </c>
      <c r="V95" s="241" t="s">
        <v>796</v>
      </c>
      <c r="W95" s="242" t="s">
        <v>68</v>
      </c>
    </row>
    <row r="96" spans="1:23" s="241" customFormat="1" ht="9.75" customHeight="1" x14ac:dyDescent="0.15">
      <c r="A96" s="448" t="s">
        <v>565</v>
      </c>
      <c r="B96" s="241" t="s">
        <v>796</v>
      </c>
      <c r="C96" s="241" t="s">
        <v>796</v>
      </c>
      <c r="D96" s="241" t="s">
        <v>796</v>
      </c>
      <c r="E96" s="241" t="s">
        <v>796</v>
      </c>
      <c r="F96" s="241" t="s">
        <v>796</v>
      </c>
      <c r="G96" s="241">
        <v>395746</v>
      </c>
      <c r="H96" s="241">
        <v>395746</v>
      </c>
      <c r="I96" s="241">
        <v>356061</v>
      </c>
      <c r="J96" s="241">
        <v>26629</v>
      </c>
      <c r="K96" s="241" t="s">
        <v>796</v>
      </c>
      <c r="L96" s="241" t="s">
        <v>796</v>
      </c>
      <c r="M96" s="241" t="s">
        <v>796</v>
      </c>
      <c r="N96" s="241">
        <v>13056</v>
      </c>
      <c r="O96" s="241" t="s">
        <v>796</v>
      </c>
      <c r="P96" s="241" t="s">
        <v>796</v>
      </c>
      <c r="Q96" s="241" t="s">
        <v>796</v>
      </c>
      <c r="R96" s="241">
        <v>1861035</v>
      </c>
      <c r="S96" s="241">
        <v>1653977</v>
      </c>
      <c r="T96" s="241">
        <v>293775</v>
      </c>
      <c r="U96" s="241" t="s">
        <v>796</v>
      </c>
      <c r="V96" s="241" t="s">
        <v>796</v>
      </c>
      <c r="W96" s="242" t="s">
        <v>81</v>
      </c>
    </row>
    <row r="97" spans="1:23" s="241" customFormat="1" ht="9.75" customHeight="1" x14ac:dyDescent="0.15">
      <c r="A97" s="448" t="s">
        <v>566</v>
      </c>
      <c r="B97" s="241" t="s">
        <v>796</v>
      </c>
      <c r="C97" s="241" t="s">
        <v>796</v>
      </c>
      <c r="D97" s="241" t="s">
        <v>796</v>
      </c>
      <c r="E97" s="241" t="s">
        <v>796</v>
      </c>
      <c r="F97" s="241" t="s">
        <v>796</v>
      </c>
      <c r="G97" s="241">
        <v>476630</v>
      </c>
      <c r="H97" s="241">
        <v>476607</v>
      </c>
      <c r="I97" s="241">
        <v>425113</v>
      </c>
      <c r="J97" s="241" t="s">
        <v>796</v>
      </c>
      <c r="K97" s="241">
        <v>47252</v>
      </c>
      <c r="L97" s="241">
        <v>4242</v>
      </c>
      <c r="M97" s="241" t="s">
        <v>796</v>
      </c>
      <c r="N97" s="241" t="s">
        <v>796</v>
      </c>
      <c r="O97" s="241" t="s">
        <v>796</v>
      </c>
      <c r="P97" s="241">
        <v>23</v>
      </c>
      <c r="Q97" s="241">
        <v>23</v>
      </c>
      <c r="R97" s="241">
        <v>1784381</v>
      </c>
      <c r="S97" s="241">
        <v>1613861</v>
      </c>
      <c r="T97" s="241">
        <v>170108</v>
      </c>
      <c r="U97" s="241" t="s">
        <v>796</v>
      </c>
      <c r="V97" s="241" t="s">
        <v>796</v>
      </c>
      <c r="W97" s="242" t="s">
        <v>82</v>
      </c>
    </row>
    <row r="98" spans="1:23" s="241" customFormat="1" ht="9.75" customHeight="1" x14ac:dyDescent="0.15">
      <c r="A98" s="448" t="s">
        <v>567</v>
      </c>
      <c r="B98" s="241" t="s">
        <v>796</v>
      </c>
      <c r="C98" s="241" t="s">
        <v>796</v>
      </c>
      <c r="D98" s="241">
        <v>78751</v>
      </c>
      <c r="E98" s="241">
        <v>78751</v>
      </c>
      <c r="F98" s="241" t="s">
        <v>796</v>
      </c>
      <c r="G98" s="241">
        <v>564234</v>
      </c>
      <c r="H98" s="241">
        <v>564234</v>
      </c>
      <c r="I98" s="241">
        <v>514661</v>
      </c>
      <c r="J98" s="241" t="s">
        <v>796</v>
      </c>
      <c r="K98" s="241" t="s">
        <v>796</v>
      </c>
      <c r="L98" s="241" t="s">
        <v>796</v>
      </c>
      <c r="M98" s="241">
        <v>49573</v>
      </c>
      <c r="N98" s="241" t="s">
        <v>796</v>
      </c>
      <c r="O98" s="241" t="s">
        <v>796</v>
      </c>
      <c r="P98" s="241" t="s">
        <v>796</v>
      </c>
      <c r="Q98" s="241" t="s">
        <v>796</v>
      </c>
      <c r="R98" s="241">
        <v>1834480</v>
      </c>
      <c r="S98" s="241">
        <v>1512316</v>
      </c>
      <c r="T98" s="241">
        <v>167645</v>
      </c>
      <c r="U98" s="241" t="s">
        <v>796</v>
      </c>
      <c r="V98" s="241" t="s">
        <v>796</v>
      </c>
      <c r="W98" s="242" t="s">
        <v>83</v>
      </c>
    </row>
    <row r="99" spans="1:23" s="241" customFormat="1" ht="9.75" customHeight="1" x14ac:dyDescent="0.15">
      <c r="A99" s="448" t="s">
        <v>568</v>
      </c>
      <c r="B99" s="241" t="s">
        <v>796</v>
      </c>
      <c r="C99" s="241" t="s">
        <v>796</v>
      </c>
      <c r="D99" s="241" t="s">
        <v>796</v>
      </c>
      <c r="E99" s="241" t="s">
        <v>796</v>
      </c>
      <c r="F99" s="241" t="s">
        <v>796</v>
      </c>
      <c r="G99" s="241">
        <v>668442</v>
      </c>
      <c r="H99" s="241">
        <v>668442</v>
      </c>
      <c r="I99" s="241">
        <v>494070</v>
      </c>
      <c r="J99" s="241">
        <v>50206</v>
      </c>
      <c r="K99" s="241" t="s">
        <v>796</v>
      </c>
      <c r="L99" s="241">
        <v>124166</v>
      </c>
      <c r="M99" s="241" t="s">
        <v>796</v>
      </c>
      <c r="N99" s="241" t="s">
        <v>796</v>
      </c>
      <c r="O99" s="241" t="s">
        <v>796</v>
      </c>
      <c r="P99" s="241" t="s">
        <v>796</v>
      </c>
      <c r="Q99" s="241" t="s">
        <v>796</v>
      </c>
      <c r="R99" s="241">
        <v>1968952</v>
      </c>
      <c r="S99" s="241">
        <v>1672941</v>
      </c>
      <c r="T99" s="241">
        <v>266285</v>
      </c>
      <c r="U99" s="241" t="s">
        <v>796</v>
      </c>
      <c r="V99" s="241" t="s">
        <v>796</v>
      </c>
      <c r="W99" s="242" t="s">
        <v>84</v>
      </c>
    </row>
    <row r="100" spans="1:23" s="241" customFormat="1" ht="9.75" customHeight="1" x14ac:dyDescent="0.15">
      <c r="A100" s="448" t="s">
        <v>569</v>
      </c>
      <c r="B100" s="241" t="s">
        <v>796</v>
      </c>
      <c r="C100" s="241" t="s">
        <v>796</v>
      </c>
      <c r="D100" s="241" t="s">
        <v>796</v>
      </c>
      <c r="E100" s="241" t="s">
        <v>796</v>
      </c>
      <c r="F100" s="241" t="s">
        <v>796</v>
      </c>
      <c r="G100" s="241">
        <v>616041</v>
      </c>
      <c r="H100" s="241">
        <v>616018</v>
      </c>
      <c r="I100" s="241">
        <v>359256</v>
      </c>
      <c r="J100" s="241">
        <v>48135</v>
      </c>
      <c r="K100" s="241">
        <v>41437</v>
      </c>
      <c r="L100" s="241">
        <v>167190</v>
      </c>
      <c r="M100" s="241" t="s">
        <v>796</v>
      </c>
      <c r="N100" s="241" t="s">
        <v>796</v>
      </c>
      <c r="O100" s="241" t="s">
        <v>796</v>
      </c>
      <c r="P100" s="241">
        <v>23</v>
      </c>
      <c r="Q100" s="241">
        <v>23</v>
      </c>
      <c r="R100" s="241">
        <v>1984275</v>
      </c>
      <c r="S100" s="241">
        <v>1769843</v>
      </c>
      <c r="T100" s="241">
        <v>229701</v>
      </c>
      <c r="U100" s="241" t="s">
        <v>796</v>
      </c>
      <c r="V100" s="241" t="s">
        <v>796</v>
      </c>
      <c r="W100" s="242" t="s">
        <v>85</v>
      </c>
    </row>
    <row r="101" spans="1:23" s="241" customFormat="1" ht="9.75" customHeight="1" x14ac:dyDescent="0.15">
      <c r="A101" s="448" t="s">
        <v>570</v>
      </c>
      <c r="B101" s="241" t="s">
        <v>796</v>
      </c>
      <c r="C101" s="241" t="s">
        <v>796</v>
      </c>
      <c r="D101" s="241" t="s">
        <v>796</v>
      </c>
      <c r="E101" s="241" t="s">
        <v>796</v>
      </c>
      <c r="F101" s="241" t="s">
        <v>796</v>
      </c>
      <c r="G101" s="241">
        <v>540249</v>
      </c>
      <c r="H101" s="241">
        <v>540249</v>
      </c>
      <c r="I101" s="241">
        <v>454656</v>
      </c>
      <c r="J101" s="241" t="s">
        <v>796</v>
      </c>
      <c r="K101" s="241">
        <v>36291</v>
      </c>
      <c r="L101" s="241">
        <v>49302</v>
      </c>
      <c r="M101" s="241" t="s">
        <v>796</v>
      </c>
      <c r="N101" s="241" t="s">
        <v>796</v>
      </c>
      <c r="O101" s="241" t="s">
        <v>796</v>
      </c>
      <c r="P101" s="241" t="s">
        <v>796</v>
      </c>
      <c r="Q101" s="241" t="s">
        <v>796</v>
      </c>
      <c r="R101" s="241">
        <v>1602315</v>
      </c>
      <c r="S101" s="241">
        <v>1374885</v>
      </c>
      <c r="T101" s="241">
        <v>339635</v>
      </c>
      <c r="U101" s="241" t="s">
        <v>796</v>
      </c>
      <c r="V101" s="241" t="s">
        <v>796</v>
      </c>
      <c r="W101" s="242" t="s">
        <v>69</v>
      </c>
    </row>
    <row r="102" spans="1:23" s="241" customFormat="1" ht="9.75" customHeight="1" x14ac:dyDescent="0.15">
      <c r="A102" s="448" t="s">
        <v>571</v>
      </c>
      <c r="B102" s="241" t="s">
        <v>796</v>
      </c>
      <c r="C102" s="241" t="s">
        <v>796</v>
      </c>
      <c r="D102" s="241" t="s">
        <v>796</v>
      </c>
      <c r="E102" s="241" t="s">
        <v>796</v>
      </c>
      <c r="F102" s="241" t="s">
        <v>796</v>
      </c>
      <c r="G102" s="241">
        <v>292385</v>
      </c>
      <c r="H102" s="241">
        <v>292385</v>
      </c>
      <c r="I102" s="241">
        <v>277469</v>
      </c>
      <c r="J102" s="241">
        <v>14916</v>
      </c>
      <c r="K102" s="241" t="s">
        <v>796</v>
      </c>
      <c r="L102" s="241" t="s">
        <v>796</v>
      </c>
      <c r="M102" s="241" t="s">
        <v>796</v>
      </c>
      <c r="N102" s="241" t="s">
        <v>796</v>
      </c>
      <c r="O102" s="241" t="s">
        <v>796</v>
      </c>
      <c r="P102" s="241" t="s">
        <v>796</v>
      </c>
      <c r="Q102" s="241" t="s">
        <v>796</v>
      </c>
      <c r="R102" s="241">
        <v>2129197</v>
      </c>
      <c r="S102" s="241">
        <v>1990506</v>
      </c>
      <c r="T102" s="241">
        <v>218302</v>
      </c>
      <c r="U102" s="241" t="s">
        <v>796</v>
      </c>
      <c r="V102" s="241" t="s">
        <v>796</v>
      </c>
      <c r="W102" s="242" t="s">
        <v>70</v>
      </c>
    </row>
    <row r="103" spans="1:23" s="241" customFormat="1" ht="9.75" customHeight="1" x14ac:dyDescent="0.15">
      <c r="A103" s="448" t="s">
        <v>572</v>
      </c>
      <c r="B103" s="241" t="s">
        <v>796</v>
      </c>
      <c r="C103" s="241" t="s">
        <v>796</v>
      </c>
      <c r="D103" s="241">
        <v>101265</v>
      </c>
      <c r="E103" s="241">
        <v>101265</v>
      </c>
      <c r="F103" s="241" t="s">
        <v>796</v>
      </c>
      <c r="G103" s="241">
        <v>256948</v>
      </c>
      <c r="H103" s="241">
        <v>256924</v>
      </c>
      <c r="I103" s="241">
        <v>224171</v>
      </c>
      <c r="J103" s="241">
        <v>32753</v>
      </c>
      <c r="K103" s="241" t="s">
        <v>796</v>
      </c>
      <c r="L103" s="241" t="s">
        <v>796</v>
      </c>
      <c r="M103" s="241" t="s">
        <v>796</v>
      </c>
      <c r="N103" s="241" t="s">
        <v>796</v>
      </c>
      <c r="O103" s="241" t="s">
        <v>796</v>
      </c>
      <c r="P103" s="241">
        <v>24</v>
      </c>
      <c r="Q103" s="241">
        <v>24</v>
      </c>
      <c r="R103" s="241">
        <v>1970714</v>
      </c>
      <c r="S103" s="241">
        <v>1658342</v>
      </c>
      <c r="T103" s="241">
        <v>120770</v>
      </c>
      <c r="U103" s="241" t="s">
        <v>796</v>
      </c>
      <c r="V103" s="241" t="s">
        <v>796</v>
      </c>
      <c r="W103" s="242" t="s">
        <v>71</v>
      </c>
    </row>
    <row r="104" spans="1:23" s="241" customFormat="1" ht="9.75" customHeight="1" x14ac:dyDescent="0.15">
      <c r="A104" s="448" t="s">
        <v>841</v>
      </c>
      <c r="B104" s="241" t="s">
        <v>796</v>
      </c>
      <c r="C104" s="241" t="s">
        <v>796</v>
      </c>
      <c r="D104" s="241" t="s">
        <v>796</v>
      </c>
      <c r="E104" s="241" t="s">
        <v>796</v>
      </c>
      <c r="F104" s="241" t="s">
        <v>796</v>
      </c>
      <c r="G104" s="241">
        <v>271403</v>
      </c>
      <c r="H104" s="241">
        <v>271403</v>
      </c>
      <c r="I104" s="241">
        <v>261319</v>
      </c>
      <c r="J104" s="241" t="s">
        <v>796</v>
      </c>
      <c r="K104" s="241">
        <v>10084</v>
      </c>
      <c r="L104" s="241" t="s">
        <v>796</v>
      </c>
      <c r="M104" s="241" t="s">
        <v>796</v>
      </c>
      <c r="N104" s="241" t="s">
        <v>796</v>
      </c>
      <c r="O104" s="241" t="s">
        <v>796</v>
      </c>
      <c r="P104" s="241" t="s">
        <v>796</v>
      </c>
      <c r="Q104" s="241" t="s">
        <v>796</v>
      </c>
      <c r="R104" s="241">
        <v>2090585</v>
      </c>
      <c r="S104" s="241">
        <v>1782852</v>
      </c>
      <c r="T104" s="241">
        <v>189971</v>
      </c>
      <c r="U104" s="241">
        <v>47755</v>
      </c>
      <c r="V104" s="241" t="s">
        <v>796</v>
      </c>
      <c r="W104" s="242" t="s">
        <v>842</v>
      </c>
    </row>
    <row r="105" spans="1:23" s="241" customFormat="1" ht="9.75" customHeight="1" x14ac:dyDescent="0.15">
      <c r="A105" s="448" t="s">
        <v>573</v>
      </c>
      <c r="B105" s="241" t="s">
        <v>796</v>
      </c>
      <c r="C105" s="241" t="s">
        <v>796</v>
      </c>
      <c r="D105" s="241" t="s">
        <v>796</v>
      </c>
      <c r="E105" s="241" t="s">
        <v>796</v>
      </c>
      <c r="F105" s="241" t="s">
        <v>796</v>
      </c>
      <c r="G105" s="241">
        <v>228995</v>
      </c>
      <c r="H105" s="241">
        <v>228995</v>
      </c>
      <c r="I105" s="241">
        <v>213892</v>
      </c>
      <c r="J105" s="241" t="s">
        <v>796</v>
      </c>
      <c r="K105" s="241">
        <v>15103</v>
      </c>
      <c r="L105" s="241" t="s">
        <v>796</v>
      </c>
      <c r="M105" s="241" t="s">
        <v>796</v>
      </c>
      <c r="N105" s="241" t="s">
        <v>796</v>
      </c>
      <c r="O105" s="241" t="s">
        <v>796</v>
      </c>
      <c r="P105" s="241" t="s">
        <v>796</v>
      </c>
      <c r="Q105" s="241" t="s">
        <v>796</v>
      </c>
      <c r="R105" s="241">
        <v>1612323</v>
      </c>
      <c r="S105" s="241">
        <v>1509152</v>
      </c>
      <c r="T105" s="241">
        <v>150820</v>
      </c>
      <c r="U105" s="241" t="s">
        <v>796</v>
      </c>
      <c r="V105" s="241" t="s">
        <v>796</v>
      </c>
      <c r="W105" s="242" t="s">
        <v>66</v>
      </c>
    </row>
    <row r="106" spans="1:23" s="241" customFormat="1" ht="9.75" customHeight="1" x14ac:dyDescent="0.15">
      <c r="A106" s="795" t="s">
        <v>574</v>
      </c>
      <c r="B106" s="796" t="s">
        <v>796</v>
      </c>
      <c r="C106" s="797" t="s">
        <v>796</v>
      </c>
      <c r="D106" s="797">
        <v>51089</v>
      </c>
      <c r="E106" s="797">
        <v>51089</v>
      </c>
      <c r="F106" s="797" t="s">
        <v>796</v>
      </c>
      <c r="G106" s="797">
        <v>263791</v>
      </c>
      <c r="H106" s="797">
        <v>263791</v>
      </c>
      <c r="I106" s="797">
        <v>245859</v>
      </c>
      <c r="J106" s="797" t="s">
        <v>796</v>
      </c>
      <c r="K106" s="797">
        <v>17932</v>
      </c>
      <c r="L106" s="797" t="s">
        <v>796</v>
      </c>
      <c r="M106" s="797" t="s">
        <v>796</v>
      </c>
      <c r="N106" s="797" t="s">
        <v>796</v>
      </c>
      <c r="O106" s="797" t="s">
        <v>796</v>
      </c>
      <c r="P106" s="797" t="s">
        <v>796</v>
      </c>
      <c r="Q106" s="797" t="s">
        <v>796</v>
      </c>
      <c r="R106" s="797">
        <v>2121211</v>
      </c>
      <c r="S106" s="797">
        <v>1966961</v>
      </c>
      <c r="T106" s="797">
        <v>182431</v>
      </c>
      <c r="U106" s="797">
        <v>52224</v>
      </c>
      <c r="V106" s="797" t="s">
        <v>796</v>
      </c>
      <c r="W106" s="798" t="s">
        <v>67</v>
      </c>
    </row>
    <row r="107" spans="1:23" ht="12" customHeight="1" x14ac:dyDescent="0.15"/>
    <row r="108" spans="1:23" ht="12" customHeight="1" x14ac:dyDescent="0.15"/>
    <row r="109" spans="1:23" ht="12" customHeight="1" x14ac:dyDescent="0.15">
      <c r="K109" s="246" t="s">
        <v>86</v>
      </c>
    </row>
    <row r="110" spans="1:23" s="244" customFormat="1" ht="21" customHeight="1" x14ac:dyDescent="0.15">
      <c r="A110" s="1026" t="s">
        <v>153</v>
      </c>
      <c r="B110" s="799" t="s">
        <v>275</v>
      </c>
      <c r="C110" s="790"/>
      <c r="D110" s="790"/>
      <c r="E110" s="790"/>
      <c r="F110" s="790"/>
      <c r="G110" s="790"/>
      <c r="H110" s="790"/>
      <c r="I110" s="790"/>
      <c r="J110" s="790"/>
      <c r="K110" s="790"/>
      <c r="L110" s="790"/>
      <c r="M110" s="790"/>
      <c r="N110" s="790"/>
      <c r="O110" s="790"/>
      <c r="P110" s="790"/>
      <c r="Q110" s="790"/>
      <c r="R110" s="790"/>
      <c r="S110" s="790"/>
      <c r="T110" s="790"/>
      <c r="U110" s="790"/>
      <c r="V110" s="790"/>
      <c r="W110" s="1029" t="s">
        <v>72</v>
      </c>
    </row>
    <row r="111" spans="1:23" s="244" customFormat="1" ht="21" customHeight="1" x14ac:dyDescent="0.15">
      <c r="A111" s="1027"/>
      <c r="B111" s="799" t="s">
        <v>239</v>
      </c>
      <c r="C111" s="790"/>
      <c r="D111" s="790"/>
      <c r="E111" s="790"/>
      <c r="F111" s="790"/>
      <c r="G111" s="790"/>
      <c r="H111" s="790"/>
      <c r="I111" s="790"/>
      <c r="J111" s="790"/>
      <c r="K111" s="790"/>
      <c r="L111" s="790"/>
      <c r="M111" s="790"/>
      <c r="N111" s="790"/>
      <c r="O111" s="790"/>
      <c r="P111" s="790"/>
      <c r="Q111" s="788"/>
      <c r="R111" s="789" t="s">
        <v>238</v>
      </c>
      <c r="S111" s="790"/>
      <c r="T111" s="790"/>
      <c r="U111" s="790"/>
      <c r="V111" s="790"/>
      <c r="W111" s="1030"/>
    </row>
    <row r="112" spans="1:23" s="244" customFormat="1" ht="52.5" customHeight="1" x14ac:dyDescent="0.15">
      <c r="A112" s="1028"/>
      <c r="B112" s="245" t="s">
        <v>255</v>
      </c>
      <c r="C112" s="245" t="s">
        <v>234</v>
      </c>
      <c r="D112" s="245" t="s">
        <v>233</v>
      </c>
      <c r="E112" s="245" t="s">
        <v>232</v>
      </c>
      <c r="F112" s="245" t="s">
        <v>282</v>
      </c>
      <c r="G112" s="245" t="s">
        <v>231</v>
      </c>
      <c r="H112" s="245" t="s">
        <v>260</v>
      </c>
      <c r="I112" s="245" t="s">
        <v>281</v>
      </c>
      <c r="J112" s="245" t="s">
        <v>280</v>
      </c>
      <c r="K112" s="245" t="s">
        <v>534</v>
      </c>
      <c r="L112" s="245" t="s">
        <v>243</v>
      </c>
      <c r="M112" s="245" t="s">
        <v>242</v>
      </c>
      <c r="N112" s="245" t="s">
        <v>241</v>
      </c>
      <c r="O112" s="245" t="s">
        <v>230</v>
      </c>
      <c r="P112" s="245" t="s">
        <v>229</v>
      </c>
      <c r="Q112" s="248" t="s">
        <v>925</v>
      </c>
      <c r="R112" s="530" t="s">
        <v>926</v>
      </c>
      <c r="S112" s="245" t="s">
        <v>927</v>
      </c>
      <c r="T112" s="245" t="s">
        <v>278</v>
      </c>
      <c r="U112" s="248" t="s">
        <v>922</v>
      </c>
      <c r="V112" s="247" t="s">
        <v>227</v>
      </c>
      <c r="W112" s="1031"/>
    </row>
    <row r="113" spans="1:23" s="241" customFormat="1" ht="9.75" customHeight="1" x14ac:dyDescent="0.15">
      <c r="A113" s="645" t="s">
        <v>831</v>
      </c>
      <c r="B113" s="792">
        <v>91836</v>
      </c>
      <c r="C113" s="793">
        <v>94780</v>
      </c>
      <c r="D113" s="793">
        <v>326247</v>
      </c>
      <c r="E113" s="793">
        <v>122549</v>
      </c>
      <c r="F113" s="793">
        <v>21661</v>
      </c>
      <c r="G113" s="793" t="s">
        <v>796</v>
      </c>
      <c r="H113" s="793">
        <v>1882304</v>
      </c>
      <c r="I113" s="793">
        <v>14825</v>
      </c>
      <c r="J113" s="793">
        <v>30593</v>
      </c>
      <c r="K113" s="793">
        <v>91803</v>
      </c>
      <c r="L113" s="793">
        <v>939424</v>
      </c>
      <c r="M113" s="793">
        <v>1222091</v>
      </c>
      <c r="N113" s="793">
        <v>2044535</v>
      </c>
      <c r="O113" s="793">
        <v>5859243</v>
      </c>
      <c r="P113" s="793">
        <v>31678</v>
      </c>
      <c r="Q113" s="793">
        <v>4576678</v>
      </c>
      <c r="R113" s="793">
        <v>1947894</v>
      </c>
      <c r="S113" s="793">
        <v>332435</v>
      </c>
      <c r="T113" s="793" t="s">
        <v>796</v>
      </c>
      <c r="U113" s="793" t="s">
        <v>796</v>
      </c>
      <c r="V113" s="793" t="s">
        <v>796</v>
      </c>
      <c r="W113" s="794" t="s">
        <v>517</v>
      </c>
    </row>
    <row r="114" spans="1:23" s="241" customFormat="1" ht="9.75" customHeight="1" x14ac:dyDescent="0.15">
      <c r="A114" s="448" t="s">
        <v>557</v>
      </c>
      <c r="B114" s="241">
        <v>145148</v>
      </c>
      <c r="C114" s="241">
        <v>165342</v>
      </c>
      <c r="D114" s="241">
        <v>349319</v>
      </c>
      <c r="E114" s="241">
        <v>235299</v>
      </c>
      <c r="F114" s="241" t="s">
        <v>796</v>
      </c>
      <c r="G114" s="241" t="s">
        <v>796</v>
      </c>
      <c r="H114" s="241">
        <v>1562807</v>
      </c>
      <c r="I114" s="241" t="s">
        <v>796</v>
      </c>
      <c r="J114" s="241">
        <v>11553</v>
      </c>
      <c r="K114" s="241">
        <v>103033</v>
      </c>
      <c r="L114" s="241">
        <v>1268082</v>
      </c>
      <c r="M114" s="241">
        <v>2325577</v>
      </c>
      <c r="N114" s="241">
        <v>2172238</v>
      </c>
      <c r="O114" s="241">
        <v>5185461</v>
      </c>
      <c r="P114" s="241">
        <v>552695</v>
      </c>
      <c r="Q114" s="241">
        <v>5804822</v>
      </c>
      <c r="R114" s="241">
        <v>2006329</v>
      </c>
      <c r="S114" s="241">
        <v>100565</v>
      </c>
      <c r="T114" s="241" t="s">
        <v>796</v>
      </c>
      <c r="U114" s="241">
        <v>4626</v>
      </c>
      <c r="V114" s="241" t="s">
        <v>796</v>
      </c>
      <c r="W114" s="242" t="s">
        <v>558</v>
      </c>
    </row>
    <row r="115" spans="1:23" s="241" customFormat="1" ht="9.75" customHeight="1" x14ac:dyDescent="0.15">
      <c r="A115" s="448" t="s">
        <v>682</v>
      </c>
      <c r="B115" s="241">
        <v>85698</v>
      </c>
      <c r="C115" s="241">
        <v>666071</v>
      </c>
      <c r="D115" s="241">
        <v>246970</v>
      </c>
      <c r="E115" s="241" t="s">
        <v>796</v>
      </c>
      <c r="F115" s="241" t="s">
        <v>796</v>
      </c>
      <c r="G115" s="241">
        <v>7487</v>
      </c>
      <c r="H115" s="241">
        <v>688517</v>
      </c>
      <c r="I115" s="241">
        <v>93614</v>
      </c>
      <c r="J115" s="241" t="s">
        <v>796</v>
      </c>
      <c r="K115" s="241" t="s">
        <v>796</v>
      </c>
      <c r="L115" s="241">
        <v>1110367</v>
      </c>
      <c r="M115" s="241">
        <v>1864046</v>
      </c>
      <c r="N115" s="241">
        <v>2328791</v>
      </c>
      <c r="O115" s="241">
        <v>4508497</v>
      </c>
      <c r="P115" s="241">
        <v>15896</v>
      </c>
      <c r="Q115" s="241">
        <v>6490575</v>
      </c>
      <c r="R115" s="241">
        <v>1251843</v>
      </c>
      <c r="S115" s="241">
        <v>43547</v>
      </c>
      <c r="T115" s="241">
        <v>80648</v>
      </c>
      <c r="U115" s="241">
        <v>114731</v>
      </c>
      <c r="V115" s="241">
        <v>51341</v>
      </c>
      <c r="W115" s="242" t="s">
        <v>683</v>
      </c>
    </row>
    <row r="116" spans="1:23" s="241" customFormat="1" ht="9.75" customHeight="1" x14ac:dyDescent="0.15">
      <c r="A116" s="448" t="s">
        <v>784</v>
      </c>
      <c r="B116" s="241">
        <v>288223</v>
      </c>
      <c r="C116" s="241">
        <v>96049</v>
      </c>
      <c r="D116" s="241">
        <v>56134</v>
      </c>
      <c r="E116" s="241" t="s">
        <v>796</v>
      </c>
      <c r="F116" s="241" t="s">
        <v>796</v>
      </c>
      <c r="G116" s="241" t="s">
        <v>796</v>
      </c>
      <c r="H116" s="241">
        <v>208016</v>
      </c>
      <c r="I116" s="241" t="s">
        <v>796</v>
      </c>
      <c r="J116" s="241" t="s">
        <v>796</v>
      </c>
      <c r="K116" s="241">
        <v>58686</v>
      </c>
      <c r="L116" s="241">
        <v>1095838</v>
      </c>
      <c r="M116" s="241">
        <v>1560962</v>
      </c>
      <c r="N116" s="241">
        <v>3716945</v>
      </c>
      <c r="O116" s="241">
        <v>5134118</v>
      </c>
      <c r="P116" s="241">
        <v>124655</v>
      </c>
      <c r="Q116" s="241">
        <v>7013758</v>
      </c>
      <c r="R116" s="241">
        <v>664795</v>
      </c>
      <c r="S116" s="241" t="s">
        <v>796</v>
      </c>
      <c r="T116" s="241" t="s">
        <v>796</v>
      </c>
      <c r="U116" s="241" t="s">
        <v>796</v>
      </c>
      <c r="V116" s="241" t="s">
        <v>796</v>
      </c>
      <c r="W116" s="242" t="s">
        <v>785</v>
      </c>
    </row>
    <row r="117" spans="1:23" s="241" customFormat="1" ht="9.75" customHeight="1" x14ac:dyDescent="0.15">
      <c r="A117" s="448" t="s">
        <v>832</v>
      </c>
      <c r="B117" s="241">
        <v>129340</v>
      </c>
      <c r="C117" s="241" t="s">
        <v>796</v>
      </c>
      <c r="D117" s="241">
        <v>3663</v>
      </c>
      <c r="E117" s="241" t="s">
        <v>796</v>
      </c>
      <c r="F117" s="241" t="s">
        <v>796</v>
      </c>
      <c r="G117" s="241" t="s">
        <v>796</v>
      </c>
      <c r="H117" s="241">
        <v>316215</v>
      </c>
      <c r="I117" s="241" t="s">
        <v>796</v>
      </c>
      <c r="J117" s="241" t="s">
        <v>796</v>
      </c>
      <c r="K117" s="241">
        <v>31827</v>
      </c>
      <c r="L117" s="241">
        <v>438503</v>
      </c>
      <c r="M117" s="241">
        <v>720274</v>
      </c>
      <c r="N117" s="241">
        <v>4998968</v>
      </c>
      <c r="O117" s="241">
        <v>3967676</v>
      </c>
      <c r="P117" s="241">
        <v>174792</v>
      </c>
      <c r="Q117" s="241">
        <v>7029284</v>
      </c>
      <c r="R117" s="241" t="s">
        <v>796</v>
      </c>
      <c r="S117" s="241" t="s">
        <v>796</v>
      </c>
      <c r="T117" s="241" t="s">
        <v>796</v>
      </c>
      <c r="U117" s="241" t="s">
        <v>796</v>
      </c>
      <c r="V117" s="241" t="s">
        <v>796</v>
      </c>
      <c r="W117" s="242" t="s">
        <v>833</v>
      </c>
    </row>
    <row r="118" spans="1:23" s="241" customFormat="1" ht="6.75" customHeight="1" x14ac:dyDescent="0.15">
      <c r="A118" s="464"/>
      <c r="W118" s="242"/>
    </row>
    <row r="119" spans="1:23" s="241" customFormat="1" ht="9.75" customHeight="1" x14ac:dyDescent="0.15">
      <c r="A119" s="448" t="s">
        <v>834</v>
      </c>
      <c r="B119" s="241">
        <v>265732</v>
      </c>
      <c r="C119" s="241">
        <v>48503</v>
      </c>
      <c r="D119" s="241">
        <v>11075</v>
      </c>
      <c r="E119" s="241" t="s">
        <v>796</v>
      </c>
      <c r="F119" s="241" t="s">
        <v>796</v>
      </c>
      <c r="G119" s="241" t="s">
        <v>796</v>
      </c>
      <c r="H119" s="241">
        <v>214126</v>
      </c>
      <c r="I119" s="241" t="s">
        <v>796</v>
      </c>
      <c r="J119" s="241" t="s">
        <v>796</v>
      </c>
      <c r="K119" s="241">
        <v>58686</v>
      </c>
      <c r="L119" s="241">
        <v>1010193</v>
      </c>
      <c r="M119" s="241">
        <v>1191888</v>
      </c>
      <c r="N119" s="241">
        <v>4237665</v>
      </c>
      <c r="O119" s="241">
        <v>4988690</v>
      </c>
      <c r="P119" s="241">
        <v>124655</v>
      </c>
      <c r="Q119" s="241">
        <v>7187908</v>
      </c>
      <c r="R119" s="241">
        <v>590156</v>
      </c>
      <c r="S119" s="241" t="s">
        <v>796</v>
      </c>
      <c r="T119" s="241" t="s">
        <v>796</v>
      </c>
      <c r="U119" s="241" t="s">
        <v>796</v>
      </c>
      <c r="V119" s="241" t="s">
        <v>796</v>
      </c>
      <c r="W119" s="242" t="s">
        <v>786</v>
      </c>
    </row>
    <row r="120" spans="1:23" s="241" customFormat="1" ht="9.75" customHeight="1" x14ac:dyDescent="0.15">
      <c r="A120" s="448" t="s">
        <v>835</v>
      </c>
      <c r="B120" s="241">
        <v>142734</v>
      </c>
      <c r="C120" s="241">
        <v>9296</v>
      </c>
      <c r="D120" s="241">
        <v>7058</v>
      </c>
      <c r="E120" s="241" t="s">
        <v>796</v>
      </c>
      <c r="F120" s="241" t="s">
        <v>796</v>
      </c>
      <c r="G120" s="241" t="s">
        <v>796</v>
      </c>
      <c r="H120" s="241">
        <v>499184</v>
      </c>
      <c r="I120" s="241" t="s">
        <v>796</v>
      </c>
      <c r="J120" s="241" t="s">
        <v>796</v>
      </c>
      <c r="K120" s="241">
        <v>61434</v>
      </c>
      <c r="L120" s="241">
        <v>600289</v>
      </c>
      <c r="M120" s="241">
        <v>436885</v>
      </c>
      <c r="N120" s="241">
        <v>4483297</v>
      </c>
      <c r="O120" s="241">
        <v>4057900</v>
      </c>
      <c r="P120" s="241">
        <v>210405</v>
      </c>
      <c r="Q120" s="241">
        <v>7127860</v>
      </c>
      <c r="R120" s="241" t="s">
        <v>796</v>
      </c>
      <c r="S120" s="241" t="s">
        <v>796</v>
      </c>
      <c r="T120" s="241" t="s">
        <v>796</v>
      </c>
      <c r="U120" s="241" t="s">
        <v>796</v>
      </c>
      <c r="V120" s="241" t="s">
        <v>796</v>
      </c>
      <c r="W120" s="242" t="s">
        <v>836</v>
      </c>
    </row>
    <row r="121" spans="1:23" s="241" customFormat="1" ht="6.75" customHeight="1" x14ac:dyDescent="0.15">
      <c r="A121" s="464"/>
      <c r="W121" s="242"/>
    </row>
    <row r="122" spans="1:23" s="241" customFormat="1" ht="9.75" customHeight="1" x14ac:dyDescent="0.15">
      <c r="A122" s="448" t="s">
        <v>837</v>
      </c>
      <c r="B122" s="241">
        <v>26769</v>
      </c>
      <c r="C122" s="241" t="s">
        <v>796</v>
      </c>
      <c r="D122" s="241" t="s">
        <v>796</v>
      </c>
      <c r="E122" s="241" t="s">
        <v>796</v>
      </c>
      <c r="F122" s="241" t="s">
        <v>796</v>
      </c>
      <c r="G122" s="241" t="s">
        <v>796</v>
      </c>
      <c r="H122" s="241">
        <v>46292</v>
      </c>
      <c r="I122" s="241" t="s">
        <v>796</v>
      </c>
      <c r="J122" s="241" t="s">
        <v>796</v>
      </c>
      <c r="K122" s="241" t="s">
        <v>796</v>
      </c>
      <c r="L122" s="241">
        <v>245688</v>
      </c>
      <c r="M122" s="241">
        <v>324951</v>
      </c>
      <c r="N122" s="241">
        <v>1437551</v>
      </c>
      <c r="O122" s="241">
        <v>1041969</v>
      </c>
      <c r="P122" s="241" t="s">
        <v>796</v>
      </c>
      <c r="Q122" s="241">
        <v>1686744</v>
      </c>
      <c r="R122" s="241" t="s">
        <v>796</v>
      </c>
      <c r="S122" s="241" t="s">
        <v>796</v>
      </c>
      <c r="T122" s="241" t="s">
        <v>796</v>
      </c>
      <c r="U122" s="241" t="s">
        <v>796</v>
      </c>
      <c r="V122" s="241" t="s">
        <v>796</v>
      </c>
      <c r="W122" s="242" t="s">
        <v>787</v>
      </c>
    </row>
    <row r="123" spans="1:23" s="241" customFormat="1" ht="9.75" customHeight="1" x14ac:dyDescent="0.15">
      <c r="A123" s="448" t="s">
        <v>559</v>
      </c>
      <c r="B123" s="241">
        <v>51349</v>
      </c>
      <c r="C123" s="241" t="s">
        <v>796</v>
      </c>
      <c r="D123" s="241">
        <v>3663</v>
      </c>
      <c r="E123" s="241" t="s">
        <v>796</v>
      </c>
      <c r="F123" s="241" t="s">
        <v>796</v>
      </c>
      <c r="G123" s="241" t="s">
        <v>796</v>
      </c>
      <c r="H123" s="241">
        <v>101526</v>
      </c>
      <c r="I123" s="241" t="s">
        <v>796</v>
      </c>
      <c r="J123" s="241" t="s">
        <v>796</v>
      </c>
      <c r="K123" s="241">
        <v>28689</v>
      </c>
      <c r="L123" s="241">
        <v>35427</v>
      </c>
      <c r="M123" s="241">
        <v>45174</v>
      </c>
      <c r="N123" s="241">
        <v>854642</v>
      </c>
      <c r="O123" s="241">
        <v>1017162</v>
      </c>
      <c r="P123" s="241">
        <v>82749</v>
      </c>
      <c r="Q123" s="241">
        <v>2143702</v>
      </c>
      <c r="R123" s="241" t="s">
        <v>796</v>
      </c>
      <c r="S123" s="241" t="s">
        <v>796</v>
      </c>
      <c r="T123" s="241" t="s">
        <v>796</v>
      </c>
      <c r="U123" s="241" t="s">
        <v>796</v>
      </c>
      <c r="V123" s="241" t="s">
        <v>796</v>
      </c>
      <c r="W123" s="242" t="s">
        <v>78</v>
      </c>
    </row>
    <row r="124" spans="1:23" s="241" customFormat="1" ht="9.75" customHeight="1" x14ac:dyDescent="0.15">
      <c r="A124" s="448" t="s">
        <v>560</v>
      </c>
      <c r="B124" s="241">
        <v>51222</v>
      </c>
      <c r="C124" s="241" t="s">
        <v>796</v>
      </c>
      <c r="D124" s="241" t="s">
        <v>796</v>
      </c>
      <c r="E124" s="241" t="s">
        <v>796</v>
      </c>
      <c r="F124" s="241" t="s">
        <v>796</v>
      </c>
      <c r="G124" s="241" t="s">
        <v>796</v>
      </c>
      <c r="H124" s="241">
        <v>111360</v>
      </c>
      <c r="I124" s="241" t="s">
        <v>796</v>
      </c>
      <c r="J124" s="241" t="s">
        <v>796</v>
      </c>
      <c r="K124" s="241" t="s">
        <v>796</v>
      </c>
      <c r="L124" s="241">
        <v>80371</v>
      </c>
      <c r="M124" s="241">
        <v>241442</v>
      </c>
      <c r="N124" s="241">
        <v>1288676</v>
      </c>
      <c r="O124" s="241">
        <v>1007392</v>
      </c>
      <c r="P124" s="241" t="s">
        <v>796</v>
      </c>
      <c r="Q124" s="241">
        <v>1511006</v>
      </c>
      <c r="R124" s="241" t="s">
        <v>796</v>
      </c>
      <c r="S124" s="241" t="s">
        <v>796</v>
      </c>
      <c r="T124" s="241" t="s">
        <v>796</v>
      </c>
      <c r="U124" s="241" t="s">
        <v>796</v>
      </c>
      <c r="V124" s="241" t="s">
        <v>796</v>
      </c>
      <c r="W124" s="242" t="s">
        <v>79</v>
      </c>
    </row>
    <row r="125" spans="1:23" s="241" customFormat="1" ht="9.75" customHeight="1" x14ac:dyDescent="0.15">
      <c r="A125" s="448" t="s">
        <v>561</v>
      </c>
      <c r="B125" s="241" t="s">
        <v>796</v>
      </c>
      <c r="C125" s="241" t="s">
        <v>796</v>
      </c>
      <c r="D125" s="241" t="s">
        <v>796</v>
      </c>
      <c r="E125" s="241" t="s">
        <v>796</v>
      </c>
      <c r="F125" s="241" t="s">
        <v>796</v>
      </c>
      <c r="G125" s="241" t="s">
        <v>796</v>
      </c>
      <c r="H125" s="241">
        <v>57037</v>
      </c>
      <c r="I125" s="241" t="s">
        <v>796</v>
      </c>
      <c r="J125" s="241" t="s">
        <v>796</v>
      </c>
      <c r="K125" s="241">
        <v>3138</v>
      </c>
      <c r="L125" s="241">
        <v>77017</v>
      </c>
      <c r="M125" s="241">
        <v>108707</v>
      </c>
      <c r="N125" s="241">
        <v>1418099</v>
      </c>
      <c r="O125" s="241">
        <v>901153</v>
      </c>
      <c r="P125" s="241">
        <v>92043</v>
      </c>
      <c r="Q125" s="241">
        <v>1687832</v>
      </c>
      <c r="R125" s="241" t="s">
        <v>796</v>
      </c>
      <c r="S125" s="241" t="s">
        <v>796</v>
      </c>
      <c r="T125" s="241" t="s">
        <v>796</v>
      </c>
      <c r="U125" s="241" t="s">
        <v>796</v>
      </c>
      <c r="V125" s="241" t="s">
        <v>796</v>
      </c>
      <c r="W125" s="242" t="s">
        <v>80</v>
      </c>
    </row>
    <row r="126" spans="1:23" s="241" customFormat="1" ht="9.75" customHeight="1" x14ac:dyDescent="0.15">
      <c r="A126" s="448" t="s">
        <v>838</v>
      </c>
      <c r="B126" s="241">
        <v>40163</v>
      </c>
      <c r="C126" s="241">
        <v>9296</v>
      </c>
      <c r="D126" s="241">
        <v>3395</v>
      </c>
      <c r="E126" s="241" t="s">
        <v>796</v>
      </c>
      <c r="F126" s="241" t="s">
        <v>796</v>
      </c>
      <c r="G126" s="241" t="s">
        <v>796</v>
      </c>
      <c r="H126" s="241">
        <v>229261</v>
      </c>
      <c r="I126" s="241" t="s">
        <v>796</v>
      </c>
      <c r="J126" s="241" t="s">
        <v>796</v>
      </c>
      <c r="K126" s="241">
        <v>29607</v>
      </c>
      <c r="L126" s="241">
        <v>407474</v>
      </c>
      <c r="M126" s="241">
        <v>41562</v>
      </c>
      <c r="N126" s="241">
        <v>921880</v>
      </c>
      <c r="O126" s="241">
        <v>1132193</v>
      </c>
      <c r="P126" s="241">
        <v>35613</v>
      </c>
      <c r="Q126" s="241">
        <v>1785320</v>
      </c>
      <c r="R126" s="241" t="s">
        <v>796</v>
      </c>
      <c r="S126" s="241" t="s">
        <v>796</v>
      </c>
      <c r="T126" s="241" t="s">
        <v>796</v>
      </c>
      <c r="U126" s="241" t="s">
        <v>796</v>
      </c>
      <c r="V126" s="241" t="s">
        <v>796</v>
      </c>
      <c r="W126" s="242" t="s">
        <v>839</v>
      </c>
    </row>
    <row r="127" spans="1:23" s="241" customFormat="1" ht="6.75" customHeight="1" x14ac:dyDescent="0.15">
      <c r="A127" s="464"/>
      <c r="W127" s="242"/>
    </row>
    <row r="128" spans="1:23" s="241" customFormat="1" ht="9.75" customHeight="1" x14ac:dyDescent="0.15">
      <c r="A128" s="448" t="s">
        <v>840</v>
      </c>
      <c r="B128" s="241" t="s">
        <v>796</v>
      </c>
      <c r="C128" s="241" t="s">
        <v>796</v>
      </c>
      <c r="D128" s="241" t="s">
        <v>796</v>
      </c>
      <c r="E128" s="241" t="s">
        <v>796</v>
      </c>
      <c r="F128" s="241" t="s">
        <v>796</v>
      </c>
      <c r="G128" s="241" t="s">
        <v>796</v>
      </c>
      <c r="H128" s="241">
        <v>46292</v>
      </c>
      <c r="I128" s="241" t="s">
        <v>796</v>
      </c>
      <c r="J128" s="241" t="s">
        <v>796</v>
      </c>
      <c r="K128" s="241" t="s">
        <v>796</v>
      </c>
      <c r="L128" s="241">
        <v>164938</v>
      </c>
      <c r="M128" s="241">
        <v>147867</v>
      </c>
      <c r="N128" s="241">
        <v>238862</v>
      </c>
      <c r="O128" s="241">
        <v>313694</v>
      </c>
      <c r="P128" s="241" t="s">
        <v>796</v>
      </c>
      <c r="Q128" s="241">
        <v>681693</v>
      </c>
      <c r="R128" s="241" t="s">
        <v>796</v>
      </c>
      <c r="S128" s="241" t="s">
        <v>796</v>
      </c>
      <c r="T128" s="241" t="s">
        <v>796</v>
      </c>
      <c r="U128" s="241" t="s">
        <v>796</v>
      </c>
      <c r="V128" s="241" t="s">
        <v>796</v>
      </c>
      <c r="W128" s="242" t="s">
        <v>788</v>
      </c>
    </row>
    <row r="129" spans="1:23" s="241" customFormat="1" ht="9.75" customHeight="1" x14ac:dyDescent="0.15">
      <c r="A129" s="448" t="s">
        <v>562</v>
      </c>
      <c r="B129" s="241" t="s">
        <v>796</v>
      </c>
      <c r="C129" s="241" t="s">
        <v>796</v>
      </c>
      <c r="D129" s="241" t="s">
        <v>796</v>
      </c>
      <c r="E129" s="241" t="s">
        <v>796</v>
      </c>
      <c r="F129" s="241" t="s">
        <v>796</v>
      </c>
      <c r="G129" s="241" t="s">
        <v>796</v>
      </c>
      <c r="H129" s="241" t="s">
        <v>796</v>
      </c>
      <c r="I129" s="241" t="s">
        <v>796</v>
      </c>
      <c r="J129" s="241" t="s">
        <v>796</v>
      </c>
      <c r="K129" s="241" t="s">
        <v>796</v>
      </c>
      <c r="L129" s="241">
        <v>80750</v>
      </c>
      <c r="M129" s="241">
        <v>64915</v>
      </c>
      <c r="N129" s="241">
        <v>628251</v>
      </c>
      <c r="O129" s="241">
        <v>420954</v>
      </c>
      <c r="P129" s="241" t="s">
        <v>796</v>
      </c>
      <c r="Q129" s="241">
        <v>380392</v>
      </c>
      <c r="R129" s="241" t="s">
        <v>796</v>
      </c>
      <c r="S129" s="241" t="s">
        <v>796</v>
      </c>
      <c r="T129" s="241" t="s">
        <v>796</v>
      </c>
      <c r="U129" s="241" t="s">
        <v>796</v>
      </c>
      <c r="V129" s="241" t="s">
        <v>796</v>
      </c>
      <c r="W129" s="242" t="s">
        <v>66</v>
      </c>
    </row>
    <row r="130" spans="1:23" s="241" customFormat="1" ht="9.75" customHeight="1" x14ac:dyDescent="0.15">
      <c r="A130" s="448" t="s">
        <v>563</v>
      </c>
      <c r="B130" s="241">
        <v>26769</v>
      </c>
      <c r="C130" s="241" t="s">
        <v>796</v>
      </c>
      <c r="D130" s="241" t="s">
        <v>796</v>
      </c>
      <c r="E130" s="241" t="s">
        <v>796</v>
      </c>
      <c r="F130" s="241" t="s">
        <v>796</v>
      </c>
      <c r="G130" s="241" t="s">
        <v>796</v>
      </c>
      <c r="H130" s="241" t="s">
        <v>796</v>
      </c>
      <c r="I130" s="241" t="s">
        <v>796</v>
      </c>
      <c r="J130" s="241" t="s">
        <v>796</v>
      </c>
      <c r="K130" s="241" t="s">
        <v>796</v>
      </c>
      <c r="L130" s="241" t="s">
        <v>796</v>
      </c>
      <c r="M130" s="241">
        <v>112169</v>
      </c>
      <c r="N130" s="241">
        <v>570438</v>
      </c>
      <c r="O130" s="241">
        <v>307321</v>
      </c>
      <c r="P130" s="241" t="s">
        <v>796</v>
      </c>
      <c r="Q130" s="241">
        <v>624659</v>
      </c>
      <c r="R130" s="241" t="s">
        <v>796</v>
      </c>
      <c r="S130" s="241" t="s">
        <v>796</v>
      </c>
      <c r="T130" s="241" t="s">
        <v>796</v>
      </c>
      <c r="U130" s="241" t="s">
        <v>796</v>
      </c>
      <c r="V130" s="241" t="s">
        <v>796</v>
      </c>
      <c r="W130" s="242" t="s">
        <v>67</v>
      </c>
    </row>
    <row r="131" spans="1:23" s="241" customFormat="1" ht="9.75" customHeight="1" x14ac:dyDescent="0.15">
      <c r="A131" s="448" t="s">
        <v>564</v>
      </c>
      <c r="B131" s="241" t="s">
        <v>796</v>
      </c>
      <c r="C131" s="241" t="s">
        <v>796</v>
      </c>
      <c r="D131" s="241">
        <v>3663</v>
      </c>
      <c r="E131" s="241" t="s">
        <v>796</v>
      </c>
      <c r="F131" s="241" t="s">
        <v>796</v>
      </c>
      <c r="G131" s="241" t="s">
        <v>796</v>
      </c>
      <c r="H131" s="241">
        <v>50518</v>
      </c>
      <c r="I131" s="241" t="s">
        <v>796</v>
      </c>
      <c r="J131" s="241" t="s">
        <v>796</v>
      </c>
      <c r="K131" s="241">
        <v>28689</v>
      </c>
      <c r="L131" s="241" t="s">
        <v>796</v>
      </c>
      <c r="M131" s="241" t="s">
        <v>796</v>
      </c>
      <c r="N131" s="241">
        <v>79680</v>
      </c>
      <c r="O131" s="241">
        <v>419719</v>
      </c>
      <c r="P131" s="241" t="s">
        <v>796</v>
      </c>
      <c r="Q131" s="241">
        <v>977859</v>
      </c>
      <c r="R131" s="241" t="s">
        <v>796</v>
      </c>
      <c r="S131" s="241" t="s">
        <v>796</v>
      </c>
      <c r="T131" s="241" t="s">
        <v>796</v>
      </c>
      <c r="U131" s="241" t="s">
        <v>796</v>
      </c>
      <c r="V131" s="241" t="s">
        <v>796</v>
      </c>
      <c r="W131" s="242" t="s">
        <v>68</v>
      </c>
    </row>
    <row r="132" spans="1:23" s="241" customFormat="1" ht="9.75" customHeight="1" x14ac:dyDescent="0.15">
      <c r="A132" s="448" t="s">
        <v>565</v>
      </c>
      <c r="B132" s="241" t="s">
        <v>796</v>
      </c>
      <c r="C132" s="241" t="s">
        <v>796</v>
      </c>
      <c r="D132" s="241" t="s">
        <v>796</v>
      </c>
      <c r="E132" s="241" t="s">
        <v>796</v>
      </c>
      <c r="F132" s="241" t="s">
        <v>796</v>
      </c>
      <c r="G132" s="241" t="s">
        <v>796</v>
      </c>
      <c r="H132" s="241">
        <v>51008</v>
      </c>
      <c r="I132" s="241" t="s">
        <v>796</v>
      </c>
      <c r="J132" s="241" t="s">
        <v>796</v>
      </c>
      <c r="K132" s="241" t="s">
        <v>796</v>
      </c>
      <c r="L132" s="241">
        <v>35427</v>
      </c>
      <c r="M132" s="241">
        <v>45174</v>
      </c>
      <c r="N132" s="241">
        <v>391595</v>
      </c>
      <c r="O132" s="241">
        <v>218895</v>
      </c>
      <c r="P132" s="241" t="s">
        <v>796</v>
      </c>
      <c r="Q132" s="241">
        <v>618103</v>
      </c>
      <c r="R132" s="241" t="s">
        <v>796</v>
      </c>
      <c r="S132" s="241" t="s">
        <v>796</v>
      </c>
      <c r="T132" s="241" t="s">
        <v>796</v>
      </c>
      <c r="U132" s="241" t="s">
        <v>796</v>
      </c>
      <c r="V132" s="241" t="s">
        <v>796</v>
      </c>
      <c r="W132" s="242" t="s">
        <v>81</v>
      </c>
    </row>
    <row r="133" spans="1:23" s="241" customFormat="1" ht="9.75" customHeight="1" x14ac:dyDescent="0.15">
      <c r="A133" s="448" t="s">
        <v>566</v>
      </c>
      <c r="B133" s="241">
        <v>51349</v>
      </c>
      <c r="C133" s="241" t="s">
        <v>796</v>
      </c>
      <c r="D133" s="241" t="s">
        <v>796</v>
      </c>
      <c r="E133" s="241" t="s">
        <v>796</v>
      </c>
      <c r="F133" s="241" t="s">
        <v>796</v>
      </c>
      <c r="G133" s="241" t="s">
        <v>796</v>
      </c>
      <c r="H133" s="241" t="s">
        <v>796</v>
      </c>
      <c r="I133" s="241" t="s">
        <v>796</v>
      </c>
      <c r="J133" s="241" t="s">
        <v>796</v>
      </c>
      <c r="K133" s="241" t="s">
        <v>796</v>
      </c>
      <c r="L133" s="241" t="s">
        <v>796</v>
      </c>
      <c r="M133" s="241" t="s">
        <v>796</v>
      </c>
      <c r="N133" s="241">
        <v>383367</v>
      </c>
      <c r="O133" s="241">
        <v>378548</v>
      </c>
      <c r="P133" s="241">
        <v>82749</v>
      </c>
      <c r="Q133" s="241">
        <v>547740</v>
      </c>
      <c r="R133" s="241" t="s">
        <v>796</v>
      </c>
      <c r="S133" s="241" t="s">
        <v>796</v>
      </c>
      <c r="T133" s="241" t="s">
        <v>796</v>
      </c>
      <c r="U133" s="241" t="s">
        <v>796</v>
      </c>
      <c r="V133" s="241" t="s">
        <v>796</v>
      </c>
      <c r="W133" s="242" t="s">
        <v>82</v>
      </c>
    </row>
    <row r="134" spans="1:23" s="241" customFormat="1" ht="9.75" customHeight="1" x14ac:dyDescent="0.15">
      <c r="A134" s="448" t="s">
        <v>567</v>
      </c>
      <c r="B134" s="241" t="s">
        <v>796</v>
      </c>
      <c r="C134" s="241" t="s">
        <v>796</v>
      </c>
      <c r="D134" s="241" t="s">
        <v>796</v>
      </c>
      <c r="E134" s="241" t="s">
        <v>796</v>
      </c>
      <c r="F134" s="241" t="s">
        <v>796</v>
      </c>
      <c r="G134" s="241" t="s">
        <v>796</v>
      </c>
      <c r="H134" s="241" t="s">
        <v>796</v>
      </c>
      <c r="I134" s="241" t="s">
        <v>796</v>
      </c>
      <c r="J134" s="241" t="s">
        <v>796</v>
      </c>
      <c r="K134" s="241" t="s">
        <v>796</v>
      </c>
      <c r="L134" s="241" t="s">
        <v>796</v>
      </c>
      <c r="M134" s="241">
        <v>79187</v>
      </c>
      <c r="N134" s="241">
        <v>421639</v>
      </c>
      <c r="O134" s="241">
        <v>417864</v>
      </c>
      <c r="P134" s="241" t="s">
        <v>796</v>
      </c>
      <c r="Q134" s="241">
        <v>425981</v>
      </c>
      <c r="R134" s="241" t="s">
        <v>796</v>
      </c>
      <c r="S134" s="241" t="s">
        <v>796</v>
      </c>
      <c r="T134" s="241" t="s">
        <v>796</v>
      </c>
      <c r="U134" s="241" t="s">
        <v>796</v>
      </c>
      <c r="V134" s="241" t="s">
        <v>796</v>
      </c>
      <c r="W134" s="242" t="s">
        <v>83</v>
      </c>
    </row>
    <row r="135" spans="1:23" s="241" customFormat="1" ht="9.75" customHeight="1" x14ac:dyDescent="0.15">
      <c r="A135" s="448" t="s">
        <v>568</v>
      </c>
      <c r="B135" s="241" t="s">
        <v>796</v>
      </c>
      <c r="C135" s="241" t="s">
        <v>796</v>
      </c>
      <c r="D135" s="241" t="s">
        <v>796</v>
      </c>
      <c r="E135" s="241" t="s">
        <v>796</v>
      </c>
      <c r="F135" s="241" t="s">
        <v>796</v>
      </c>
      <c r="G135" s="241" t="s">
        <v>796</v>
      </c>
      <c r="H135" s="241">
        <v>79340</v>
      </c>
      <c r="I135" s="241" t="s">
        <v>796</v>
      </c>
      <c r="J135" s="241" t="s">
        <v>796</v>
      </c>
      <c r="K135" s="241" t="s">
        <v>796</v>
      </c>
      <c r="L135" s="241" t="s">
        <v>796</v>
      </c>
      <c r="M135" s="241" t="s">
        <v>796</v>
      </c>
      <c r="N135" s="241">
        <v>510193</v>
      </c>
      <c r="O135" s="241">
        <v>301731</v>
      </c>
      <c r="P135" s="241" t="s">
        <v>796</v>
      </c>
      <c r="Q135" s="241">
        <v>515392</v>
      </c>
      <c r="R135" s="241" t="s">
        <v>796</v>
      </c>
      <c r="S135" s="241" t="s">
        <v>796</v>
      </c>
      <c r="T135" s="241" t="s">
        <v>796</v>
      </c>
      <c r="U135" s="241" t="s">
        <v>796</v>
      </c>
      <c r="V135" s="241" t="s">
        <v>796</v>
      </c>
      <c r="W135" s="242" t="s">
        <v>84</v>
      </c>
    </row>
    <row r="136" spans="1:23" s="241" customFormat="1" ht="9.75" customHeight="1" x14ac:dyDescent="0.15">
      <c r="A136" s="448" t="s">
        <v>569</v>
      </c>
      <c r="B136" s="241">
        <v>51222</v>
      </c>
      <c r="C136" s="241" t="s">
        <v>796</v>
      </c>
      <c r="D136" s="241" t="s">
        <v>796</v>
      </c>
      <c r="E136" s="241" t="s">
        <v>796</v>
      </c>
      <c r="F136" s="241" t="s">
        <v>796</v>
      </c>
      <c r="G136" s="241" t="s">
        <v>796</v>
      </c>
      <c r="H136" s="241">
        <v>32020</v>
      </c>
      <c r="I136" s="241" t="s">
        <v>796</v>
      </c>
      <c r="J136" s="241" t="s">
        <v>796</v>
      </c>
      <c r="K136" s="241" t="s">
        <v>796</v>
      </c>
      <c r="L136" s="241">
        <v>80371</v>
      </c>
      <c r="M136" s="241">
        <v>162255</v>
      </c>
      <c r="N136" s="241">
        <v>356844</v>
      </c>
      <c r="O136" s="241">
        <v>287797</v>
      </c>
      <c r="P136" s="241" t="s">
        <v>796</v>
      </c>
      <c r="Q136" s="241">
        <v>569633</v>
      </c>
      <c r="R136" s="241" t="s">
        <v>796</v>
      </c>
      <c r="S136" s="241" t="s">
        <v>796</v>
      </c>
      <c r="T136" s="241" t="s">
        <v>796</v>
      </c>
      <c r="U136" s="241" t="s">
        <v>796</v>
      </c>
      <c r="V136" s="241" t="s">
        <v>796</v>
      </c>
      <c r="W136" s="242" t="s">
        <v>85</v>
      </c>
    </row>
    <row r="137" spans="1:23" s="241" customFormat="1" ht="9.75" customHeight="1" x14ac:dyDescent="0.15">
      <c r="A137" s="448" t="s">
        <v>570</v>
      </c>
      <c r="B137" s="241" t="s">
        <v>796</v>
      </c>
      <c r="C137" s="241" t="s">
        <v>796</v>
      </c>
      <c r="D137" s="241" t="s">
        <v>796</v>
      </c>
      <c r="E137" s="241" t="s">
        <v>796</v>
      </c>
      <c r="F137" s="241" t="s">
        <v>796</v>
      </c>
      <c r="G137" s="241" t="s">
        <v>796</v>
      </c>
      <c r="H137" s="241">
        <v>24508</v>
      </c>
      <c r="I137" s="241" t="s">
        <v>796</v>
      </c>
      <c r="J137" s="241" t="s">
        <v>796</v>
      </c>
      <c r="K137" s="241" t="s">
        <v>796</v>
      </c>
      <c r="L137" s="241" t="s">
        <v>796</v>
      </c>
      <c r="M137" s="241">
        <v>61074</v>
      </c>
      <c r="N137" s="241">
        <v>178911</v>
      </c>
      <c r="O137" s="241">
        <v>183775</v>
      </c>
      <c r="P137" s="241">
        <v>41888</v>
      </c>
      <c r="Q137" s="241">
        <v>545094</v>
      </c>
      <c r="R137" s="241" t="s">
        <v>796</v>
      </c>
      <c r="S137" s="241" t="s">
        <v>796</v>
      </c>
      <c r="T137" s="241" t="s">
        <v>796</v>
      </c>
      <c r="U137" s="241" t="s">
        <v>796</v>
      </c>
      <c r="V137" s="241" t="s">
        <v>796</v>
      </c>
      <c r="W137" s="242" t="s">
        <v>69</v>
      </c>
    </row>
    <row r="138" spans="1:23" s="241" customFormat="1" ht="9.75" customHeight="1" x14ac:dyDescent="0.15">
      <c r="A138" s="448" t="s">
        <v>571</v>
      </c>
      <c r="B138" s="241" t="s">
        <v>796</v>
      </c>
      <c r="C138" s="241" t="s">
        <v>796</v>
      </c>
      <c r="D138" s="241" t="s">
        <v>796</v>
      </c>
      <c r="E138" s="241" t="s">
        <v>796</v>
      </c>
      <c r="F138" s="241" t="s">
        <v>796</v>
      </c>
      <c r="G138" s="241" t="s">
        <v>796</v>
      </c>
      <c r="H138" s="241">
        <v>32529</v>
      </c>
      <c r="I138" s="241" t="s">
        <v>796</v>
      </c>
      <c r="J138" s="241" t="s">
        <v>796</v>
      </c>
      <c r="K138" s="241" t="s">
        <v>796</v>
      </c>
      <c r="L138" s="241">
        <v>77017</v>
      </c>
      <c r="M138" s="241" t="s">
        <v>796</v>
      </c>
      <c r="N138" s="241">
        <v>733337</v>
      </c>
      <c r="O138" s="241">
        <v>431270</v>
      </c>
      <c r="P138" s="241">
        <v>9502</v>
      </c>
      <c r="Q138" s="241">
        <v>488549</v>
      </c>
      <c r="R138" s="241" t="s">
        <v>796</v>
      </c>
      <c r="S138" s="241" t="s">
        <v>796</v>
      </c>
      <c r="T138" s="241" t="s">
        <v>796</v>
      </c>
      <c r="U138" s="241" t="s">
        <v>796</v>
      </c>
      <c r="V138" s="241" t="s">
        <v>796</v>
      </c>
      <c r="W138" s="242" t="s">
        <v>70</v>
      </c>
    </row>
    <row r="139" spans="1:23" s="241" customFormat="1" ht="9.75" customHeight="1" x14ac:dyDescent="0.15">
      <c r="A139" s="448" t="s">
        <v>572</v>
      </c>
      <c r="B139" s="241" t="s">
        <v>796</v>
      </c>
      <c r="C139" s="241" t="s">
        <v>796</v>
      </c>
      <c r="D139" s="241" t="s">
        <v>796</v>
      </c>
      <c r="E139" s="241" t="s">
        <v>796</v>
      </c>
      <c r="F139" s="241" t="s">
        <v>796</v>
      </c>
      <c r="G139" s="241" t="s">
        <v>796</v>
      </c>
      <c r="H139" s="241" t="s">
        <v>796</v>
      </c>
      <c r="I139" s="241" t="s">
        <v>796</v>
      </c>
      <c r="J139" s="241" t="s">
        <v>796</v>
      </c>
      <c r="K139" s="241">
        <v>3138</v>
      </c>
      <c r="L139" s="241" t="s">
        <v>796</v>
      </c>
      <c r="M139" s="241">
        <v>47633</v>
      </c>
      <c r="N139" s="241">
        <v>505851</v>
      </c>
      <c r="O139" s="241">
        <v>286108</v>
      </c>
      <c r="P139" s="241">
        <v>40653</v>
      </c>
      <c r="Q139" s="241">
        <v>654189</v>
      </c>
      <c r="R139" s="241" t="s">
        <v>796</v>
      </c>
      <c r="S139" s="241" t="s">
        <v>796</v>
      </c>
      <c r="T139" s="241" t="s">
        <v>796</v>
      </c>
      <c r="U139" s="241" t="s">
        <v>796</v>
      </c>
      <c r="V139" s="241" t="s">
        <v>796</v>
      </c>
      <c r="W139" s="242" t="s">
        <v>71</v>
      </c>
    </row>
    <row r="140" spans="1:23" s="241" customFormat="1" ht="9.75" customHeight="1" x14ac:dyDescent="0.15">
      <c r="A140" s="448" t="s">
        <v>841</v>
      </c>
      <c r="B140" s="241">
        <v>40163</v>
      </c>
      <c r="C140" s="241" t="s">
        <v>796</v>
      </c>
      <c r="D140" s="241">
        <v>3395</v>
      </c>
      <c r="E140" s="241" t="s">
        <v>796</v>
      </c>
      <c r="F140" s="241" t="s">
        <v>796</v>
      </c>
      <c r="G140" s="241" t="s">
        <v>796</v>
      </c>
      <c r="H140" s="241">
        <v>17275</v>
      </c>
      <c r="I140" s="241" t="s">
        <v>796</v>
      </c>
      <c r="J140" s="241" t="s">
        <v>796</v>
      </c>
      <c r="K140" s="241">
        <v>29607</v>
      </c>
      <c r="L140" s="241">
        <v>109126</v>
      </c>
      <c r="M140" s="241" t="s">
        <v>796</v>
      </c>
      <c r="N140" s="241">
        <v>353223</v>
      </c>
      <c r="O140" s="241">
        <v>314372</v>
      </c>
      <c r="P140" s="241">
        <v>35613</v>
      </c>
      <c r="Q140" s="241">
        <v>642352</v>
      </c>
      <c r="R140" s="241" t="s">
        <v>796</v>
      </c>
      <c r="S140" s="241" t="s">
        <v>796</v>
      </c>
      <c r="T140" s="241" t="s">
        <v>796</v>
      </c>
      <c r="U140" s="241" t="s">
        <v>796</v>
      </c>
      <c r="V140" s="241" t="s">
        <v>796</v>
      </c>
      <c r="W140" s="242" t="s">
        <v>842</v>
      </c>
    </row>
    <row r="141" spans="1:23" s="241" customFormat="1" ht="9.75" customHeight="1" x14ac:dyDescent="0.15">
      <c r="A141" s="448" t="s">
        <v>573</v>
      </c>
      <c r="B141" s="241" t="s">
        <v>796</v>
      </c>
      <c r="C141" s="241" t="s">
        <v>796</v>
      </c>
      <c r="D141" s="241" t="s">
        <v>796</v>
      </c>
      <c r="E141" s="241" t="s">
        <v>796</v>
      </c>
      <c r="F141" s="241" t="s">
        <v>796</v>
      </c>
      <c r="G141" s="241" t="s">
        <v>796</v>
      </c>
      <c r="H141" s="241">
        <v>128623</v>
      </c>
      <c r="I141" s="241" t="s">
        <v>796</v>
      </c>
      <c r="J141" s="241" t="s">
        <v>796</v>
      </c>
      <c r="K141" s="241" t="s">
        <v>796</v>
      </c>
      <c r="L141" s="241">
        <v>134262</v>
      </c>
      <c r="M141" s="241" t="s">
        <v>796</v>
      </c>
      <c r="N141" s="241">
        <v>427652</v>
      </c>
      <c r="O141" s="241">
        <v>274655</v>
      </c>
      <c r="P141" s="241" t="s">
        <v>796</v>
      </c>
      <c r="Q141" s="241">
        <v>393140</v>
      </c>
      <c r="R141" s="241" t="s">
        <v>796</v>
      </c>
      <c r="S141" s="241" t="s">
        <v>796</v>
      </c>
      <c r="T141" s="241" t="s">
        <v>796</v>
      </c>
      <c r="U141" s="241" t="s">
        <v>796</v>
      </c>
      <c r="V141" s="241" t="s">
        <v>796</v>
      </c>
      <c r="W141" s="242" t="s">
        <v>66</v>
      </c>
    </row>
    <row r="142" spans="1:23" s="241" customFormat="1" ht="9.75" customHeight="1" x14ac:dyDescent="0.15">
      <c r="A142" s="795" t="s">
        <v>574</v>
      </c>
      <c r="B142" s="796" t="s">
        <v>796</v>
      </c>
      <c r="C142" s="797">
        <v>9296</v>
      </c>
      <c r="D142" s="797" t="s">
        <v>796</v>
      </c>
      <c r="E142" s="797" t="s">
        <v>796</v>
      </c>
      <c r="F142" s="797" t="s">
        <v>796</v>
      </c>
      <c r="G142" s="797" t="s">
        <v>796</v>
      </c>
      <c r="H142" s="797">
        <v>83363</v>
      </c>
      <c r="I142" s="797" t="s">
        <v>796</v>
      </c>
      <c r="J142" s="797" t="s">
        <v>796</v>
      </c>
      <c r="K142" s="797" t="s">
        <v>796</v>
      </c>
      <c r="L142" s="797">
        <v>164086</v>
      </c>
      <c r="M142" s="797">
        <v>41562</v>
      </c>
      <c r="N142" s="797">
        <v>141005</v>
      </c>
      <c r="O142" s="797">
        <v>543166</v>
      </c>
      <c r="P142" s="797" t="s">
        <v>796</v>
      </c>
      <c r="Q142" s="797">
        <v>749828</v>
      </c>
      <c r="R142" s="797" t="s">
        <v>796</v>
      </c>
      <c r="S142" s="797" t="s">
        <v>796</v>
      </c>
      <c r="T142" s="797" t="s">
        <v>796</v>
      </c>
      <c r="U142" s="797" t="s">
        <v>796</v>
      </c>
      <c r="V142" s="797" t="s">
        <v>796</v>
      </c>
      <c r="W142" s="798" t="s">
        <v>67</v>
      </c>
    </row>
    <row r="143" spans="1:23" ht="12" customHeight="1" x14ac:dyDescent="0.15"/>
    <row r="144" spans="1:23" ht="12" customHeight="1" x14ac:dyDescent="0.15"/>
    <row r="145" spans="1:23" ht="12" customHeight="1" x14ac:dyDescent="0.15">
      <c r="K145" s="246" t="s">
        <v>86</v>
      </c>
      <c r="V145" s="249" t="s">
        <v>924</v>
      </c>
    </row>
    <row r="146" spans="1:23" s="244" customFormat="1" ht="21" customHeight="1" x14ac:dyDescent="0.15">
      <c r="A146" s="1026" t="s">
        <v>153</v>
      </c>
      <c r="B146" s="799" t="s">
        <v>275</v>
      </c>
      <c r="C146" s="790"/>
      <c r="D146" s="790"/>
      <c r="E146" s="790"/>
      <c r="F146" s="790"/>
      <c r="G146" s="790"/>
      <c r="H146" s="790"/>
      <c r="I146" s="790"/>
      <c r="J146" s="790"/>
      <c r="K146" s="790"/>
      <c r="L146" s="790"/>
      <c r="M146" s="790"/>
      <c r="N146" s="790"/>
      <c r="O146" s="790"/>
      <c r="P146" s="790"/>
      <c r="Q146" s="790"/>
      <c r="R146" s="790"/>
      <c r="S146" s="790"/>
      <c r="T146" s="788"/>
      <c r="U146" s="800" t="s">
        <v>928</v>
      </c>
      <c r="V146" s="790"/>
      <c r="W146" s="1029" t="s">
        <v>72</v>
      </c>
    </row>
    <row r="147" spans="1:23" s="244" customFormat="1" ht="21" customHeight="1" x14ac:dyDescent="0.15">
      <c r="A147" s="1027"/>
      <c r="B147" s="799" t="s">
        <v>710</v>
      </c>
      <c r="C147" s="790"/>
      <c r="D147" s="790"/>
      <c r="E147" s="790"/>
      <c r="F147" s="790"/>
      <c r="G147" s="790"/>
      <c r="H147" s="788"/>
      <c r="I147" s="789" t="s">
        <v>237</v>
      </c>
      <c r="J147" s="790"/>
      <c r="K147" s="788"/>
      <c r="L147" s="789" t="s">
        <v>236</v>
      </c>
      <c r="M147" s="788"/>
      <c r="N147" s="789" t="s">
        <v>221</v>
      </c>
      <c r="O147" s="790"/>
      <c r="P147" s="790"/>
      <c r="Q147" s="788"/>
      <c r="R147" s="789" t="s">
        <v>220</v>
      </c>
      <c r="S147" s="790"/>
      <c r="T147" s="788"/>
      <c r="U147" s="1032" t="s">
        <v>272</v>
      </c>
      <c r="V147" s="789" t="s">
        <v>244</v>
      </c>
      <c r="W147" s="1030"/>
    </row>
    <row r="148" spans="1:23" s="244" customFormat="1" ht="52.5" customHeight="1" x14ac:dyDescent="0.15">
      <c r="A148" s="1028"/>
      <c r="B148" s="245" t="s">
        <v>225</v>
      </c>
      <c r="C148" s="245" t="s">
        <v>259</v>
      </c>
      <c r="D148" s="245" t="s">
        <v>608</v>
      </c>
      <c r="E148" s="245" t="s">
        <v>224</v>
      </c>
      <c r="F148" s="245" t="s">
        <v>277</v>
      </c>
      <c r="G148" s="245" t="s">
        <v>535</v>
      </c>
      <c r="H148" s="245" t="s">
        <v>536</v>
      </c>
      <c r="I148" s="530" t="s">
        <v>96</v>
      </c>
      <c r="J148" s="245" t="s">
        <v>223</v>
      </c>
      <c r="K148" s="245" t="s">
        <v>276</v>
      </c>
      <c r="L148" s="530" t="s">
        <v>923</v>
      </c>
      <c r="M148" s="245" t="s">
        <v>222</v>
      </c>
      <c r="N148" s="530" t="s">
        <v>21</v>
      </c>
      <c r="O148" s="245" t="s">
        <v>218</v>
      </c>
      <c r="P148" s="245" t="s">
        <v>217</v>
      </c>
      <c r="Q148" s="245" t="s">
        <v>216</v>
      </c>
      <c r="R148" s="530" t="s">
        <v>45</v>
      </c>
      <c r="S148" s="245" t="s">
        <v>215</v>
      </c>
      <c r="T148" s="245" t="s">
        <v>709</v>
      </c>
      <c r="U148" s="1033"/>
      <c r="V148" s="791" t="s">
        <v>920</v>
      </c>
      <c r="W148" s="1031"/>
    </row>
    <row r="149" spans="1:23" s="241" customFormat="1" ht="9.75" customHeight="1" x14ac:dyDescent="0.15">
      <c r="A149" s="645" t="s">
        <v>831</v>
      </c>
      <c r="B149" s="792">
        <v>153215</v>
      </c>
      <c r="C149" s="793" t="s">
        <v>796</v>
      </c>
      <c r="D149" s="793" t="s">
        <v>796</v>
      </c>
      <c r="E149" s="793">
        <v>1292660</v>
      </c>
      <c r="F149" s="793">
        <v>129163</v>
      </c>
      <c r="G149" s="793">
        <v>40421</v>
      </c>
      <c r="H149" s="793" t="s">
        <v>796</v>
      </c>
      <c r="I149" s="793">
        <v>2463950</v>
      </c>
      <c r="J149" s="793">
        <v>2221850</v>
      </c>
      <c r="K149" s="793">
        <v>242100</v>
      </c>
      <c r="L149" s="793">
        <v>1027905</v>
      </c>
      <c r="M149" s="793">
        <v>1027905</v>
      </c>
      <c r="N149" s="793">
        <v>1180307</v>
      </c>
      <c r="O149" s="793">
        <v>500734</v>
      </c>
      <c r="P149" s="793">
        <v>638148</v>
      </c>
      <c r="Q149" s="793">
        <v>41425</v>
      </c>
      <c r="R149" s="793">
        <v>993090</v>
      </c>
      <c r="S149" s="793">
        <v>614950</v>
      </c>
      <c r="T149" s="793">
        <v>378140</v>
      </c>
      <c r="U149" s="793">
        <v>92324</v>
      </c>
      <c r="V149" s="793">
        <v>92324</v>
      </c>
      <c r="W149" s="794" t="s">
        <v>517</v>
      </c>
    </row>
    <row r="150" spans="1:23" s="241" customFormat="1" ht="9.75" customHeight="1" x14ac:dyDescent="0.15">
      <c r="A150" s="448" t="s">
        <v>557</v>
      </c>
      <c r="B150" s="241">
        <v>853387</v>
      </c>
      <c r="C150" s="241">
        <v>34699</v>
      </c>
      <c r="D150" s="241">
        <v>45340</v>
      </c>
      <c r="E150" s="241">
        <v>868769</v>
      </c>
      <c r="F150" s="241" t="s">
        <v>796</v>
      </c>
      <c r="G150" s="241" t="s">
        <v>796</v>
      </c>
      <c r="H150" s="241">
        <v>98943</v>
      </c>
      <c r="I150" s="241">
        <v>2554921</v>
      </c>
      <c r="J150" s="241">
        <v>2554921</v>
      </c>
      <c r="K150" s="241" t="s">
        <v>796</v>
      </c>
      <c r="L150" s="241">
        <v>1257626</v>
      </c>
      <c r="M150" s="241">
        <v>1257626</v>
      </c>
      <c r="N150" s="241">
        <v>969199</v>
      </c>
      <c r="O150" s="241">
        <v>680446</v>
      </c>
      <c r="P150" s="241">
        <v>288753</v>
      </c>
      <c r="Q150" s="241" t="s">
        <v>796</v>
      </c>
      <c r="R150" s="241">
        <v>1331381</v>
      </c>
      <c r="S150" s="241">
        <v>706988</v>
      </c>
      <c r="T150" s="241">
        <v>624393</v>
      </c>
      <c r="U150" s="241">
        <v>167858</v>
      </c>
      <c r="V150" s="241">
        <v>167858</v>
      </c>
      <c r="W150" s="242" t="s">
        <v>558</v>
      </c>
    </row>
    <row r="151" spans="1:23" s="241" customFormat="1" ht="9.75" customHeight="1" x14ac:dyDescent="0.15">
      <c r="A151" s="448" t="s">
        <v>682</v>
      </c>
      <c r="B151" s="241">
        <v>535178</v>
      </c>
      <c r="C151" s="241">
        <v>151378</v>
      </c>
      <c r="D151" s="241" t="s">
        <v>796</v>
      </c>
      <c r="E151" s="241">
        <v>184554</v>
      </c>
      <c r="F151" s="241">
        <v>90466</v>
      </c>
      <c r="G151" s="241" t="s">
        <v>796</v>
      </c>
      <c r="H151" s="241" t="s">
        <v>796</v>
      </c>
      <c r="I151" s="241">
        <v>1284352</v>
      </c>
      <c r="J151" s="241">
        <v>1284352</v>
      </c>
      <c r="K151" s="241" t="s">
        <v>796</v>
      </c>
      <c r="L151" s="241">
        <v>1279585</v>
      </c>
      <c r="M151" s="241">
        <v>1279585</v>
      </c>
      <c r="N151" s="241">
        <v>986716</v>
      </c>
      <c r="O151" s="241">
        <v>844447</v>
      </c>
      <c r="P151" s="241">
        <v>142269</v>
      </c>
      <c r="Q151" s="241" t="s">
        <v>796</v>
      </c>
      <c r="R151" s="241">
        <v>729170</v>
      </c>
      <c r="S151" s="241">
        <v>437527</v>
      </c>
      <c r="T151" s="241">
        <v>291643</v>
      </c>
      <c r="U151" s="241">
        <v>71898</v>
      </c>
      <c r="V151" s="241">
        <v>71867</v>
      </c>
      <c r="W151" s="242" t="s">
        <v>683</v>
      </c>
    </row>
    <row r="152" spans="1:23" s="241" customFormat="1" ht="9.75" customHeight="1" x14ac:dyDescent="0.15">
      <c r="A152" s="448" t="s">
        <v>784</v>
      </c>
      <c r="B152" s="241">
        <v>236635</v>
      </c>
      <c r="C152" s="241">
        <v>428160</v>
      </c>
      <c r="D152" s="241" t="s">
        <v>796</v>
      </c>
      <c r="E152" s="241" t="s">
        <v>796</v>
      </c>
      <c r="F152" s="241" t="s">
        <v>796</v>
      </c>
      <c r="G152" s="241" t="s">
        <v>796</v>
      </c>
      <c r="H152" s="241" t="s">
        <v>796</v>
      </c>
      <c r="I152" s="241">
        <v>913837</v>
      </c>
      <c r="J152" s="241">
        <v>913837</v>
      </c>
      <c r="K152" s="241" t="s">
        <v>796</v>
      </c>
      <c r="L152" s="241">
        <v>528176</v>
      </c>
      <c r="M152" s="241">
        <v>528176</v>
      </c>
      <c r="N152" s="241">
        <v>897906</v>
      </c>
      <c r="O152" s="241">
        <v>897906</v>
      </c>
      <c r="P152" s="241" t="s">
        <v>796</v>
      </c>
      <c r="Q152" s="241" t="s">
        <v>796</v>
      </c>
      <c r="R152" s="241">
        <v>538984</v>
      </c>
      <c r="S152" s="241">
        <v>429091</v>
      </c>
      <c r="T152" s="241">
        <v>109893</v>
      </c>
      <c r="U152" s="241">
        <v>76311</v>
      </c>
      <c r="V152" s="241">
        <v>76311</v>
      </c>
      <c r="W152" s="242" t="s">
        <v>785</v>
      </c>
    </row>
    <row r="153" spans="1:23" s="241" customFormat="1" ht="9.75" customHeight="1" x14ac:dyDescent="0.15">
      <c r="A153" s="448" t="s">
        <v>832</v>
      </c>
      <c r="B153" s="241" t="s">
        <v>796</v>
      </c>
      <c r="C153" s="241" t="s">
        <v>796</v>
      </c>
      <c r="D153" s="241" t="s">
        <v>796</v>
      </c>
      <c r="E153" s="241" t="s">
        <v>796</v>
      </c>
      <c r="F153" s="241" t="s">
        <v>796</v>
      </c>
      <c r="G153" s="241" t="s">
        <v>796</v>
      </c>
      <c r="H153" s="241" t="s">
        <v>796</v>
      </c>
      <c r="I153" s="241">
        <v>1154119</v>
      </c>
      <c r="J153" s="241">
        <v>1154119</v>
      </c>
      <c r="K153" s="241" t="s">
        <v>796</v>
      </c>
      <c r="L153" s="241">
        <v>1225907</v>
      </c>
      <c r="M153" s="241">
        <v>1225907</v>
      </c>
      <c r="N153" s="241">
        <v>132491</v>
      </c>
      <c r="O153" s="241">
        <v>132491</v>
      </c>
      <c r="P153" s="241" t="s">
        <v>796</v>
      </c>
      <c r="Q153" s="241" t="s">
        <v>796</v>
      </c>
      <c r="R153" s="241">
        <v>263403</v>
      </c>
      <c r="S153" s="241">
        <v>263403</v>
      </c>
      <c r="T153" s="241" t="s">
        <v>796</v>
      </c>
      <c r="U153" s="241">
        <v>124198</v>
      </c>
      <c r="V153" s="241">
        <v>124105</v>
      </c>
      <c r="W153" s="242" t="s">
        <v>833</v>
      </c>
    </row>
    <row r="154" spans="1:23" s="241" customFormat="1" ht="6.75" customHeight="1" x14ac:dyDescent="0.15">
      <c r="A154" s="464"/>
      <c r="W154" s="242"/>
    </row>
    <row r="155" spans="1:23" s="241" customFormat="1" ht="9.75" customHeight="1" x14ac:dyDescent="0.15">
      <c r="A155" s="448" t="s">
        <v>834</v>
      </c>
      <c r="B155" s="241">
        <v>161996</v>
      </c>
      <c r="C155" s="241">
        <v>428160</v>
      </c>
      <c r="D155" s="241" t="s">
        <v>796</v>
      </c>
      <c r="E155" s="241" t="s">
        <v>796</v>
      </c>
      <c r="F155" s="241" t="s">
        <v>796</v>
      </c>
      <c r="G155" s="241" t="s">
        <v>796</v>
      </c>
      <c r="H155" s="241" t="s">
        <v>796</v>
      </c>
      <c r="I155" s="241">
        <v>1077856</v>
      </c>
      <c r="J155" s="241">
        <v>1077856</v>
      </c>
      <c r="K155" s="241" t="s">
        <v>796</v>
      </c>
      <c r="L155" s="241">
        <v>573880</v>
      </c>
      <c r="M155" s="241">
        <v>573880</v>
      </c>
      <c r="N155" s="241">
        <v>626338</v>
      </c>
      <c r="O155" s="241">
        <v>626338</v>
      </c>
      <c r="P155" s="241" t="s">
        <v>796</v>
      </c>
      <c r="Q155" s="241" t="s">
        <v>796</v>
      </c>
      <c r="R155" s="241">
        <v>457109</v>
      </c>
      <c r="S155" s="241">
        <v>347216</v>
      </c>
      <c r="T155" s="241">
        <v>109893</v>
      </c>
      <c r="U155" s="241">
        <v>41913</v>
      </c>
      <c r="V155" s="241">
        <v>41820</v>
      </c>
      <c r="W155" s="242" t="s">
        <v>786</v>
      </c>
    </row>
    <row r="156" spans="1:23" s="241" customFormat="1" ht="9.75" customHeight="1" x14ac:dyDescent="0.15">
      <c r="A156" s="448" t="s">
        <v>835</v>
      </c>
      <c r="B156" s="241" t="s">
        <v>796</v>
      </c>
      <c r="C156" s="241" t="s">
        <v>796</v>
      </c>
      <c r="D156" s="241" t="s">
        <v>796</v>
      </c>
      <c r="E156" s="241" t="s">
        <v>796</v>
      </c>
      <c r="F156" s="241" t="s">
        <v>796</v>
      </c>
      <c r="G156" s="241" t="s">
        <v>796</v>
      </c>
      <c r="H156" s="241" t="s">
        <v>796</v>
      </c>
      <c r="I156" s="241">
        <v>1036595</v>
      </c>
      <c r="J156" s="241">
        <v>1036595</v>
      </c>
      <c r="K156" s="241" t="s">
        <v>796</v>
      </c>
      <c r="L156" s="241">
        <v>1323787</v>
      </c>
      <c r="M156" s="241">
        <v>1323787</v>
      </c>
      <c r="N156" s="241">
        <v>95273</v>
      </c>
      <c r="O156" s="241">
        <v>95273</v>
      </c>
      <c r="P156" s="241" t="s">
        <v>796</v>
      </c>
      <c r="Q156" s="241" t="s">
        <v>796</v>
      </c>
      <c r="R156" s="241">
        <v>264303</v>
      </c>
      <c r="S156" s="241">
        <v>264303</v>
      </c>
      <c r="T156" s="241" t="s">
        <v>796</v>
      </c>
      <c r="U156" s="241">
        <v>259803</v>
      </c>
      <c r="V156" s="241">
        <v>259803</v>
      </c>
      <c r="W156" s="242" t="s">
        <v>836</v>
      </c>
    </row>
    <row r="157" spans="1:23" s="241" customFormat="1" ht="6.75" customHeight="1" x14ac:dyDescent="0.15">
      <c r="A157" s="464"/>
      <c r="W157" s="242"/>
    </row>
    <row r="158" spans="1:23" s="241" customFormat="1" ht="9.75" customHeight="1" x14ac:dyDescent="0.15">
      <c r="A158" s="448" t="s">
        <v>837</v>
      </c>
      <c r="B158" s="241" t="s">
        <v>796</v>
      </c>
      <c r="C158" s="241" t="s">
        <v>796</v>
      </c>
      <c r="D158" s="241" t="s">
        <v>796</v>
      </c>
      <c r="E158" s="241" t="s">
        <v>796</v>
      </c>
      <c r="F158" s="241" t="s">
        <v>796</v>
      </c>
      <c r="G158" s="241" t="s">
        <v>796</v>
      </c>
      <c r="H158" s="241" t="s">
        <v>796</v>
      </c>
      <c r="I158" s="241">
        <v>288241</v>
      </c>
      <c r="J158" s="241">
        <v>288241</v>
      </c>
      <c r="K158" s="241" t="s">
        <v>796</v>
      </c>
      <c r="L158" s="241">
        <v>245468</v>
      </c>
      <c r="M158" s="241">
        <v>245468</v>
      </c>
      <c r="N158" s="241">
        <v>37218</v>
      </c>
      <c r="O158" s="241">
        <v>37218</v>
      </c>
      <c r="P158" s="241" t="s">
        <v>796</v>
      </c>
      <c r="Q158" s="241" t="s">
        <v>796</v>
      </c>
      <c r="R158" s="241">
        <v>50189</v>
      </c>
      <c r="S158" s="241">
        <v>50189</v>
      </c>
      <c r="T158" s="241" t="s">
        <v>796</v>
      </c>
      <c r="U158" s="241">
        <v>11835</v>
      </c>
      <c r="V158" s="241">
        <v>11742</v>
      </c>
      <c r="W158" s="242" t="s">
        <v>787</v>
      </c>
    </row>
    <row r="159" spans="1:23" s="241" customFormat="1" ht="9.75" customHeight="1" x14ac:dyDescent="0.15">
      <c r="A159" s="448" t="s">
        <v>559</v>
      </c>
      <c r="B159" s="241" t="s">
        <v>796</v>
      </c>
      <c r="C159" s="241" t="s">
        <v>796</v>
      </c>
      <c r="D159" s="241" t="s">
        <v>796</v>
      </c>
      <c r="E159" s="241" t="s">
        <v>796</v>
      </c>
      <c r="F159" s="241" t="s">
        <v>796</v>
      </c>
      <c r="G159" s="241" t="s">
        <v>796</v>
      </c>
      <c r="H159" s="241" t="s">
        <v>796</v>
      </c>
      <c r="I159" s="241">
        <v>249919</v>
      </c>
      <c r="J159" s="241">
        <v>249919</v>
      </c>
      <c r="K159" s="241" t="s">
        <v>796</v>
      </c>
      <c r="L159" s="241">
        <v>305297</v>
      </c>
      <c r="M159" s="241">
        <v>305297</v>
      </c>
      <c r="N159" s="241">
        <v>55290</v>
      </c>
      <c r="O159" s="241">
        <v>55290</v>
      </c>
      <c r="P159" s="241" t="s">
        <v>796</v>
      </c>
      <c r="Q159" s="241" t="s">
        <v>796</v>
      </c>
      <c r="R159" s="241">
        <v>33198</v>
      </c>
      <c r="S159" s="241">
        <v>33198</v>
      </c>
      <c r="T159" s="241" t="s">
        <v>796</v>
      </c>
      <c r="U159" s="241">
        <v>23485</v>
      </c>
      <c r="V159" s="241">
        <v>23485</v>
      </c>
      <c r="W159" s="242" t="s">
        <v>78</v>
      </c>
    </row>
    <row r="160" spans="1:23" s="241" customFormat="1" ht="9.75" customHeight="1" x14ac:dyDescent="0.15">
      <c r="A160" s="448" t="s">
        <v>560</v>
      </c>
      <c r="B160" s="241" t="s">
        <v>796</v>
      </c>
      <c r="C160" s="241" t="s">
        <v>796</v>
      </c>
      <c r="D160" s="241" t="s">
        <v>796</v>
      </c>
      <c r="E160" s="241" t="s">
        <v>796</v>
      </c>
      <c r="F160" s="241" t="s">
        <v>796</v>
      </c>
      <c r="G160" s="241" t="s">
        <v>796</v>
      </c>
      <c r="H160" s="241" t="s">
        <v>796</v>
      </c>
      <c r="I160" s="241">
        <v>304168</v>
      </c>
      <c r="J160" s="241">
        <v>304168</v>
      </c>
      <c r="K160" s="241" t="s">
        <v>796</v>
      </c>
      <c r="L160" s="241">
        <v>409705</v>
      </c>
      <c r="M160" s="241">
        <v>409705</v>
      </c>
      <c r="N160" s="241">
        <v>39983</v>
      </c>
      <c r="O160" s="241">
        <v>39983</v>
      </c>
      <c r="P160" s="241" t="s">
        <v>796</v>
      </c>
      <c r="Q160" s="241" t="s">
        <v>796</v>
      </c>
      <c r="R160" s="241">
        <v>78751</v>
      </c>
      <c r="S160" s="241">
        <v>78751</v>
      </c>
      <c r="T160" s="241" t="s">
        <v>796</v>
      </c>
      <c r="U160" s="241">
        <v>44661</v>
      </c>
      <c r="V160" s="241">
        <v>44661</v>
      </c>
      <c r="W160" s="242" t="s">
        <v>79</v>
      </c>
    </row>
    <row r="161" spans="1:23" s="241" customFormat="1" ht="9.75" customHeight="1" x14ac:dyDescent="0.15">
      <c r="A161" s="448" t="s">
        <v>561</v>
      </c>
      <c r="B161" s="241" t="s">
        <v>796</v>
      </c>
      <c r="C161" s="241" t="s">
        <v>796</v>
      </c>
      <c r="D161" s="241" t="s">
        <v>796</v>
      </c>
      <c r="E161" s="241" t="s">
        <v>796</v>
      </c>
      <c r="F161" s="241" t="s">
        <v>796</v>
      </c>
      <c r="G161" s="241" t="s">
        <v>796</v>
      </c>
      <c r="H161" s="241" t="s">
        <v>796</v>
      </c>
      <c r="I161" s="241">
        <v>311791</v>
      </c>
      <c r="J161" s="241">
        <v>311791</v>
      </c>
      <c r="K161" s="241" t="s">
        <v>796</v>
      </c>
      <c r="L161" s="241">
        <v>265437</v>
      </c>
      <c r="M161" s="241">
        <v>265437</v>
      </c>
      <c r="N161" s="241" t="s">
        <v>796</v>
      </c>
      <c r="O161" s="241" t="s">
        <v>796</v>
      </c>
      <c r="P161" s="241" t="s">
        <v>796</v>
      </c>
      <c r="Q161" s="241" t="s">
        <v>796</v>
      </c>
      <c r="R161" s="241">
        <v>101265</v>
      </c>
      <c r="S161" s="241">
        <v>101265</v>
      </c>
      <c r="T161" s="241" t="s">
        <v>796</v>
      </c>
      <c r="U161" s="241">
        <v>44217</v>
      </c>
      <c r="V161" s="241">
        <v>44217</v>
      </c>
      <c r="W161" s="242" t="s">
        <v>80</v>
      </c>
    </row>
    <row r="162" spans="1:23" s="241" customFormat="1" ht="9.75" customHeight="1" x14ac:dyDescent="0.15">
      <c r="A162" s="448" t="s">
        <v>838</v>
      </c>
      <c r="B162" s="241" t="s">
        <v>796</v>
      </c>
      <c r="C162" s="241" t="s">
        <v>796</v>
      </c>
      <c r="D162" s="241" t="s">
        <v>796</v>
      </c>
      <c r="E162" s="241" t="s">
        <v>796</v>
      </c>
      <c r="F162" s="241" t="s">
        <v>796</v>
      </c>
      <c r="G162" s="241" t="s">
        <v>796</v>
      </c>
      <c r="H162" s="241" t="s">
        <v>796</v>
      </c>
      <c r="I162" s="241">
        <v>170717</v>
      </c>
      <c r="J162" s="241">
        <v>170717</v>
      </c>
      <c r="K162" s="241" t="s">
        <v>796</v>
      </c>
      <c r="L162" s="241">
        <v>343348</v>
      </c>
      <c r="M162" s="241">
        <v>343348</v>
      </c>
      <c r="N162" s="241" t="s">
        <v>796</v>
      </c>
      <c r="O162" s="241" t="s">
        <v>796</v>
      </c>
      <c r="P162" s="241" t="s">
        <v>796</v>
      </c>
      <c r="Q162" s="241" t="s">
        <v>796</v>
      </c>
      <c r="R162" s="241">
        <v>51089</v>
      </c>
      <c r="S162" s="241">
        <v>51089</v>
      </c>
      <c r="T162" s="241" t="s">
        <v>796</v>
      </c>
      <c r="U162" s="241">
        <v>147440</v>
      </c>
      <c r="V162" s="241">
        <v>147440</v>
      </c>
      <c r="W162" s="242" t="s">
        <v>839</v>
      </c>
    </row>
    <row r="163" spans="1:23" s="241" customFormat="1" ht="6.75" customHeight="1" x14ac:dyDescent="0.15">
      <c r="A163" s="464"/>
      <c r="W163" s="242"/>
    </row>
    <row r="164" spans="1:23" s="241" customFormat="1" ht="9.75" customHeight="1" x14ac:dyDescent="0.15">
      <c r="A164" s="448" t="s">
        <v>840</v>
      </c>
      <c r="B164" s="241" t="s">
        <v>796</v>
      </c>
      <c r="C164" s="241" t="s">
        <v>796</v>
      </c>
      <c r="D164" s="241" t="s">
        <v>796</v>
      </c>
      <c r="E164" s="241" t="s">
        <v>796</v>
      </c>
      <c r="F164" s="241" t="s">
        <v>796</v>
      </c>
      <c r="G164" s="241" t="s">
        <v>796</v>
      </c>
      <c r="H164" s="241" t="s">
        <v>796</v>
      </c>
      <c r="I164" s="241">
        <v>57336</v>
      </c>
      <c r="J164" s="241">
        <v>57336</v>
      </c>
      <c r="K164" s="241" t="s">
        <v>796</v>
      </c>
      <c r="L164" s="241">
        <v>119343</v>
      </c>
      <c r="M164" s="241">
        <v>119343</v>
      </c>
      <c r="N164" s="241" t="s">
        <v>796</v>
      </c>
      <c r="O164" s="241" t="s">
        <v>796</v>
      </c>
      <c r="P164" s="241" t="s">
        <v>796</v>
      </c>
      <c r="Q164" s="241" t="s">
        <v>796</v>
      </c>
      <c r="R164" s="241">
        <v>50189</v>
      </c>
      <c r="S164" s="241">
        <v>50189</v>
      </c>
      <c r="T164" s="241" t="s">
        <v>796</v>
      </c>
      <c r="U164" s="241" t="s">
        <v>796</v>
      </c>
      <c r="V164" s="241" t="s">
        <v>796</v>
      </c>
      <c r="W164" s="242" t="s">
        <v>788</v>
      </c>
    </row>
    <row r="165" spans="1:23" s="241" customFormat="1" ht="9.75" customHeight="1" x14ac:dyDescent="0.15">
      <c r="A165" s="448" t="s">
        <v>562</v>
      </c>
      <c r="B165" s="241" t="s">
        <v>796</v>
      </c>
      <c r="C165" s="241" t="s">
        <v>796</v>
      </c>
      <c r="D165" s="241" t="s">
        <v>796</v>
      </c>
      <c r="E165" s="241" t="s">
        <v>796</v>
      </c>
      <c r="F165" s="241" t="s">
        <v>796</v>
      </c>
      <c r="G165" s="241" t="s">
        <v>796</v>
      </c>
      <c r="H165" s="241" t="s">
        <v>796</v>
      </c>
      <c r="I165" s="241">
        <v>154580</v>
      </c>
      <c r="J165" s="241">
        <v>154580</v>
      </c>
      <c r="K165" s="241" t="s">
        <v>796</v>
      </c>
      <c r="L165" s="241">
        <v>74220</v>
      </c>
      <c r="M165" s="241">
        <v>74220</v>
      </c>
      <c r="N165" s="241">
        <v>37218</v>
      </c>
      <c r="O165" s="241">
        <v>37218</v>
      </c>
      <c r="P165" s="241" t="s">
        <v>796</v>
      </c>
      <c r="Q165" s="241" t="s">
        <v>796</v>
      </c>
      <c r="R165" s="241" t="s">
        <v>796</v>
      </c>
      <c r="S165" s="241" t="s">
        <v>796</v>
      </c>
      <c r="T165" s="241" t="s">
        <v>796</v>
      </c>
      <c r="U165" s="241">
        <v>11742</v>
      </c>
      <c r="V165" s="241">
        <v>11742</v>
      </c>
      <c r="W165" s="242" t="s">
        <v>66</v>
      </c>
    </row>
    <row r="166" spans="1:23" s="241" customFormat="1" ht="9.75" customHeight="1" x14ac:dyDescent="0.15">
      <c r="A166" s="448" t="s">
        <v>563</v>
      </c>
      <c r="B166" s="241" t="s">
        <v>796</v>
      </c>
      <c r="C166" s="241" t="s">
        <v>796</v>
      </c>
      <c r="D166" s="241" t="s">
        <v>796</v>
      </c>
      <c r="E166" s="241" t="s">
        <v>796</v>
      </c>
      <c r="F166" s="241" t="s">
        <v>796</v>
      </c>
      <c r="G166" s="241" t="s">
        <v>796</v>
      </c>
      <c r="H166" s="241" t="s">
        <v>796</v>
      </c>
      <c r="I166" s="241">
        <v>76325</v>
      </c>
      <c r="J166" s="241">
        <v>76325</v>
      </c>
      <c r="K166" s="241" t="s">
        <v>796</v>
      </c>
      <c r="L166" s="241">
        <v>51905</v>
      </c>
      <c r="M166" s="241">
        <v>51905</v>
      </c>
      <c r="N166" s="241" t="s">
        <v>796</v>
      </c>
      <c r="O166" s="241" t="s">
        <v>796</v>
      </c>
      <c r="P166" s="241" t="s">
        <v>796</v>
      </c>
      <c r="Q166" s="241" t="s">
        <v>796</v>
      </c>
      <c r="R166" s="241" t="s">
        <v>796</v>
      </c>
      <c r="S166" s="241" t="s">
        <v>796</v>
      </c>
      <c r="T166" s="241" t="s">
        <v>796</v>
      </c>
      <c r="U166" s="241">
        <v>93</v>
      </c>
      <c r="V166" s="241" t="s">
        <v>796</v>
      </c>
      <c r="W166" s="242" t="s">
        <v>67</v>
      </c>
    </row>
    <row r="167" spans="1:23" s="241" customFormat="1" ht="9.75" customHeight="1" x14ac:dyDescent="0.15">
      <c r="A167" s="448" t="s">
        <v>564</v>
      </c>
      <c r="B167" s="241" t="s">
        <v>796</v>
      </c>
      <c r="C167" s="241" t="s">
        <v>796</v>
      </c>
      <c r="D167" s="241" t="s">
        <v>796</v>
      </c>
      <c r="E167" s="241" t="s">
        <v>796</v>
      </c>
      <c r="F167" s="241" t="s">
        <v>796</v>
      </c>
      <c r="G167" s="241" t="s">
        <v>796</v>
      </c>
      <c r="H167" s="241" t="s">
        <v>796</v>
      </c>
      <c r="I167" s="241">
        <v>78788</v>
      </c>
      <c r="J167" s="241">
        <v>78788</v>
      </c>
      <c r="K167" s="241" t="s">
        <v>796</v>
      </c>
      <c r="L167" s="241">
        <v>154140</v>
      </c>
      <c r="M167" s="241">
        <v>154140</v>
      </c>
      <c r="N167" s="241" t="s">
        <v>796</v>
      </c>
      <c r="O167" s="241" t="s">
        <v>796</v>
      </c>
      <c r="P167" s="241" t="s">
        <v>796</v>
      </c>
      <c r="Q167" s="241" t="s">
        <v>796</v>
      </c>
      <c r="R167" s="241">
        <v>33198</v>
      </c>
      <c r="S167" s="241">
        <v>33198</v>
      </c>
      <c r="T167" s="241" t="s">
        <v>796</v>
      </c>
      <c r="U167" s="241">
        <v>11732</v>
      </c>
      <c r="V167" s="241">
        <v>11732</v>
      </c>
      <c r="W167" s="242" t="s">
        <v>68</v>
      </c>
    </row>
    <row r="168" spans="1:23" s="241" customFormat="1" ht="9.75" customHeight="1" x14ac:dyDescent="0.15">
      <c r="A168" s="448" t="s">
        <v>565</v>
      </c>
      <c r="B168" s="241" t="s">
        <v>796</v>
      </c>
      <c r="C168" s="241" t="s">
        <v>796</v>
      </c>
      <c r="D168" s="241" t="s">
        <v>796</v>
      </c>
      <c r="E168" s="241" t="s">
        <v>796</v>
      </c>
      <c r="F168" s="241" t="s">
        <v>796</v>
      </c>
      <c r="G168" s="241" t="s">
        <v>796</v>
      </c>
      <c r="H168" s="241" t="s">
        <v>796</v>
      </c>
      <c r="I168" s="241">
        <v>51483</v>
      </c>
      <c r="J168" s="241">
        <v>51483</v>
      </c>
      <c r="K168" s="241" t="s">
        <v>796</v>
      </c>
      <c r="L168" s="241">
        <v>100285</v>
      </c>
      <c r="M168" s="241">
        <v>100285</v>
      </c>
      <c r="N168" s="241">
        <v>55290</v>
      </c>
      <c r="O168" s="241">
        <v>55290</v>
      </c>
      <c r="P168" s="241" t="s">
        <v>796</v>
      </c>
      <c r="Q168" s="241" t="s">
        <v>796</v>
      </c>
      <c r="R168" s="241" t="s">
        <v>796</v>
      </c>
      <c r="S168" s="241" t="s">
        <v>796</v>
      </c>
      <c r="T168" s="241" t="s">
        <v>796</v>
      </c>
      <c r="U168" s="241">
        <v>5876</v>
      </c>
      <c r="V168" s="241">
        <v>5876</v>
      </c>
      <c r="W168" s="242" t="s">
        <v>81</v>
      </c>
    </row>
    <row r="169" spans="1:23" s="241" customFormat="1" ht="9.75" customHeight="1" x14ac:dyDescent="0.15">
      <c r="A169" s="448" t="s">
        <v>566</v>
      </c>
      <c r="B169" s="241" t="s">
        <v>796</v>
      </c>
      <c r="C169" s="241" t="s">
        <v>796</v>
      </c>
      <c r="D169" s="241" t="s">
        <v>796</v>
      </c>
      <c r="E169" s="241" t="s">
        <v>796</v>
      </c>
      <c r="F169" s="241" t="s">
        <v>796</v>
      </c>
      <c r="G169" s="241" t="s">
        <v>796</v>
      </c>
      <c r="H169" s="241" t="s">
        <v>796</v>
      </c>
      <c r="I169" s="241">
        <v>119648</v>
      </c>
      <c r="J169" s="241">
        <v>119648</v>
      </c>
      <c r="K169" s="241" t="s">
        <v>796</v>
      </c>
      <c r="L169" s="241">
        <v>50872</v>
      </c>
      <c r="M169" s="241">
        <v>50872</v>
      </c>
      <c r="N169" s="241" t="s">
        <v>796</v>
      </c>
      <c r="O169" s="241" t="s">
        <v>796</v>
      </c>
      <c r="P169" s="241" t="s">
        <v>796</v>
      </c>
      <c r="Q169" s="241" t="s">
        <v>796</v>
      </c>
      <c r="R169" s="241" t="s">
        <v>796</v>
      </c>
      <c r="S169" s="241" t="s">
        <v>796</v>
      </c>
      <c r="T169" s="241" t="s">
        <v>796</v>
      </c>
      <c r="U169" s="241">
        <v>5877</v>
      </c>
      <c r="V169" s="241">
        <v>5877</v>
      </c>
      <c r="W169" s="242" t="s">
        <v>82</v>
      </c>
    </row>
    <row r="170" spans="1:23" s="241" customFormat="1" ht="9.75" customHeight="1" x14ac:dyDescent="0.15">
      <c r="A170" s="448" t="s">
        <v>567</v>
      </c>
      <c r="B170" s="241" t="s">
        <v>796</v>
      </c>
      <c r="C170" s="241" t="s">
        <v>796</v>
      </c>
      <c r="D170" s="241" t="s">
        <v>796</v>
      </c>
      <c r="E170" s="241" t="s">
        <v>796</v>
      </c>
      <c r="F170" s="241" t="s">
        <v>796</v>
      </c>
      <c r="G170" s="241" t="s">
        <v>796</v>
      </c>
      <c r="H170" s="241" t="s">
        <v>796</v>
      </c>
      <c r="I170" s="241">
        <v>89499</v>
      </c>
      <c r="J170" s="241">
        <v>89499</v>
      </c>
      <c r="K170" s="241" t="s">
        <v>796</v>
      </c>
      <c r="L170" s="241">
        <v>153914</v>
      </c>
      <c r="M170" s="241">
        <v>153914</v>
      </c>
      <c r="N170" s="241" t="s">
        <v>796</v>
      </c>
      <c r="O170" s="241" t="s">
        <v>796</v>
      </c>
      <c r="P170" s="241" t="s">
        <v>796</v>
      </c>
      <c r="Q170" s="241" t="s">
        <v>796</v>
      </c>
      <c r="R170" s="241">
        <v>78751</v>
      </c>
      <c r="S170" s="241">
        <v>78751</v>
      </c>
      <c r="T170" s="241" t="s">
        <v>796</v>
      </c>
      <c r="U170" s="241" t="s">
        <v>796</v>
      </c>
      <c r="V170" s="241" t="s">
        <v>796</v>
      </c>
      <c r="W170" s="242" t="s">
        <v>83</v>
      </c>
    </row>
    <row r="171" spans="1:23" s="241" customFormat="1" ht="9.75" customHeight="1" x14ac:dyDescent="0.15">
      <c r="A171" s="448" t="s">
        <v>568</v>
      </c>
      <c r="B171" s="241" t="s">
        <v>796</v>
      </c>
      <c r="C171" s="241" t="s">
        <v>796</v>
      </c>
      <c r="D171" s="241" t="s">
        <v>796</v>
      </c>
      <c r="E171" s="241" t="s">
        <v>796</v>
      </c>
      <c r="F171" s="241" t="s">
        <v>796</v>
      </c>
      <c r="G171" s="241" t="s">
        <v>796</v>
      </c>
      <c r="H171" s="241" t="s">
        <v>796</v>
      </c>
      <c r="I171" s="241">
        <v>102191</v>
      </c>
      <c r="J171" s="241">
        <v>102191</v>
      </c>
      <c r="K171" s="241" t="s">
        <v>796</v>
      </c>
      <c r="L171" s="241">
        <v>153837</v>
      </c>
      <c r="M171" s="241">
        <v>153837</v>
      </c>
      <c r="N171" s="241">
        <v>39983</v>
      </c>
      <c r="O171" s="241">
        <v>39983</v>
      </c>
      <c r="P171" s="241" t="s">
        <v>796</v>
      </c>
      <c r="Q171" s="241" t="s">
        <v>796</v>
      </c>
      <c r="R171" s="241" t="s">
        <v>796</v>
      </c>
      <c r="S171" s="241" t="s">
        <v>796</v>
      </c>
      <c r="T171" s="241" t="s">
        <v>796</v>
      </c>
      <c r="U171" s="241">
        <v>38756</v>
      </c>
      <c r="V171" s="241">
        <v>38756</v>
      </c>
      <c r="W171" s="242" t="s">
        <v>84</v>
      </c>
    </row>
    <row r="172" spans="1:23" s="241" customFormat="1" ht="9.75" customHeight="1" x14ac:dyDescent="0.15">
      <c r="A172" s="448" t="s">
        <v>569</v>
      </c>
      <c r="B172" s="241" t="s">
        <v>796</v>
      </c>
      <c r="C172" s="241" t="s">
        <v>796</v>
      </c>
      <c r="D172" s="241" t="s">
        <v>796</v>
      </c>
      <c r="E172" s="241" t="s">
        <v>796</v>
      </c>
      <c r="F172" s="241" t="s">
        <v>796</v>
      </c>
      <c r="G172" s="241" t="s">
        <v>796</v>
      </c>
      <c r="H172" s="241" t="s">
        <v>796</v>
      </c>
      <c r="I172" s="241">
        <v>112478</v>
      </c>
      <c r="J172" s="241">
        <v>112478</v>
      </c>
      <c r="K172" s="241" t="s">
        <v>796</v>
      </c>
      <c r="L172" s="241">
        <v>101954</v>
      </c>
      <c r="M172" s="241">
        <v>101954</v>
      </c>
      <c r="N172" s="241" t="s">
        <v>796</v>
      </c>
      <c r="O172" s="241" t="s">
        <v>796</v>
      </c>
      <c r="P172" s="241" t="s">
        <v>796</v>
      </c>
      <c r="Q172" s="241" t="s">
        <v>796</v>
      </c>
      <c r="R172" s="241" t="s">
        <v>796</v>
      </c>
      <c r="S172" s="241" t="s">
        <v>796</v>
      </c>
      <c r="T172" s="241" t="s">
        <v>796</v>
      </c>
      <c r="U172" s="241">
        <v>5905</v>
      </c>
      <c r="V172" s="241">
        <v>5905</v>
      </c>
      <c r="W172" s="242" t="s">
        <v>85</v>
      </c>
    </row>
    <row r="173" spans="1:23" s="241" customFormat="1" ht="9.75" customHeight="1" x14ac:dyDescent="0.15">
      <c r="A173" s="448" t="s">
        <v>570</v>
      </c>
      <c r="B173" s="241" t="s">
        <v>796</v>
      </c>
      <c r="C173" s="241" t="s">
        <v>796</v>
      </c>
      <c r="D173" s="241" t="s">
        <v>796</v>
      </c>
      <c r="E173" s="241" t="s">
        <v>796</v>
      </c>
      <c r="F173" s="241" t="s">
        <v>796</v>
      </c>
      <c r="G173" s="241" t="s">
        <v>796</v>
      </c>
      <c r="H173" s="241" t="s">
        <v>796</v>
      </c>
      <c r="I173" s="241">
        <v>124859</v>
      </c>
      <c r="J173" s="241">
        <v>124859</v>
      </c>
      <c r="K173" s="241" t="s">
        <v>796</v>
      </c>
      <c r="L173" s="241">
        <v>102571</v>
      </c>
      <c r="M173" s="241">
        <v>102571</v>
      </c>
      <c r="N173" s="241" t="s">
        <v>796</v>
      </c>
      <c r="O173" s="241" t="s">
        <v>796</v>
      </c>
      <c r="P173" s="241" t="s">
        <v>796</v>
      </c>
      <c r="Q173" s="241" t="s">
        <v>796</v>
      </c>
      <c r="R173" s="241" t="s">
        <v>796</v>
      </c>
      <c r="S173" s="241" t="s">
        <v>796</v>
      </c>
      <c r="T173" s="241" t="s">
        <v>796</v>
      </c>
      <c r="U173" s="241">
        <v>32474</v>
      </c>
      <c r="V173" s="241">
        <v>32474</v>
      </c>
      <c r="W173" s="242" t="s">
        <v>69</v>
      </c>
    </row>
    <row r="174" spans="1:23" s="241" customFormat="1" ht="9.75" customHeight="1" x14ac:dyDescent="0.15">
      <c r="A174" s="448" t="s">
        <v>571</v>
      </c>
      <c r="B174" s="241" t="s">
        <v>796</v>
      </c>
      <c r="C174" s="241" t="s">
        <v>796</v>
      </c>
      <c r="D174" s="241" t="s">
        <v>796</v>
      </c>
      <c r="E174" s="241" t="s">
        <v>796</v>
      </c>
      <c r="F174" s="241" t="s">
        <v>796</v>
      </c>
      <c r="G174" s="241" t="s">
        <v>796</v>
      </c>
      <c r="H174" s="241" t="s">
        <v>796</v>
      </c>
      <c r="I174" s="241">
        <v>86382</v>
      </c>
      <c r="J174" s="241">
        <v>86382</v>
      </c>
      <c r="K174" s="241" t="s">
        <v>796</v>
      </c>
      <c r="L174" s="241">
        <v>52309</v>
      </c>
      <c r="M174" s="241">
        <v>52309</v>
      </c>
      <c r="N174" s="241" t="s">
        <v>796</v>
      </c>
      <c r="O174" s="241" t="s">
        <v>796</v>
      </c>
      <c r="P174" s="241" t="s">
        <v>796</v>
      </c>
      <c r="Q174" s="241" t="s">
        <v>796</v>
      </c>
      <c r="R174" s="241" t="s">
        <v>796</v>
      </c>
      <c r="S174" s="241" t="s">
        <v>796</v>
      </c>
      <c r="T174" s="241" t="s">
        <v>796</v>
      </c>
      <c r="U174" s="241">
        <v>5870</v>
      </c>
      <c r="V174" s="241">
        <v>5870</v>
      </c>
      <c r="W174" s="242" t="s">
        <v>70</v>
      </c>
    </row>
    <row r="175" spans="1:23" s="241" customFormat="1" ht="9.75" customHeight="1" x14ac:dyDescent="0.15">
      <c r="A175" s="448" t="s">
        <v>572</v>
      </c>
      <c r="B175" s="241" t="s">
        <v>796</v>
      </c>
      <c r="C175" s="241" t="s">
        <v>796</v>
      </c>
      <c r="D175" s="241" t="s">
        <v>796</v>
      </c>
      <c r="E175" s="241" t="s">
        <v>796</v>
      </c>
      <c r="F175" s="241" t="s">
        <v>796</v>
      </c>
      <c r="G175" s="241" t="s">
        <v>796</v>
      </c>
      <c r="H175" s="241" t="s">
        <v>796</v>
      </c>
      <c r="I175" s="241">
        <v>100550</v>
      </c>
      <c r="J175" s="241">
        <v>100550</v>
      </c>
      <c r="K175" s="241" t="s">
        <v>796</v>
      </c>
      <c r="L175" s="241">
        <v>110557</v>
      </c>
      <c r="M175" s="241">
        <v>110557</v>
      </c>
      <c r="N175" s="241" t="s">
        <v>796</v>
      </c>
      <c r="O175" s="241" t="s">
        <v>796</v>
      </c>
      <c r="P175" s="241" t="s">
        <v>796</v>
      </c>
      <c r="Q175" s="241" t="s">
        <v>796</v>
      </c>
      <c r="R175" s="241">
        <v>101265</v>
      </c>
      <c r="S175" s="241">
        <v>101265</v>
      </c>
      <c r="T175" s="241" t="s">
        <v>796</v>
      </c>
      <c r="U175" s="241">
        <v>5873</v>
      </c>
      <c r="V175" s="241">
        <v>5873</v>
      </c>
      <c r="W175" s="242" t="s">
        <v>71</v>
      </c>
    </row>
    <row r="176" spans="1:23" s="241" customFormat="1" ht="9.75" customHeight="1" x14ac:dyDescent="0.15">
      <c r="A176" s="448" t="s">
        <v>841</v>
      </c>
      <c r="B176" s="241" t="s">
        <v>796</v>
      </c>
      <c r="C176" s="241" t="s">
        <v>796</v>
      </c>
      <c r="D176" s="241" t="s">
        <v>796</v>
      </c>
      <c r="E176" s="241" t="s">
        <v>796</v>
      </c>
      <c r="F176" s="241" t="s">
        <v>796</v>
      </c>
      <c r="G176" s="241" t="s">
        <v>796</v>
      </c>
      <c r="H176" s="241" t="s">
        <v>796</v>
      </c>
      <c r="I176" s="241">
        <v>118811</v>
      </c>
      <c r="J176" s="241">
        <v>118811</v>
      </c>
      <c r="K176" s="241" t="s">
        <v>796</v>
      </c>
      <c r="L176" s="241">
        <v>188922</v>
      </c>
      <c r="M176" s="241">
        <v>188922</v>
      </c>
      <c r="N176" s="241" t="s">
        <v>796</v>
      </c>
      <c r="O176" s="241" t="s">
        <v>796</v>
      </c>
      <c r="P176" s="241" t="s">
        <v>796</v>
      </c>
      <c r="Q176" s="241" t="s">
        <v>796</v>
      </c>
      <c r="R176" s="241" t="s">
        <v>796</v>
      </c>
      <c r="S176" s="241" t="s">
        <v>796</v>
      </c>
      <c r="T176" s="241" t="s">
        <v>796</v>
      </c>
      <c r="U176" s="241">
        <v>39977</v>
      </c>
      <c r="V176" s="241">
        <v>39977</v>
      </c>
      <c r="W176" s="242" t="s">
        <v>842</v>
      </c>
    </row>
    <row r="177" spans="1:23" s="241" customFormat="1" ht="9.75" customHeight="1" x14ac:dyDescent="0.15">
      <c r="A177" s="448" t="s">
        <v>573</v>
      </c>
      <c r="B177" s="241" t="s">
        <v>796</v>
      </c>
      <c r="C177" s="241" t="s">
        <v>796</v>
      </c>
      <c r="D177" s="241" t="s">
        <v>796</v>
      </c>
      <c r="E177" s="241" t="s">
        <v>796</v>
      </c>
      <c r="F177" s="241" t="s">
        <v>796</v>
      </c>
      <c r="G177" s="241" t="s">
        <v>796</v>
      </c>
      <c r="H177" s="241" t="s">
        <v>796</v>
      </c>
      <c r="I177" s="241">
        <v>51906</v>
      </c>
      <c r="J177" s="241">
        <v>51906</v>
      </c>
      <c r="K177" s="241" t="s">
        <v>796</v>
      </c>
      <c r="L177" s="241">
        <v>51265</v>
      </c>
      <c r="M177" s="241">
        <v>51265</v>
      </c>
      <c r="N177" s="241" t="s">
        <v>796</v>
      </c>
      <c r="O177" s="241" t="s">
        <v>796</v>
      </c>
      <c r="P177" s="241" t="s">
        <v>796</v>
      </c>
      <c r="Q177" s="241" t="s">
        <v>796</v>
      </c>
      <c r="R177" s="241" t="s">
        <v>796</v>
      </c>
      <c r="S177" s="241" t="s">
        <v>796</v>
      </c>
      <c r="T177" s="241" t="s">
        <v>796</v>
      </c>
      <c r="U177" s="241">
        <v>51849</v>
      </c>
      <c r="V177" s="241">
        <v>51849</v>
      </c>
      <c r="W177" s="242" t="s">
        <v>66</v>
      </c>
    </row>
    <row r="178" spans="1:23" s="241" customFormat="1" ht="9.75" customHeight="1" x14ac:dyDescent="0.15">
      <c r="A178" s="795" t="s">
        <v>574</v>
      </c>
      <c r="B178" s="796" t="s">
        <v>796</v>
      </c>
      <c r="C178" s="797" t="s">
        <v>796</v>
      </c>
      <c r="D178" s="797" t="s">
        <v>796</v>
      </c>
      <c r="E178" s="797" t="s">
        <v>796</v>
      </c>
      <c r="F178" s="797" t="s">
        <v>796</v>
      </c>
      <c r="G178" s="797" t="s">
        <v>796</v>
      </c>
      <c r="H178" s="797" t="s">
        <v>796</v>
      </c>
      <c r="I178" s="797" t="s">
        <v>796</v>
      </c>
      <c r="J178" s="797" t="s">
        <v>796</v>
      </c>
      <c r="K178" s="797" t="s">
        <v>796</v>
      </c>
      <c r="L178" s="797">
        <v>103161</v>
      </c>
      <c r="M178" s="797">
        <v>103161</v>
      </c>
      <c r="N178" s="797" t="s">
        <v>796</v>
      </c>
      <c r="O178" s="797" t="s">
        <v>796</v>
      </c>
      <c r="P178" s="797" t="s">
        <v>796</v>
      </c>
      <c r="Q178" s="797" t="s">
        <v>796</v>
      </c>
      <c r="R178" s="797">
        <v>51089</v>
      </c>
      <c r="S178" s="797">
        <v>51089</v>
      </c>
      <c r="T178" s="797" t="s">
        <v>796</v>
      </c>
      <c r="U178" s="797">
        <v>55614</v>
      </c>
      <c r="V178" s="797">
        <v>55614</v>
      </c>
      <c r="W178" s="798" t="s">
        <v>67</v>
      </c>
    </row>
    <row r="179" spans="1:23" ht="12" customHeight="1" x14ac:dyDescent="0.15"/>
    <row r="180" spans="1:23" ht="12" customHeight="1" x14ac:dyDescent="0.15"/>
    <row r="181" spans="1:23" ht="12" customHeight="1" x14ac:dyDescent="0.15">
      <c r="K181" s="246" t="s">
        <v>86</v>
      </c>
    </row>
    <row r="182" spans="1:23" s="244" customFormat="1" ht="21" customHeight="1" x14ac:dyDescent="0.15">
      <c r="A182" s="1026" t="s">
        <v>153</v>
      </c>
      <c r="B182" s="799" t="s">
        <v>312</v>
      </c>
      <c r="C182" s="790"/>
      <c r="D182" s="790"/>
      <c r="E182" s="790"/>
      <c r="F182" s="788"/>
      <c r="G182" s="789" t="s">
        <v>274</v>
      </c>
      <c r="H182" s="790"/>
      <c r="I182" s="790"/>
      <c r="J182" s="790"/>
      <c r="K182" s="790"/>
      <c r="L182" s="788"/>
      <c r="M182" s="789" t="s">
        <v>270</v>
      </c>
      <c r="N182" s="790"/>
      <c r="O182" s="790"/>
      <c r="P182" s="790"/>
      <c r="Q182" s="790"/>
      <c r="R182" s="790"/>
      <c r="S182" s="790"/>
      <c r="T182" s="790"/>
      <c r="U182" s="790"/>
      <c r="V182" s="790"/>
      <c r="W182" s="1029" t="s">
        <v>72</v>
      </c>
    </row>
    <row r="183" spans="1:23" s="244" customFormat="1" ht="21" customHeight="1" x14ac:dyDescent="0.15">
      <c r="A183" s="1027"/>
      <c r="B183" s="799" t="s">
        <v>239</v>
      </c>
      <c r="C183" s="790"/>
      <c r="D183" s="788"/>
      <c r="E183" s="789" t="s">
        <v>238</v>
      </c>
      <c r="F183" s="788"/>
      <c r="G183" s="1032" t="s">
        <v>271</v>
      </c>
      <c r="H183" s="789" t="s">
        <v>244</v>
      </c>
      <c r="I183" s="790"/>
      <c r="J183" s="790"/>
      <c r="K183" s="790"/>
      <c r="L183" s="788"/>
      <c r="M183" s="1032" t="s">
        <v>268</v>
      </c>
      <c r="N183" s="789" t="s">
        <v>244</v>
      </c>
      <c r="O183" s="790"/>
      <c r="P183" s="790"/>
      <c r="Q183" s="790"/>
      <c r="R183" s="790"/>
      <c r="S183" s="788"/>
      <c r="T183" s="789" t="s">
        <v>238</v>
      </c>
      <c r="U183" s="790"/>
      <c r="V183" s="790"/>
      <c r="W183" s="1030"/>
    </row>
    <row r="184" spans="1:23" s="244" customFormat="1" ht="52.5" customHeight="1" x14ac:dyDescent="0.15">
      <c r="A184" s="1028"/>
      <c r="B184" s="245" t="s">
        <v>235</v>
      </c>
      <c r="C184" s="245" t="s">
        <v>929</v>
      </c>
      <c r="D184" s="245" t="s">
        <v>234</v>
      </c>
      <c r="E184" s="530" t="s">
        <v>94</v>
      </c>
      <c r="F184" s="245" t="s">
        <v>227</v>
      </c>
      <c r="G184" s="1033"/>
      <c r="H184" s="530" t="s">
        <v>920</v>
      </c>
      <c r="I184" s="245" t="s">
        <v>235</v>
      </c>
      <c r="J184" s="245" t="s">
        <v>921</v>
      </c>
      <c r="K184" s="245" t="s">
        <v>234</v>
      </c>
      <c r="L184" s="245" t="s">
        <v>233</v>
      </c>
      <c r="M184" s="1033"/>
      <c r="N184" s="530" t="s">
        <v>920</v>
      </c>
      <c r="O184" s="245" t="s">
        <v>235</v>
      </c>
      <c r="P184" s="245" t="s">
        <v>921</v>
      </c>
      <c r="Q184" s="245" t="s">
        <v>250</v>
      </c>
      <c r="R184" s="245" t="s">
        <v>234</v>
      </c>
      <c r="S184" s="245" t="s">
        <v>233</v>
      </c>
      <c r="T184" s="530" t="s">
        <v>94</v>
      </c>
      <c r="U184" s="248" t="s">
        <v>922</v>
      </c>
      <c r="V184" s="247" t="s">
        <v>227</v>
      </c>
      <c r="W184" s="1031"/>
    </row>
    <row r="185" spans="1:23" s="241" customFormat="1" ht="9.75" customHeight="1" x14ac:dyDescent="0.15">
      <c r="A185" s="645" t="s">
        <v>831</v>
      </c>
      <c r="B185" s="792">
        <v>92324</v>
      </c>
      <c r="C185" s="793" t="s">
        <v>796</v>
      </c>
      <c r="D185" s="793" t="s">
        <v>796</v>
      </c>
      <c r="E185" s="793" t="s">
        <v>796</v>
      </c>
      <c r="F185" s="793" t="s">
        <v>796</v>
      </c>
      <c r="G185" s="793">
        <v>2103609</v>
      </c>
      <c r="H185" s="793">
        <v>2103609</v>
      </c>
      <c r="I185" s="793">
        <v>1880628</v>
      </c>
      <c r="J185" s="793">
        <v>130437</v>
      </c>
      <c r="K185" s="793">
        <v>47701</v>
      </c>
      <c r="L185" s="793">
        <v>44843</v>
      </c>
      <c r="M185" s="793">
        <v>1217469</v>
      </c>
      <c r="N185" s="793">
        <v>1217467</v>
      </c>
      <c r="O185" s="793">
        <v>1217467</v>
      </c>
      <c r="P185" s="793" t="s">
        <v>796</v>
      </c>
      <c r="Q185" s="793" t="s">
        <v>796</v>
      </c>
      <c r="R185" s="793" t="s">
        <v>796</v>
      </c>
      <c r="S185" s="793" t="s">
        <v>796</v>
      </c>
      <c r="T185" s="793">
        <v>2</v>
      </c>
      <c r="U185" s="793" t="s">
        <v>796</v>
      </c>
      <c r="V185" s="793">
        <v>2</v>
      </c>
      <c r="W185" s="794" t="s">
        <v>517</v>
      </c>
    </row>
    <row r="186" spans="1:23" s="241" customFormat="1" ht="9.75" customHeight="1" x14ac:dyDescent="0.15">
      <c r="A186" s="448" t="s">
        <v>557</v>
      </c>
      <c r="B186" s="241">
        <v>132879</v>
      </c>
      <c r="C186" s="241">
        <v>34979</v>
      </c>
      <c r="D186" s="241" t="s">
        <v>796</v>
      </c>
      <c r="E186" s="241" t="s">
        <v>796</v>
      </c>
      <c r="F186" s="241" t="s">
        <v>796</v>
      </c>
      <c r="G186" s="241">
        <v>2232720</v>
      </c>
      <c r="H186" s="241">
        <v>2232720</v>
      </c>
      <c r="I186" s="241">
        <v>1986762</v>
      </c>
      <c r="J186" s="241">
        <v>143970</v>
      </c>
      <c r="K186" s="241" t="s">
        <v>796</v>
      </c>
      <c r="L186" s="241">
        <v>101988</v>
      </c>
      <c r="M186" s="241">
        <v>1980952</v>
      </c>
      <c r="N186" s="241">
        <v>1980791</v>
      </c>
      <c r="O186" s="241">
        <v>1909355</v>
      </c>
      <c r="P186" s="241">
        <v>40141</v>
      </c>
      <c r="Q186" s="241" t="s">
        <v>796</v>
      </c>
      <c r="R186" s="241" t="s">
        <v>796</v>
      </c>
      <c r="S186" s="241">
        <v>31295</v>
      </c>
      <c r="T186" s="241">
        <v>161</v>
      </c>
      <c r="U186" s="241">
        <v>161</v>
      </c>
      <c r="V186" s="241" t="s">
        <v>796</v>
      </c>
      <c r="W186" s="242" t="s">
        <v>558</v>
      </c>
    </row>
    <row r="187" spans="1:23" s="241" customFormat="1" ht="9.75" customHeight="1" x14ac:dyDescent="0.15">
      <c r="A187" s="448" t="s">
        <v>682</v>
      </c>
      <c r="B187" s="241">
        <v>23402</v>
      </c>
      <c r="C187" s="241">
        <v>48465</v>
      </c>
      <c r="D187" s="241" t="s">
        <v>796</v>
      </c>
      <c r="E187" s="241">
        <v>31</v>
      </c>
      <c r="F187" s="241">
        <v>31</v>
      </c>
      <c r="G187" s="241">
        <v>1857368</v>
      </c>
      <c r="H187" s="241">
        <v>1857368</v>
      </c>
      <c r="I187" s="241">
        <v>1528838</v>
      </c>
      <c r="J187" s="241">
        <v>328530</v>
      </c>
      <c r="K187" s="241" t="s">
        <v>796</v>
      </c>
      <c r="L187" s="241" t="s">
        <v>796</v>
      </c>
      <c r="M187" s="241">
        <v>636740</v>
      </c>
      <c r="N187" s="241">
        <v>636489</v>
      </c>
      <c r="O187" s="241">
        <v>572747</v>
      </c>
      <c r="P187" s="241" t="s">
        <v>796</v>
      </c>
      <c r="Q187" s="241">
        <v>36433</v>
      </c>
      <c r="R187" s="241" t="s">
        <v>796</v>
      </c>
      <c r="S187" s="241">
        <v>27309</v>
      </c>
      <c r="T187" s="241">
        <v>251</v>
      </c>
      <c r="U187" s="241">
        <v>251</v>
      </c>
      <c r="V187" s="241" t="s">
        <v>796</v>
      </c>
      <c r="W187" s="242" t="s">
        <v>683</v>
      </c>
    </row>
    <row r="188" spans="1:23" s="241" customFormat="1" ht="9.75" customHeight="1" x14ac:dyDescent="0.15">
      <c r="A188" s="448" t="s">
        <v>784</v>
      </c>
      <c r="B188" s="241">
        <v>36490</v>
      </c>
      <c r="C188" s="241">
        <v>39821</v>
      </c>
      <c r="D188" s="241" t="s">
        <v>796</v>
      </c>
      <c r="E188" s="241" t="s">
        <v>796</v>
      </c>
      <c r="F188" s="241" t="s">
        <v>796</v>
      </c>
      <c r="G188" s="241">
        <v>2032129</v>
      </c>
      <c r="H188" s="241">
        <v>2032129</v>
      </c>
      <c r="I188" s="241">
        <v>1593946</v>
      </c>
      <c r="J188" s="241">
        <v>438183</v>
      </c>
      <c r="K188" s="241" t="s">
        <v>796</v>
      </c>
      <c r="L188" s="241" t="s">
        <v>796</v>
      </c>
      <c r="M188" s="241">
        <v>1205535</v>
      </c>
      <c r="N188" s="241">
        <v>1203830</v>
      </c>
      <c r="O188" s="241">
        <v>1195927</v>
      </c>
      <c r="P188" s="241" t="s">
        <v>796</v>
      </c>
      <c r="Q188" s="241" t="s">
        <v>796</v>
      </c>
      <c r="R188" s="241" t="s">
        <v>796</v>
      </c>
      <c r="S188" s="241">
        <v>7903</v>
      </c>
      <c r="T188" s="241">
        <v>1705</v>
      </c>
      <c r="U188" s="241">
        <v>1705</v>
      </c>
      <c r="V188" s="241" t="s">
        <v>796</v>
      </c>
      <c r="W188" s="242" t="s">
        <v>785</v>
      </c>
    </row>
    <row r="189" spans="1:23" s="241" customFormat="1" ht="9.75" customHeight="1" x14ac:dyDescent="0.15">
      <c r="A189" s="448" t="s">
        <v>832</v>
      </c>
      <c r="B189" s="241">
        <v>91234</v>
      </c>
      <c r="C189" s="241">
        <v>32871</v>
      </c>
      <c r="D189" s="241" t="s">
        <v>796</v>
      </c>
      <c r="E189" s="241">
        <v>93</v>
      </c>
      <c r="F189" s="241">
        <v>93</v>
      </c>
      <c r="G189" s="241">
        <v>2744425</v>
      </c>
      <c r="H189" s="241">
        <v>2744425</v>
      </c>
      <c r="I189" s="241">
        <v>2073772</v>
      </c>
      <c r="J189" s="241">
        <v>670653</v>
      </c>
      <c r="K189" s="241" t="s">
        <v>796</v>
      </c>
      <c r="L189" s="241" t="s">
        <v>796</v>
      </c>
      <c r="M189" s="241">
        <v>1906524</v>
      </c>
      <c r="N189" s="241">
        <v>1906524</v>
      </c>
      <c r="O189" s="241">
        <v>1900482</v>
      </c>
      <c r="P189" s="241" t="s">
        <v>796</v>
      </c>
      <c r="Q189" s="241" t="s">
        <v>796</v>
      </c>
      <c r="R189" s="241" t="s">
        <v>796</v>
      </c>
      <c r="S189" s="241">
        <v>6042</v>
      </c>
      <c r="T189" s="241" t="s">
        <v>796</v>
      </c>
      <c r="U189" s="241" t="s">
        <v>796</v>
      </c>
      <c r="V189" s="241" t="s">
        <v>796</v>
      </c>
      <c r="W189" s="242" t="s">
        <v>833</v>
      </c>
    </row>
    <row r="190" spans="1:23" s="241" customFormat="1" ht="6.75" customHeight="1" x14ac:dyDescent="0.15">
      <c r="A190" s="464"/>
      <c r="W190" s="242"/>
    </row>
    <row r="191" spans="1:23" s="241" customFormat="1" ht="9.75" customHeight="1" x14ac:dyDescent="0.15">
      <c r="A191" s="448" t="s">
        <v>834</v>
      </c>
      <c r="B191" s="241">
        <v>41820</v>
      </c>
      <c r="C191" s="241" t="s">
        <v>796</v>
      </c>
      <c r="D191" s="241" t="s">
        <v>796</v>
      </c>
      <c r="E191" s="241">
        <v>93</v>
      </c>
      <c r="F191" s="241">
        <v>93</v>
      </c>
      <c r="G191" s="241">
        <v>1989276</v>
      </c>
      <c r="H191" s="241">
        <v>1989276</v>
      </c>
      <c r="I191" s="241">
        <v>1622744</v>
      </c>
      <c r="J191" s="241">
        <v>366532</v>
      </c>
      <c r="K191" s="241" t="s">
        <v>796</v>
      </c>
      <c r="L191" s="241" t="s">
        <v>796</v>
      </c>
      <c r="M191" s="241">
        <v>1240488</v>
      </c>
      <c r="N191" s="241">
        <v>1238807</v>
      </c>
      <c r="O191" s="241">
        <v>1233773</v>
      </c>
      <c r="P191" s="241" t="s">
        <v>796</v>
      </c>
      <c r="Q191" s="241" t="s">
        <v>796</v>
      </c>
      <c r="R191" s="241" t="s">
        <v>796</v>
      </c>
      <c r="S191" s="241">
        <v>5034</v>
      </c>
      <c r="T191" s="241">
        <v>1681</v>
      </c>
      <c r="U191" s="241">
        <v>1681</v>
      </c>
      <c r="V191" s="241" t="s">
        <v>796</v>
      </c>
      <c r="W191" s="242" t="s">
        <v>786</v>
      </c>
    </row>
    <row r="192" spans="1:23" s="241" customFormat="1" ht="9.75" customHeight="1" x14ac:dyDescent="0.15">
      <c r="A192" s="448" t="s">
        <v>835</v>
      </c>
      <c r="B192" s="241">
        <v>137206</v>
      </c>
      <c r="C192" s="241">
        <v>122575</v>
      </c>
      <c r="D192" s="241">
        <v>22</v>
      </c>
      <c r="E192" s="241" t="s">
        <v>796</v>
      </c>
      <c r="F192" s="241" t="s">
        <v>796</v>
      </c>
      <c r="G192" s="241">
        <v>3379779</v>
      </c>
      <c r="H192" s="241">
        <v>3379779</v>
      </c>
      <c r="I192" s="241">
        <v>2454807</v>
      </c>
      <c r="J192" s="241">
        <v>924972</v>
      </c>
      <c r="K192" s="241" t="s">
        <v>796</v>
      </c>
      <c r="L192" s="241" t="s">
        <v>796</v>
      </c>
      <c r="M192" s="241">
        <v>2099666</v>
      </c>
      <c r="N192" s="241">
        <v>2099666</v>
      </c>
      <c r="O192" s="241">
        <v>2083517</v>
      </c>
      <c r="P192" s="241">
        <v>9328</v>
      </c>
      <c r="Q192" s="241" t="s">
        <v>796</v>
      </c>
      <c r="R192" s="241">
        <v>779</v>
      </c>
      <c r="S192" s="241">
        <v>6042</v>
      </c>
      <c r="T192" s="241" t="s">
        <v>796</v>
      </c>
      <c r="U192" s="241" t="s">
        <v>796</v>
      </c>
      <c r="V192" s="241" t="s">
        <v>796</v>
      </c>
      <c r="W192" s="242" t="s">
        <v>836</v>
      </c>
    </row>
    <row r="193" spans="1:23" s="241" customFormat="1" ht="6.75" customHeight="1" x14ac:dyDescent="0.15">
      <c r="A193" s="464"/>
      <c r="W193" s="242"/>
    </row>
    <row r="194" spans="1:23" s="241" customFormat="1" ht="9.75" customHeight="1" x14ac:dyDescent="0.15">
      <c r="A194" s="448" t="s">
        <v>837</v>
      </c>
      <c r="B194" s="241">
        <v>11742</v>
      </c>
      <c r="C194" s="241" t="s">
        <v>796</v>
      </c>
      <c r="D194" s="241" t="s">
        <v>796</v>
      </c>
      <c r="E194" s="241">
        <v>93</v>
      </c>
      <c r="F194" s="241">
        <v>93</v>
      </c>
      <c r="G194" s="241">
        <v>765747</v>
      </c>
      <c r="H194" s="241">
        <v>765747</v>
      </c>
      <c r="I194" s="241">
        <v>601084</v>
      </c>
      <c r="J194" s="241">
        <v>164663</v>
      </c>
      <c r="K194" s="241" t="s">
        <v>796</v>
      </c>
      <c r="L194" s="241" t="s">
        <v>796</v>
      </c>
      <c r="M194" s="241">
        <v>113456</v>
      </c>
      <c r="N194" s="241">
        <v>113456</v>
      </c>
      <c r="O194" s="241">
        <v>113456</v>
      </c>
      <c r="P194" s="241" t="s">
        <v>796</v>
      </c>
      <c r="Q194" s="241" t="s">
        <v>796</v>
      </c>
      <c r="R194" s="241" t="s">
        <v>796</v>
      </c>
      <c r="S194" s="241" t="s">
        <v>796</v>
      </c>
      <c r="T194" s="241" t="s">
        <v>796</v>
      </c>
      <c r="U194" s="241" t="s">
        <v>796</v>
      </c>
      <c r="V194" s="241" t="s">
        <v>796</v>
      </c>
      <c r="W194" s="242" t="s">
        <v>787</v>
      </c>
    </row>
    <row r="195" spans="1:23" s="241" customFormat="1" ht="9.75" customHeight="1" x14ac:dyDescent="0.15">
      <c r="A195" s="448" t="s">
        <v>559</v>
      </c>
      <c r="B195" s="241">
        <v>23485</v>
      </c>
      <c r="C195" s="241" t="s">
        <v>796</v>
      </c>
      <c r="D195" s="241" t="s">
        <v>796</v>
      </c>
      <c r="E195" s="241" t="s">
        <v>796</v>
      </c>
      <c r="F195" s="241" t="s">
        <v>796</v>
      </c>
      <c r="G195" s="241">
        <v>395510</v>
      </c>
      <c r="H195" s="241">
        <v>395510</v>
      </c>
      <c r="I195" s="241">
        <v>246666</v>
      </c>
      <c r="J195" s="241">
        <v>148844</v>
      </c>
      <c r="K195" s="241" t="s">
        <v>796</v>
      </c>
      <c r="L195" s="241" t="s">
        <v>796</v>
      </c>
      <c r="M195" s="241">
        <v>294768</v>
      </c>
      <c r="N195" s="241">
        <v>294768</v>
      </c>
      <c r="O195" s="241">
        <v>294768</v>
      </c>
      <c r="P195" s="241" t="s">
        <v>796</v>
      </c>
      <c r="Q195" s="241" t="s">
        <v>796</v>
      </c>
      <c r="R195" s="241" t="s">
        <v>796</v>
      </c>
      <c r="S195" s="241" t="s">
        <v>796</v>
      </c>
      <c r="T195" s="241" t="s">
        <v>796</v>
      </c>
      <c r="U195" s="241" t="s">
        <v>796</v>
      </c>
      <c r="V195" s="241" t="s">
        <v>796</v>
      </c>
      <c r="W195" s="242" t="s">
        <v>78</v>
      </c>
    </row>
    <row r="196" spans="1:23" s="241" customFormat="1" ht="9.75" customHeight="1" x14ac:dyDescent="0.15">
      <c r="A196" s="448" t="s">
        <v>560</v>
      </c>
      <c r="B196" s="241">
        <v>11790</v>
      </c>
      <c r="C196" s="241">
        <v>32871</v>
      </c>
      <c r="D196" s="241" t="s">
        <v>796</v>
      </c>
      <c r="E196" s="241" t="s">
        <v>796</v>
      </c>
      <c r="F196" s="241" t="s">
        <v>796</v>
      </c>
      <c r="G196" s="241">
        <v>439578</v>
      </c>
      <c r="H196" s="241">
        <v>439578</v>
      </c>
      <c r="I196" s="241">
        <v>341972</v>
      </c>
      <c r="J196" s="241">
        <v>97606</v>
      </c>
      <c r="K196" s="241" t="s">
        <v>796</v>
      </c>
      <c r="L196" s="241" t="s">
        <v>796</v>
      </c>
      <c r="M196" s="241">
        <v>926176</v>
      </c>
      <c r="N196" s="241">
        <v>926176</v>
      </c>
      <c r="O196" s="241">
        <v>926176</v>
      </c>
      <c r="P196" s="241" t="s">
        <v>796</v>
      </c>
      <c r="Q196" s="241" t="s">
        <v>796</v>
      </c>
      <c r="R196" s="241" t="s">
        <v>796</v>
      </c>
      <c r="S196" s="241" t="s">
        <v>796</v>
      </c>
      <c r="T196" s="241" t="s">
        <v>796</v>
      </c>
      <c r="U196" s="241" t="s">
        <v>796</v>
      </c>
      <c r="V196" s="241" t="s">
        <v>796</v>
      </c>
      <c r="W196" s="242" t="s">
        <v>79</v>
      </c>
    </row>
    <row r="197" spans="1:23" s="241" customFormat="1" ht="9.75" customHeight="1" x14ac:dyDescent="0.15">
      <c r="A197" s="448" t="s">
        <v>561</v>
      </c>
      <c r="B197" s="241">
        <v>44217</v>
      </c>
      <c r="C197" s="241" t="s">
        <v>796</v>
      </c>
      <c r="D197" s="241" t="s">
        <v>796</v>
      </c>
      <c r="E197" s="241" t="s">
        <v>796</v>
      </c>
      <c r="F197" s="241" t="s">
        <v>796</v>
      </c>
      <c r="G197" s="241">
        <v>1143590</v>
      </c>
      <c r="H197" s="241">
        <v>1143590</v>
      </c>
      <c r="I197" s="241">
        <v>884050</v>
      </c>
      <c r="J197" s="241">
        <v>259540</v>
      </c>
      <c r="K197" s="241" t="s">
        <v>796</v>
      </c>
      <c r="L197" s="241" t="s">
        <v>796</v>
      </c>
      <c r="M197" s="241">
        <v>572124</v>
      </c>
      <c r="N197" s="241">
        <v>572124</v>
      </c>
      <c r="O197" s="241">
        <v>566082</v>
      </c>
      <c r="P197" s="241" t="s">
        <v>796</v>
      </c>
      <c r="Q197" s="241" t="s">
        <v>796</v>
      </c>
      <c r="R197" s="241" t="s">
        <v>796</v>
      </c>
      <c r="S197" s="241">
        <v>6042</v>
      </c>
      <c r="T197" s="241" t="s">
        <v>796</v>
      </c>
      <c r="U197" s="241" t="s">
        <v>796</v>
      </c>
      <c r="V197" s="241" t="s">
        <v>796</v>
      </c>
      <c r="W197" s="242" t="s">
        <v>80</v>
      </c>
    </row>
    <row r="198" spans="1:23" s="241" customFormat="1" ht="9.75" customHeight="1" x14ac:dyDescent="0.15">
      <c r="A198" s="448" t="s">
        <v>838</v>
      </c>
      <c r="B198" s="241">
        <v>57714</v>
      </c>
      <c r="C198" s="241">
        <v>89704</v>
      </c>
      <c r="D198" s="241">
        <v>22</v>
      </c>
      <c r="E198" s="241" t="s">
        <v>796</v>
      </c>
      <c r="F198" s="241" t="s">
        <v>796</v>
      </c>
      <c r="G198" s="241">
        <v>1401101</v>
      </c>
      <c r="H198" s="241">
        <v>1401101</v>
      </c>
      <c r="I198" s="241">
        <v>982119</v>
      </c>
      <c r="J198" s="241">
        <v>418982</v>
      </c>
      <c r="K198" s="241" t="s">
        <v>796</v>
      </c>
      <c r="L198" s="241" t="s">
        <v>796</v>
      </c>
      <c r="M198" s="241">
        <v>306598</v>
      </c>
      <c r="N198" s="241">
        <v>306598</v>
      </c>
      <c r="O198" s="241">
        <v>296491</v>
      </c>
      <c r="P198" s="241">
        <v>9328</v>
      </c>
      <c r="Q198" s="241" t="s">
        <v>796</v>
      </c>
      <c r="R198" s="241">
        <v>779</v>
      </c>
      <c r="S198" s="241" t="s">
        <v>796</v>
      </c>
      <c r="T198" s="241" t="s">
        <v>796</v>
      </c>
      <c r="U198" s="241" t="s">
        <v>796</v>
      </c>
      <c r="V198" s="241" t="s">
        <v>796</v>
      </c>
      <c r="W198" s="242" t="s">
        <v>839</v>
      </c>
    </row>
    <row r="199" spans="1:23" s="241" customFormat="1" ht="6.75" customHeight="1" x14ac:dyDescent="0.15">
      <c r="A199" s="464"/>
      <c r="W199" s="242"/>
    </row>
    <row r="200" spans="1:23" s="241" customFormat="1" ht="9.75" customHeight="1" x14ac:dyDescent="0.15">
      <c r="A200" s="448" t="s">
        <v>840</v>
      </c>
      <c r="B200" s="241" t="s">
        <v>796</v>
      </c>
      <c r="C200" s="241" t="s">
        <v>796</v>
      </c>
      <c r="D200" s="241" t="s">
        <v>796</v>
      </c>
      <c r="E200" s="241" t="s">
        <v>796</v>
      </c>
      <c r="F200" s="241" t="s">
        <v>796</v>
      </c>
      <c r="G200" s="241">
        <v>393813</v>
      </c>
      <c r="H200" s="241">
        <v>393813</v>
      </c>
      <c r="I200" s="241">
        <v>316163</v>
      </c>
      <c r="J200" s="241">
        <v>77650</v>
      </c>
      <c r="K200" s="241" t="s">
        <v>796</v>
      </c>
      <c r="L200" s="241" t="s">
        <v>796</v>
      </c>
      <c r="M200" s="241">
        <v>67781</v>
      </c>
      <c r="N200" s="241">
        <v>67781</v>
      </c>
      <c r="O200" s="241">
        <v>67781</v>
      </c>
      <c r="P200" s="241" t="s">
        <v>796</v>
      </c>
      <c r="Q200" s="241" t="s">
        <v>796</v>
      </c>
      <c r="R200" s="241" t="s">
        <v>796</v>
      </c>
      <c r="S200" s="241" t="s">
        <v>796</v>
      </c>
      <c r="T200" s="241" t="s">
        <v>796</v>
      </c>
      <c r="U200" s="241" t="s">
        <v>796</v>
      </c>
      <c r="V200" s="241" t="s">
        <v>796</v>
      </c>
      <c r="W200" s="242" t="s">
        <v>788</v>
      </c>
    </row>
    <row r="201" spans="1:23" s="241" customFormat="1" ht="9.75" customHeight="1" x14ac:dyDescent="0.15">
      <c r="A201" s="448" t="s">
        <v>562</v>
      </c>
      <c r="B201" s="241">
        <v>11742</v>
      </c>
      <c r="C201" s="241" t="s">
        <v>796</v>
      </c>
      <c r="D201" s="241" t="s">
        <v>796</v>
      </c>
      <c r="E201" s="241" t="s">
        <v>796</v>
      </c>
      <c r="F201" s="241" t="s">
        <v>796</v>
      </c>
      <c r="G201" s="241">
        <v>253403</v>
      </c>
      <c r="H201" s="241">
        <v>253403</v>
      </c>
      <c r="I201" s="241">
        <v>210538</v>
      </c>
      <c r="J201" s="241">
        <v>42865</v>
      </c>
      <c r="K201" s="241" t="s">
        <v>796</v>
      </c>
      <c r="L201" s="241" t="s">
        <v>796</v>
      </c>
      <c r="M201" s="241">
        <v>28763</v>
      </c>
      <c r="N201" s="241">
        <v>28763</v>
      </c>
      <c r="O201" s="241">
        <v>28763</v>
      </c>
      <c r="P201" s="241" t="s">
        <v>796</v>
      </c>
      <c r="Q201" s="241" t="s">
        <v>796</v>
      </c>
      <c r="R201" s="241" t="s">
        <v>796</v>
      </c>
      <c r="S201" s="241" t="s">
        <v>796</v>
      </c>
      <c r="T201" s="241" t="s">
        <v>796</v>
      </c>
      <c r="U201" s="241" t="s">
        <v>796</v>
      </c>
      <c r="V201" s="241" t="s">
        <v>796</v>
      </c>
      <c r="W201" s="242" t="s">
        <v>66</v>
      </c>
    </row>
    <row r="202" spans="1:23" s="241" customFormat="1" ht="9.75" customHeight="1" x14ac:dyDescent="0.15">
      <c r="A202" s="448" t="s">
        <v>563</v>
      </c>
      <c r="B202" s="241" t="s">
        <v>796</v>
      </c>
      <c r="C202" s="241" t="s">
        <v>796</v>
      </c>
      <c r="D202" s="241" t="s">
        <v>796</v>
      </c>
      <c r="E202" s="241">
        <v>93</v>
      </c>
      <c r="F202" s="241">
        <v>93</v>
      </c>
      <c r="G202" s="241">
        <v>118531</v>
      </c>
      <c r="H202" s="241">
        <v>118531</v>
      </c>
      <c r="I202" s="241">
        <v>74383</v>
      </c>
      <c r="J202" s="241">
        <v>44148</v>
      </c>
      <c r="K202" s="241" t="s">
        <v>796</v>
      </c>
      <c r="L202" s="241" t="s">
        <v>796</v>
      </c>
      <c r="M202" s="241">
        <v>16912</v>
      </c>
      <c r="N202" s="241">
        <v>16912</v>
      </c>
      <c r="O202" s="241">
        <v>16912</v>
      </c>
      <c r="P202" s="241" t="s">
        <v>796</v>
      </c>
      <c r="Q202" s="241" t="s">
        <v>796</v>
      </c>
      <c r="R202" s="241" t="s">
        <v>796</v>
      </c>
      <c r="S202" s="241" t="s">
        <v>796</v>
      </c>
      <c r="T202" s="241" t="s">
        <v>796</v>
      </c>
      <c r="U202" s="241" t="s">
        <v>796</v>
      </c>
      <c r="V202" s="241" t="s">
        <v>796</v>
      </c>
      <c r="W202" s="242" t="s">
        <v>67</v>
      </c>
    </row>
    <row r="203" spans="1:23" s="241" customFormat="1" ht="9.75" customHeight="1" x14ac:dyDescent="0.15">
      <c r="A203" s="448" t="s">
        <v>564</v>
      </c>
      <c r="B203" s="241">
        <v>11732</v>
      </c>
      <c r="C203" s="241" t="s">
        <v>796</v>
      </c>
      <c r="D203" s="241" t="s">
        <v>796</v>
      </c>
      <c r="E203" s="241" t="s">
        <v>796</v>
      </c>
      <c r="F203" s="241" t="s">
        <v>796</v>
      </c>
      <c r="G203" s="241">
        <v>101088</v>
      </c>
      <c r="H203" s="241">
        <v>101088</v>
      </c>
      <c r="I203" s="241">
        <v>54723</v>
      </c>
      <c r="J203" s="241">
        <v>46365</v>
      </c>
      <c r="K203" s="241" t="s">
        <v>796</v>
      </c>
      <c r="L203" s="241" t="s">
        <v>796</v>
      </c>
      <c r="M203" s="241">
        <v>43186</v>
      </c>
      <c r="N203" s="241">
        <v>43186</v>
      </c>
      <c r="O203" s="241">
        <v>43186</v>
      </c>
      <c r="P203" s="241" t="s">
        <v>796</v>
      </c>
      <c r="Q203" s="241" t="s">
        <v>796</v>
      </c>
      <c r="R203" s="241" t="s">
        <v>796</v>
      </c>
      <c r="S203" s="241" t="s">
        <v>796</v>
      </c>
      <c r="T203" s="241" t="s">
        <v>796</v>
      </c>
      <c r="U203" s="241" t="s">
        <v>796</v>
      </c>
      <c r="V203" s="241" t="s">
        <v>796</v>
      </c>
      <c r="W203" s="242" t="s">
        <v>68</v>
      </c>
    </row>
    <row r="204" spans="1:23" s="241" customFormat="1" ht="9.75" customHeight="1" x14ac:dyDescent="0.15">
      <c r="A204" s="448" t="s">
        <v>565</v>
      </c>
      <c r="B204" s="241">
        <v>5876</v>
      </c>
      <c r="C204" s="241" t="s">
        <v>796</v>
      </c>
      <c r="D204" s="241" t="s">
        <v>796</v>
      </c>
      <c r="E204" s="241" t="s">
        <v>796</v>
      </c>
      <c r="F204" s="241" t="s">
        <v>796</v>
      </c>
      <c r="G204" s="241">
        <v>152774</v>
      </c>
      <c r="H204" s="241">
        <v>152774</v>
      </c>
      <c r="I204" s="241">
        <v>101347</v>
      </c>
      <c r="J204" s="241">
        <v>51427</v>
      </c>
      <c r="K204" s="241" t="s">
        <v>796</v>
      </c>
      <c r="L204" s="241" t="s">
        <v>796</v>
      </c>
      <c r="M204" s="241">
        <v>72505</v>
      </c>
      <c r="N204" s="241">
        <v>72505</v>
      </c>
      <c r="O204" s="241">
        <v>72505</v>
      </c>
      <c r="P204" s="241" t="s">
        <v>796</v>
      </c>
      <c r="Q204" s="241" t="s">
        <v>796</v>
      </c>
      <c r="R204" s="241" t="s">
        <v>796</v>
      </c>
      <c r="S204" s="241" t="s">
        <v>796</v>
      </c>
      <c r="T204" s="241" t="s">
        <v>796</v>
      </c>
      <c r="U204" s="241" t="s">
        <v>796</v>
      </c>
      <c r="V204" s="241" t="s">
        <v>796</v>
      </c>
      <c r="W204" s="242" t="s">
        <v>81</v>
      </c>
    </row>
    <row r="205" spans="1:23" s="241" customFormat="1" ht="9.75" customHeight="1" x14ac:dyDescent="0.15">
      <c r="A205" s="448" t="s">
        <v>566</v>
      </c>
      <c r="B205" s="241">
        <v>5877</v>
      </c>
      <c r="C205" s="241" t="s">
        <v>796</v>
      </c>
      <c r="D205" s="241" t="s">
        <v>796</v>
      </c>
      <c r="E205" s="241" t="s">
        <v>796</v>
      </c>
      <c r="F205" s="241" t="s">
        <v>796</v>
      </c>
      <c r="G205" s="241">
        <v>141648</v>
      </c>
      <c r="H205" s="241">
        <v>141648</v>
      </c>
      <c r="I205" s="241">
        <v>90596</v>
      </c>
      <c r="J205" s="241">
        <v>51052</v>
      </c>
      <c r="K205" s="241" t="s">
        <v>796</v>
      </c>
      <c r="L205" s="241" t="s">
        <v>796</v>
      </c>
      <c r="M205" s="241">
        <v>179077</v>
      </c>
      <c r="N205" s="241">
        <v>179077</v>
      </c>
      <c r="O205" s="241">
        <v>179077</v>
      </c>
      <c r="P205" s="241" t="s">
        <v>796</v>
      </c>
      <c r="Q205" s="241" t="s">
        <v>796</v>
      </c>
      <c r="R205" s="241" t="s">
        <v>796</v>
      </c>
      <c r="S205" s="241" t="s">
        <v>796</v>
      </c>
      <c r="T205" s="241" t="s">
        <v>796</v>
      </c>
      <c r="U205" s="241" t="s">
        <v>796</v>
      </c>
      <c r="V205" s="241" t="s">
        <v>796</v>
      </c>
      <c r="W205" s="242" t="s">
        <v>82</v>
      </c>
    </row>
    <row r="206" spans="1:23" s="241" customFormat="1" ht="9.75" customHeight="1" x14ac:dyDescent="0.15">
      <c r="A206" s="448" t="s">
        <v>567</v>
      </c>
      <c r="B206" s="241" t="s">
        <v>796</v>
      </c>
      <c r="C206" s="241" t="s">
        <v>796</v>
      </c>
      <c r="D206" s="241" t="s">
        <v>796</v>
      </c>
      <c r="E206" s="241" t="s">
        <v>796</v>
      </c>
      <c r="F206" s="241" t="s">
        <v>796</v>
      </c>
      <c r="G206" s="241">
        <v>96454</v>
      </c>
      <c r="H206" s="241">
        <v>96454</v>
      </c>
      <c r="I206" s="241">
        <v>96454</v>
      </c>
      <c r="J206" s="241" t="s">
        <v>796</v>
      </c>
      <c r="K206" s="241" t="s">
        <v>796</v>
      </c>
      <c r="L206" s="241" t="s">
        <v>796</v>
      </c>
      <c r="M206" s="241">
        <v>331488</v>
      </c>
      <c r="N206" s="241">
        <v>331488</v>
      </c>
      <c r="O206" s="241">
        <v>331488</v>
      </c>
      <c r="P206" s="241" t="s">
        <v>796</v>
      </c>
      <c r="Q206" s="241" t="s">
        <v>796</v>
      </c>
      <c r="R206" s="241" t="s">
        <v>796</v>
      </c>
      <c r="S206" s="241" t="s">
        <v>796</v>
      </c>
      <c r="T206" s="241" t="s">
        <v>796</v>
      </c>
      <c r="U206" s="241" t="s">
        <v>796</v>
      </c>
      <c r="V206" s="241" t="s">
        <v>796</v>
      </c>
      <c r="W206" s="242" t="s">
        <v>83</v>
      </c>
    </row>
    <row r="207" spans="1:23" s="241" customFormat="1" ht="9.75" customHeight="1" x14ac:dyDescent="0.15">
      <c r="A207" s="448" t="s">
        <v>568</v>
      </c>
      <c r="B207" s="241">
        <v>5885</v>
      </c>
      <c r="C207" s="241">
        <v>32871</v>
      </c>
      <c r="D207" s="241" t="s">
        <v>796</v>
      </c>
      <c r="E207" s="241" t="s">
        <v>796</v>
      </c>
      <c r="F207" s="241" t="s">
        <v>796</v>
      </c>
      <c r="G207" s="241">
        <v>203266</v>
      </c>
      <c r="H207" s="241">
        <v>203266</v>
      </c>
      <c r="I207" s="241">
        <v>138431</v>
      </c>
      <c r="J207" s="241">
        <v>64835</v>
      </c>
      <c r="K207" s="241" t="s">
        <v>796</v>
      </c>
      <c r="L207" s="241" t="s">
        <v>796</v>
      </c>
      <c r="M207" s="241">
        <v>328862</v>
      </c>
      <c r="N207" s="241">
        <v>328862</v>
      </c>
      <c r="O207" s="241">
        <v>328862</v>
      </c>
      <c r="P207" s="241" t="s">
        <v>796</v>
      </c>
      <c r="Q207" s="241" t="s">
        <v>796</v>
      </c>
      <c r="R207" s="241" t="s">
        <v>796</v>
      </c>
      <c r="S207" s="241" t="s">
        <v>796</v>
      </c>
      <c r="T207" s="241" t="s">
        <v>796</v>
      </c>
      <c r="U207" s="241" t="s">
        <v>796</v>
      </c>
      <c r="V207" s="241" t="s">
        <v>796</v>
      </c>
      <c r="W207" s="242" t="s">
        <v>84</v>
      </c>
    </row>
    <row r="208" spans="1:23" s="241" customFormat="1" ht="9.75" customHeight="1" x14ac:dyDescent="0.15">
      <c r="A208" s="448" t="s">
        <v>569</v>
      </c>
      <c r="B208" s="241">
        <v>5905</v>
      </c>
      <c r="C208" s="241" t="s">
        <v>796</v>
      </c>
      <c r="D208" s="241" t="s">
        <v>796</v>
      </c>
      <c r="E208" s="241" t="s">
        <v>796</v>
      </c>
      <c r="F208" s="241" t="s">
        <v>796</v>
      </c>
      <c r="G208" s="241">
        <v>139858</v>
      </c>
      <c r="H208" s="241">
        <v>139858</v>
      </c>
      <c r="I208" s="241">
        <v>107087</v>
      </c>
      <c r="J208" s="241">
        <v>32771</v>
      </c>
      <c r="K208" s="241" t="s">
        <v>796</v>
      </c>
      <c r="L208" s="241" t="s">
        <v>796</v>
      </c>
      <c r="M208" s="241">
        <v>265826</v>
      </c>
      <c r="N208" s="241">
        <v>265826</v>
      </c>
      <c r="O208" s="241">
        <v>265826</v>
      </c>
      <c r="P208" s="241" t="s">
        <v>796</v>
      </c>
      <c r="Q208" s="241" t="s">
        <v>796</v>
      </c>
      <c r="R208" s="241" t="s">
        <v>796</v>
      </c>
      <c r="S208" s="241" t="s">
        <v>796</v>
      </c>
      <c r="T208" s="241" t="s">
        <v>796</v>
      </c>
      <c r="U208" s="241" t="s">
        <v>796</v>
      </c>
      <c r="V208" s="241" t="s">
        <v>796</v>
      </c>
      <c r="W208" s="242" t="s">
        <v>85</v>
      </c>
    </row>
    <row r="209" spans="1:23" s="241" customFormat="1" ht="9.75" customHeight="1" x14ac:dyDescent="0.15">
      <c r="A209" s="448" t="s">
        <v>570</v>
      </c>
      <c r="B209" s="241">
        <v>32474</v>
      </c>
      <c r="C209" s="241" t="s">
        <v>796</v>
      </c>
      <c r="D209" s="241" t="s">
        <v>796</v>
      </c>
      <c r="E209" s="241" t="s">
        <v>796</v>
      </c>
      <c r="F209" s="241" t="s">
        <v>796</v>
      </c>
      <c r="G209" s="241">
        <v>276220</v>
      </c>
      <c r="H209" s="241">
        <v>276220</v>
      </c>
      <c r="I209" s="241">
        <v>227849</v>
      </c>
      <c r="J209" s="241">
        <v>48371</v>
      </c>
      <c r="K209" s="241" t="s">
        <v>796</v>
      </c>
      <c r="L209" s="241" t="s">
        <v>796</v>
      </c>
      <c r="M209" s="241">
        <v>190959</v>
      </c>
      <c r="N209" s="241">
        <v>190959</v>
      </c>
      <c r="O209" s="241">
        <v>184917</v>
      </c>
      <c r="P209" s="241" t="s">
        <v>796</v>
      </c>
      <c r="Q209" s="241" t="s">
        <v>796</v>
      </c>
      <c r="R209" s="241" t="s">
        <v>796</v>
      </c>
      <c r="S209" s="241">
        <v>6042</v>
      </c>
      <c r="T209" s="241" t="s">
        <v>796</v>
      </c>
      <c r="U209" s="241" t="s">
        <v>796</v>
      </c>
      <c r="V209" s="241" t="s">
        <v>796</v>
      </c>
      <c r="W209" s="242" t="s">
        <v>69</v>
      </c>
    </row>
    <row r="210" spans="1:23" s="241" customFormat="1" ht="9.75" customHeight="1" x14ac:dyDescent="0.15">
      <c r="A210" s="448" t="s">
        <v>571</v>
      </c>
      <c r="B210" s="241">
        <v>5870</v>
      </c>
      <c r="C210" s="241" t="s">
        <v>796</v>
      </c>
      <c r="D210" s="241" t="s">
        <v>796</v>
      </c>
      <c r="E210" s="241" t="s">
        <v>796</v>
      </c>
      <c r="F210" s="241" t="s">
        <v>796</v>
      </c>
      <c r="G210" s="241">
        <v>354707</v>
      </c>
      <c r="H210" s="241">
        <v>354707</v>
      </c>
      <c r="I210" s="241">
        <v>290326</v>
      </c>
      <c r="J210" s="241">
        <v>64381</v>
      </c>
      <c r="K210" s="241" t="s">
        <v>796</v>
      </c>
      <c r="L210" s="241" t="s">
        <v>796</v>
      </c>
      <c r="M210" s="241">
        <v>144690</v>
      </c>
      <c r="N210" s="241">
        <v>144690</v>
      </c>
      <c r="O210" s="241">
        <v>144690</v>
      </c>
      <c r="P210" s="241" t="s">
        <v>796</v>
      </c>
      <c r="Q210" s="241" t="s">
        <v>796</v>
      </c>
      <c r="R210" s="241" t="s">
        <v>796</v>
      </c>
      <c r="S210" s="241" t="s">
        <v>796</v>
      </c>
      <c r="T210" s="241" t="s">
        <v>796</v>
      </c>
      <c r="U210" s="241" t="s">
        <v>796</v>
      </c>
      <c r="V210" s="241" t="s">
        <v>796</v>
      </c>
      <c r="W210" s="242" t="s">
        <v>70</v>
      </c>
    </row>
    <row r="211" spans="1:23" s="241" customFormat="1" ht="9.75" customHeight="1" x14ac:dyDescent="0.15">
      <c r="A211" s="448" t="s">
        <v>572</v>
      </c>
      <c r="B211" s="241">
        <v>5873</v>
      </c>
      <c r="C211" s="241" t="s">
        <v>796</v>
      </c>
      <c r="D211" s="241" t="s">
        <v>796</v>
      </c>
      <c r="E211" s="241" t="s">
        <v>796</v>
      </c>
      <c r="F211" s="241" t="s">
        <v>796</v>
      </c>
      <c r="G211" s="241">
        <v>512663</v>
      </c>
      <c r="H211" s="241">
        <v>512663</v>
      </c>
      <c r="I211" s="241">
        <v>365875</v>
      </c>
      <c r="J211" s="241">
        <v>146788</v>
      </c>
      <c r="K211" s="241" t="s">
        <v>796</v>
      </c>
      <c r="L211" s="241" t="s">
        <v>796</v>
      </c>
      <c r="M211" s="241">
        <v>236475</v>
      </c>
      <c r="N211" s="241">
        <v>236475</v>
      </c>
      <c r="O211" s="241">
        <v>236475</v>
      </c>
      <c r="P211" s="241" t="s">
        <v>796</v>
      </c>
      <c r="Q211" s="241" t="s">
        <v>796</v>
      </c>
      <c r="R211" s="241" t="s">
        <v>796</v>
      </c>
      <c r="S211" s="241" t="s">
        <v>796</v>
      </c>
      <c r="T211" s="241" t="s">
        <v>796</v>
      </c>
      <c r="U211" s="241" t="s">
        <v>796</v>
      </c>
      <c r="V211" s="241" t="s">
        <v>796</v>
      </c>
      <c r="W211" s="242" t="s">
        <v>71</v>
      </c>
    </row>
    <row r="212" spans="1:23" s="241" customFormat="1" ht="9.75" customHeight="1" x14ac:dyDescent="0.15">
      <c r="A212" s="448" t="s">
        <v>841</v>
      </c>
      <c r="B212" s="241" t="s">
        <v>796</v>
      </c>
      <c r="C212" s="241">
        <v>39977</v>
      </c>
      <c r="D212" s="241" t="s">
        <v>796</v>
      </c>
      <c r="E212" s="241" t="s">
        <v>796</v>
      </c>
      <c r="F212" s="241" t="s">
        <v>796</v>
      </c>
      <c r="G212" s="241">
        <v>458944</v>
      </c>
      <c r="H212" s="241">
        <v>458944</v>
      </c>
      <c r="I212" s="241">
        <v>394158</v>
      </c>
      <c r="J212" s="241">
        <v>64786</v>
      </c>
      <c r="K212" s="241" t="s">
        <v>796</v>
      </c>
      <c r="L212" s="241" t="s">
        <v>796</v>
      </c>
      <c r="M212" s="241">
        <v>94793</v>
      </c>
      <c r="N212" s="241">
        <v>94793</v>
      </c>
      <c r="O212" s="241">
        <v>94014</v>
      </c>
      <c r="P212" s="241" t="s">
        <v>796</v>
      </c>
      <c r="Q212" s="241" t="s">
        <v>796</v>
      </c>
      <c r="R212" s="241">
        <v>779</v>
      </c>
      <c r="S212" s="241" t="s">
        <v>796</v>
      </c>
      <c r="T212" s="241" t="s">
        <v>796</v>
      </c>
      <c r="U212" s="241" t="s">
        <v>796</v>
      </c>
      <c r="V212" s="241" t="s">
        <v>796</v>
      </c>
      <c r="W212" s="242" t="s">
        <v>842</v>
      </c>
    </row>
    <row r="213" spans="1:23" s="241" customFormat="1" ht="9.75" customHeight="1" x14ac:dyDescent="0.15">
      <c r="A213" s="448" t="s">
        <v>573</v>
      </c>
      <c r="B213" s="241">
        <v>51827</v>
      </c>
      <c r="C213" s="241" t="s">
        <v>796</v>
      </c>
      <c r="D213" s="241">
        <v>22</v>
      </c>
      <c r="E213" s="241" t="s">
        <v>796</v>
      </c>
      <c r="F213" s="241" t="s">
        <v>796</v>
      </c>
      <c r="G213" s="241">
        <v>558481</v>
      </c>
      <c r="H213" s="241">
        <v>558481</v>
      </c>
      <c r="I213" s="241">
        <v>374919</v>
      </c>
      <c r="J213" s="241">
        <v>183562</v>
      </c>
      <c r="K213" s="241" t="s">
        <v>796</v>
      </c>
      <c r="L213" s="241" t="s">
        <v>796</v>
      </c>
      <c r="M213" s="241">
        <v>86206</v>
      </c>
      <c r="N213" s="241">
        <v>86206</v>
      </c>
      <c r="O213" s="241">
        <v>76878</v>
      </c>
      <c r="P213" s="241">
        <v>9328</v>
      </c>
      <c r="Q213" s="241" t="s">
        <v>796</v>
      </c>
      <c r="R213" s="241" t="s">
        <v>796</v>
      </c>
      <c r="S213" s="241" t="s">
        <v>796</v>
      </c>
      <c r="T213" s="241" t="s">
        <v>796</v>
      </c>
      <c r="U213" s="241" t="s">
        <v>796</v>
      </c>
      <c r="V213" s="241" t="s">
        <v>796</v>
      </c>
      <c r="W213" s="242" t="s">
        <v>66</v>
      </c>
    </row>
    <row r="214" spans="1:23" s="241" customFormat="1" ht="9.75" customHeight="1" x14ac:dyDescent="0.15">
      <c r="A214" s="795" t="s">
        <v>574</v>
      </c>
      <c r="B214" s="796">
        <v>5887</v>
      </c>
      <c r="C214" s="797">
        <v>49727</v>
      </c>
      <c r="D214" s="797" t="s">
        <v>796</v>
      </c>
      <c r="E214" s="797" t="s">
        <v>796</v>
      </c>
      <c r="F214" s="797" t="s">
        <v>796</v>
      </c>
      <c r="G214" s="797">
        <v>383676</v>
      </c>
      <c r="H214" s="797">
        <v>383676</v>
      </c>
      <c r="I214" s="797">
        <v>213042</v>
      </c>
      <c r="J214" s="797">
        <v>170634</v>
      </c>
      <c r="K214" s="797" t="s">
        <v>796</v>
      </c>
      <c r="L214" s="797" t="s">
        <v>796</v>
      </c>
      <c r="M214" s="797">
        <v>125599</v>
      </c>
      <c r="N214" s="797">
        <v>125599</v>
      </c>
      <c r="O214" s="797">
        <v>125599</v>
      </c>
      <c r="P214" s="797" t="s">
        <v>796</v>
      </c>
      <c r="Q214" s="797" t="s">
        <v>796</v>
      </c>
      <c r="R214" s="797" t="s">
        <v>796</v>
      </c>
      <c r="S214" s="797" t="s">
        <v>796</v>
      </c>
      <c r="T214" s="797" t="s">
        <v>796</v>
      </c>
      <c r="U214" s="797" t="s">
        <v>796</v>
      </c>
      <c r="V214" s="797" t="s">
        <v>796</v>
      </c>
      <c r="W214" s="798" t="s">
        <v>67</v>
      </c>
    </row>
    <row r="215" spans="1:23" ht="12" customHeight="1" x14ac:dyDescent="0.15"/>
    <row r="216" spans="1:23" ht="12" customHeight="1" x14ac:dyDescent="0.15"/>
    <row r="217" spans="1:23" ht="12" customHeight="1" x14ac:dyDescent="0.15">
      <c r="K217" s="246" t="s">
        <v>86</v>
      </c>
      <c r="V217" s="249" t="s">
        <v>924</v>
      </c>
    </row>
    <row r="218" spans="1:23" s="244" customFormat="1" ht="21" customHeight="1" x14ac:dyDescent="0.15">
      <c r="A218" s="1026" t="s">
        <v>153</v>
      </c>
      <c r="B218" s="789" t="s">
        <v>269</v>
      </c>
      <c r="C218" s="790"/>
      <c r="D218" s="788"/>
      <c r="E218" s="789" t="s">
        <v>930</v>
      </c>
      <c r="F218" s="790"/>
      <c r="G218" s="790"/>
      <c r="H218" s="790"/>
      <c r="I218" s="790"/>
      <c r="J218" s="790"/>
      <c r="K218" s="790"/>
      <c r="L218" s="790"/>
      <c r="M218" s="790"/>
      <c r="N218" s="788"/>
      <c r="O218" s="789" t="s">
        <v>266</v>
      </c>
      <c r="P218" s="790"/>
      <c r="Q218" s="790"/>
      <c r="R218" s="790"/>
      <c r="S218" s="790"/>
      <c r="T218" s="790"/>
      <c r="U218" s="790"/>
      <c r="V218" s="790"/>
      <c r="W218" s="1029" t="s">
        <v>72</v>
      </c>
    </row>
    <row r="219" spans="1:23" s="244" customFormat="1" ht="21" customHeight="1" x14ac:dyDescent="0.15">
      <c r="A219" s="1027"/>
      <c r="B219" s="1032" t="s">
        <v>267</v>
      </c>
      <c r="C219" s="789" t="s">
        <v>244</v>
      </c>
      <c r="D219" s="788"/>
      <c r="E219" s="1034" t="s">
        <v>711</v>
      </c>
      <c r="F219" s="789" t="s">
        <v>244</v>
      </c>
      <c r="G219" s="790"/>
      <c r="H219" s="790"/>
      <c r="I219" s="790"/>
      <c r="J219" s="788"/>
      <c r="K219" s="789" t="s">
        <v>238</v>
      </c>
      <c r="L219" s="788"/>
      <c r="M219" s="789" t="s">
        <v>220</v>
      </c>
      <c r="N219" s="788"/>
      <c r="O219" s="1032" t="s">
        <v>265</v>
      </c>
      <c r="P219" s="789" t="s">
        <v>244</v>
      </c>
      <c r="Q219" s="790"/>
      <c r="R219" s="790"/>
      <c r="S219" s="790"/>
      <c r="T219" s="790"/>
      <c r="U219" s="790"/>
      <c r="V219" s="790"/>
      <c r="W219" s="1030"/>
    </row>
    <row r="220" spans="1:23" s="244" customFormat="1" ht="52.5" customHeight="1" x14ac:dyDescent="0.15">
      <c r="A220" s="1028"/>
      <c r="B220" s="1033"/>
      <c r="C220" s="530" t="s">
        <v>920</v>
      </c>
      <c r="D220" s="245" t="s">
        <v>235</v>
      </c>
      <c r="E220" s="1035"/>
      <c r="F220" s="530" t="s">
        <v>920</v>
      </c>
      <c r="G220" s="245" t="s">
        <v>235</v>
      </c>
      <c r="H220" s="245" t="s">
        <v>301</v>
      </c>
      <c r="I220" s="245" t="s">
        <v>234</v>
      </c>
      <c r="J220" s="245" t="s">
        <v>233</v>
      </c>
      <c r="K220" s="530" t="s">
        <v>94</v>
      </c>
      <c r="L220" s="245" t="s">
        <v>224</v>
      </c>
      <c r="M220" s="530" t="s">
        <v>45</v>
      </c>
      <c r="N220" s="245" t="s">
        <v>709</v>
      </c>
      <c r="O220" s="1033"/>
      <c r="P220" s="530" t="s">
        <v>920</v>
      </c>
      <c r="Q220" s="245" t="s">
        <v>235</v>
      </c>
      <c r="R220" s="245" t="s">
        <v>921</v>
      </c>
      <c r="S220" s="245" t="s">
        <v>250</v>
      </c>
      <c r="T220" s="245" t="s">
        <v>256</v>
      </c>
      <c r="U220" s="245" t="s">
        <v>255</v>
      </c>
      <c r="V220" s="247" t="s">
        <v>234</v>
      </c>
      <c r="W220" s="1031"/>
    </row>
    <row r="221" spans="1:23" s="241" customFormat="1" ht="9.75" customHeight="1" x14ac:dyDescent="0.15">
      <c r="A221" s="645" t="s">
        <v>831</v>
      </c>
      <c r="B221" s="792">
        <v>123613</v>
      </c>
      <c r="C221" s="793">
        <v>123613</v>
      </c>
      <c r="D221" s="793">
        <v>123613</v>
      </c>
      <c r="E221" s="793">
        <v>313944</v>
      </c>
      <c r="F221" s="793">
        <v>227811</v>
      </c>
      <c r="G221" s="793">
        <v>84591</v>
      </c>
      <c r="H221" s="793" t="s">
        <v>796</v>
      </c>
      <c r="I221" s="793" t="s">
        <v>796</v>
      </c>
      <c r="J221" s="793">
        <v>143220</v>
      </c>
      <c r="K221" s="793">
        <v>65864</v>
      </c>
      <c r="L221" s="793">
        <v>65864</v>
      </c>
      <c r="M221" s="793">
        <v>20269</v>
      </c>
      <c r="N221" s="793">
        <v>20269</v>
      </c>
      <c r="O221" s="793">
        <v>195920</v>
      </c>
      <c r="P221" s="793">
        <v>180467</v>
      </c>
      <c r="Q221" s="793">
        <v>64035</v>
      </c>
      <c r="R221" s="793">
        <v>27129</v>
      </c>
      <c r="S221" s="793">
        <v>112</v>
      </c>
      <c r="T221" s="793">
        <v>63947</v>
      </c>
      <c r="U221" s="793">
        <v>140</v>
      </c>
      <c r="V221" s="793">
        <v>25095</v>
      </c>
      <c r="W221" s="794" t="s">
        <v>517</v>
      </c>
    </row>
    <row r="222" spans="1:23" s="241" customFormat="1" ht="9.75" customHeight="1" x14ac:dyDescent="0.15">
      <c r="A222" s="448" t="s">
        <v>557</v>
      </c>
      <c r="B222" s="241">
        <v>153230</v>
      </c>
      <c r="C222" s="241">
        <v>153230</v>
      </c>
      <c r="D222" s="241">
        <v>153230</v>
      </c>
      <c r="E222" s="241">
        <v>1028729</v>
      </c>
      <c r="F222" s="241">
        <v>1028729</v>
      </c>
      <c r="G222" s="241">
        <v>272713</v>
      </c>
      <c r="H222" s="241" t="s">
        <v>796</v>
      </c>
      <c r="I222" s="241">
        <v>209841</v>
      </c>
      <c r="J222" s="241">
        <v>546175</v>
      </c>
      <c r="K222" s="241" t="s">
        <v>796</v>
      </c>
      <c r="L222" s="241" t="s">
        <v>796</v>
      </c>
      <c r="M222" s="241" t="s">
        <v>796</v>
      </c>
      <c r="N222" s="241" t="s">
        <v>796</v>
      </c>
      <c r="O222" s="241">
        <v>270105</v>
      </c>
      <c r="P222" s="241">
        <v>255929</v>
      </c>
      <c r="Q222" s="241">
        <v>78735</v>
      </c>
      <c r="R222" s="241">
        <v>43982</v>
      </c>
      <c r="S222" s="241">
        <v>272</v>
      </c>
      <c r="T222" s="241">
        <v>95394</v>
      </c>
      <c r="U222" s="241">
        <v>82</v>
      </c>
      <c r="V222" s="241">
        <v>37452</v>
      </c>
      <c r="W222" s="242" t="s">
        <v>558</v>
      </c>
    </row>
    <row r="223" spans="1:23" s="241" customFormat="1" ht="9.75" customHeight="1" x14ac:dyDescent="0.15">
      <c r="A223" s="448" t="s">
        <v>682</v>
      </c>
      <c r="B223" s="241">
        <v>12370</v>
      </c>
      <c r="C223" s="241">
        <v>12370</v>
      </c>
      <c r="D223" s="241">
        <v>12370</v>
      </c>
      <c r="E223" s="241">
        <v>2078905</v>
      </c>
      <c r="F223" s="241">
        <v>2078905</v>
      </c>
      <c r="G223" s="241">
        <v>779765</v>
      </c>
      <c r="H223" s="241" t="s">
        <v>796</v>
      </c>
      <c r="I223" s="241">
        <v>504196</v>
      </c>
      <c r="J223" s="241">
        <v>794944</v>
      </c>
      <c r="K223" s="241" t="s">
        <v>796</v>
      </c>
      <c r="L223" s="241" t="s">
        <v>796</v>
      </c>
      <c r="M223" s="241" t="s">
        <v>796</v>
      </c>
      <c r="N223" s="241" t="s">
        <v>796</v>
      </c>
      <c r="O223" s="241">
        <v>267620</v>
      </c>
      <c r="P223" s="241">
        <v>244616</v>
      </c>
      <c r="Q223" s="241">
        <v>81582</v>
      </c>
      <c r="R223" s="241">
        <v>37640</v>
      </c>
      <c r="S223" s="241">
        <v>395</v>
      </c>
      <c r="T223" s="241">
        <v>86783</v>
      </c>
      <c r="U223" s="241">
        <v>32</v>
      </c>
      <c r="V223" s="241">
        <v>38175</v>
      </c>
      <c r="W223" s="242" t="s">
        <v>683</v>
      </c>
    </row>
    <row r="224" spans="1:23" s="241" customFormat="1" ht="9.75" customHeight="1" x14ac:dyDescent="0.15">
      <c r="A224" s="448" t="s">
        <v>784</v>
      </c>
      <c r="B224" s="241">
        <v>12114</v>
      </c>
      <c r="C224" s="241">
        <v>12114</v>
      </c>
      <c r="D224" s="241">
        <v>12114</v>
      </c>
      <c r="E224" s="241">
        <v>974256</v>
      </c>
      <c r="F224" s="241">
        <v>974256</v>
      </c>
      <c r="G224" s="241">
        <v>420811</v>
      </c>
      <c r="H224" s="241" t="s">
        <v>796</v>
      </c>
      <c r="I224" s="241">
        <v>255547</v>
      </c>
      <c r="J224" s="241">
        <v>297898</v>
      </c>
      <c r="K224" s="241" t="s">
        <v>796</v>
      </c>
      <c r="L224" s="241" t="s">
        <v>796</v>
      </c>
      <c r="M224" s="241" t="s">
        <v>796</v>
      </c>
      <c r="N224" s="241" t="s">
        <v>796</v>
      </c>
      <c r="O224" s="241">
        <v>239176</v>
      </c>
      <c r="P224" s="241">
        <v>226979</v>
      </c>
      <c r="Q224" s="241">
        <v>71861</v>
      </c>
      <c r="R224" s="241">
        <v>34605</v>
      </c>
      <c r="S224" s="241">
        <v>284</v>
      </c>
      <c r="T224" s="241">
        <v>86253</v>
      </c>
      <c r="U224" s="241">
        <v>35</v>
      </c>
      <c r="V224" s="241">
        <v>33934</v>
      </c>
      <c r="W224" s="242" t="s">
        <v>785</v>
      </c>
    </row>
    <row r="225" spans="1:23" s="241" customFormat="1" ht="9.75" customHeight="1" x14ac:dyDescent="0.15">
      <c r="A225" s="448" t="s">
        <v>832</v>
      </c>
      <c r="B225" s="241">
        <v>53929</v>
      </c>
      <c r="C225" s="241">
        <v>53929</v>
      </c>
      <c r="D225" s="241">
        <v>53929</v>
      </c>
      <c r="E225" s="241">
        <v>163080</v>
      </c>
      <c r="F225" s="241">
        <v>163080</v>
      </c>
      <c r="G225" s="241">
        <v>131416</v>
      </c>
      <c r="H225" s="241" t="s">
        <v>796</v>
      </c>
      <c r="I225" s="241" t="s">
        <v>796</v>
      </c>
      <c r="J225" s="241">
        <v>31664</v>
      </c>
      <c r="K225" s="241" t="s">
        <v>796</v>
      </c>
      <c r="L225" s="241" t="s">
        <v>796</v>
      </c>
      <c r="M225" s="241" t="s">
        <v>796</v>
      </c>
      <c r="N225" s="241" t="s">
        <v>796</v>
      </c>
      <c r="O225" s="241">
        <v>221819</v>
      </c>
      <c r="P225" s="241">
        <v>212411</v>
      </c>
      <c r="Q225" s="241">
        <v>69768</v>
      </c>
      <c r="R225" s="241">
        <v>35578</v>
      </c>
      <c r="S225" s="241">
        <v>138</v>
      </c>
      <c r="T225" s="241">
        <v>80413</v>
      </c>
      <c r="U225" s="241">
        <v>21</v>
      </c>
      <c r="V225" s="241">
        <v>5820</v>
      </c>
      <c r="W225" s="242" t="s">
        <v>833</v>
      </c>
    </row>
    <row r="226" spans="1:23" s="241" customFormat="1" ht="6.75" customHeight="1" x14ac:dyDescent="0.15">
      <c r="A226" s="464"/>
      <c r="W226" s="242"/>
    </row>
    <row r="227" spans="1:23" s="241" customFormat="1" ht="9.75" customHeight="1" x14ac:dyDescent="0.15">
      <c r="A227" s="448" t="s">
        <v>834</v>
      </c>
      <c r="B227" s="241">
        <v>12114</v>
      </c>
      <c r="C227" s="241">
        <v>12114</v>
      </c>
      <c r="D227" s="241">
        <v>12114</v>
      </c>
      <c r="E227" s="241">
        <v>495040</v>
      </c>
      <c r="F227" s="241">
        <v>495040</v>
      </c>
      <c r="G227" s="241">
        <v>340746</v>
      </c>
      <c r="H227" s="241" t="s">
        <v>796</v>
      </c>
      <c r="I227" s="241">
        <v>59561</v>
      </c>
      <c r="J227" s="241">
        <v>94733</v>
      </c>
      <c r="K227" s="241" t="s">
        <v>796</v>
      </c>
      <c r="L227" s="241" t="s">
        <v>796</v>
      </c>
      <c r="M227" s="241" t="s">
        <v>796</v>
      </c>
      <c r="N227" s="241" t="s">
        <v>796</v>
      </c>
      <c r="O227" s="241">
        <v>217672</v>
      </c>
      <c r="P227" s="241">
        <v>206527</v>
      </c>
      <c r="Q227" s="241">
        <v>75238</v>
      </c>
      <c r="R227" s="241">
        <v>39082</v>
      </c>
      <c r="S227" s="241">
        <v>163</v>
      </c>
      <c r="T227" s="241">
        <v>81672</v>
      </c>
      <c r="U227" s="241">
        <v>28</v>
      </c>
      <c r="V227" s="241">
        <v>7349</v>
      </c>
      <c r="W227" s="242" t="s">
        <v>786</v>
      </c>
    </row>
    <row r="228" spans="1:23" s="241" customFormat="1" ht="9.75" customHeight="1" x14ac:dyDescent="0.15">
      <c r="A228" s="448" t="s">
        <v>835</v>
      </c>
      <c r="B228" s="241">
        <v>70986</v>
      </c>
      <c r="C228" s="241">
        <v>70986</v>
      </c>
      <c r="D228" s="241">
        <v>70986</v>
      </c>
      <c r="E228" s="241">
        <v>62556</v>
      </c>
      <c r="F228" s="241">
        <v>62556</v>
      </c>
      <c r="G228" s="241">
        <v>35249</v>
      </c>
      <c r="H228" s="241">
        <v>27307</v>
      </c>
      <c r="I228" s="241" t="s">
        <v>796</v>
      </c>
      <c r="J228" s="241" t="s">
        <v>796</v>
      </c>
      <c r="K228" s="241" t="s">
        <v>796</v>
      </c>
      <c r="L228" s="241" t="s">
        <v>796</v>
      </c>
      <c r="M228" s="241" t="s">
        <v>796</v>
      </c>
      <c r="N228" s="241" t="s">
        <v>796</v>
      </c>
      <c r="O228" s="241">
        <v>213276</v>
      </c>
      <c r="P228" s="241">
        <v>204948</v>
      </c>
      <c r="Q228" s="241">
        <v>65760</v>
      </c>
      <c r="R228" s="241">
        <v>28247</v>
      </c>
      <c r="S228" s="241">
        <v>162</v>
      </c>
      <c r="T228" s="241">
        <v>80308</v>
      </c>
      <c r="U228" s="241">
        <v>20</v>
      </c>
      <c r="V228" s="241">
        <v>5932</v>
      </c>
      <c r="W228" s="242" t="s">
        <v>836</v>
      </c>
    </row>
    <row r="229" spans="1:23" s="241" customFormat="1" ht="6.75" customHeight="1" x14ac:dyDescent="0.15">
      <c r="A229" s="464"/>
      <c r="W229" s="242"/>
    </row>
    <row r="230" spans="1:23" s="241" customFormat="1" ht="9.75" customHeight="1" x14ac:dyDescent="0.15">
      <c r="A230" s="448" t="s">
        <v>837</v>
      </c>
      <c r="B230" s="241" t="s">
        <v>796</v>
      </c>
      <c r="C230" s="241" t="s">
        <v>796</v>
      </c>
      <c r="D230" s="241" t="s">
        <v>796</v>
      </c>
      <c r="E230" s="241">
        <v>134632</v>
      </c>
      <c r="F230" s="241">
        <v>134632</v>
      </c>
      <c r="G230" s="241">
        <v>102968</v>
      </c>
      <c r="H230" s="241" t="s">
        <v>796</v>
      </c>
      <c r="I230" s="241" t="s">
        <v>796</v>
      </c>
      <c r="J230" s="241">
        <v>31664</v>
      </c>
      <c r="K230" s="241" t="s">
        <v>796</v>
      </c>
      <c r="L230" s="241" t="s">
        <v>796</v>
      </c>
      <c r="M230" s="241" t="s">
        <v>796</v>
      </c>
      <c r="N230" s="241" t="s">
        <v>796</v>
      </c>
      <c r="O230" s="241">
        <v>50069</v>
      </c>
      <c r="P230" s="241">
        <v>47203</v>
      </c>
      <c r="Q230" s="241">
        <v>16853</v>
      </c>
      <c r="R230" s="241">
        <v>7552</v>
      </c>
      <c r="S230" s="241">
        <v>16</v>
      </c>
      <c r="T230" s="241">
        <v>19683</v>
      </c>
      <c r="U230" s="241">
        <v>1</v>
      </c>
      <c r="V230" s="241">
        <v>108</v>
      </c>
      <c r="W230" s="242" t="s">
        <v>787</v>
      </c>
    </row>
    <row r="231" spans="1:23" s="241" customFormat="1" ht="9.75" customHeight="1" x14ac:dyDescent="0.15">
      <c r="A231" s="448" t="s">
        <v>559</v>
      </c>
      <c r="B231" s="241">
        <v>18143</v>
      </c>
      <c r="C231" s="241">
        <v>18143</v>
      </c>
      <c r="D231" s="241">
        <v>18143</v>
      </c>
      <c r="E231" s="241" t="s">
        <v>796</v>
      </c>
      <c r="F231" s="241" t="s">
        <v>796</v>
      </c>
      <c r="G231" s="241" t="s">
        <v>796</v>
      </c>
      <c r="H231" s="241" t="s">
        <v>796</v>
      </c>
      <c r="I231" s="241" t="s">
        <v>796</v>
      </c>
      <c r="J231" s="241" t="s">
        <v>796</v>
      </c>
      <c r="K231" s="241" t="s">
        <v>796</v>
      </c>
      <c r="L231" s="241" t="s">
        <v>796</v>
      </c>
      <c r="M231" s="241" t="s">
        <v>796</v>
      </c>
      <c r="N231" s="241" t="s">
        <v>796</v>
      </c>
      <c r="O231" s="241">
        <v>59116</v>
      </c>
      <c r="P231" s="241">
        <v>57083</v>
      </c>
      <c r="Q231" s="241">
        <v>21025</v>
      </c>
      <c r="R231" s="241">
        <v>11167</v>
      </c>
      <c r="S231" s="241">
        <v>58</v>
      </c>
      <c r="T231" s="241">
        <v>19629</v>
      </c>
      <c r="U231" s="241">
        <v>10</v>
      </c>
      <c r="V231" s="241">
        <v>156</v>
      </c>
      <c r="W231" s="242" t="s">
        <v>78</v>
      </c>
    </row>
    <row r="232" spans="1:23" s="241" customFormat="1" ht="9.75" customHeight="1" x14ac:dyDescent="0.15">
      <c r="A232" s="448" t="s">
        <v>560</v>
      </c>
      <c r="B232" s="241">
        <v>18143</v>
      </c>
      <c r="C232" s="241">
        <v>18143</v>
      </c>
      <c r="D232" s="241">
        <v>18143</v>
      </c>
      <c r="E232" s="241" t="s">
        <v>796</v>
      </c>
      <c r="F232" s="241" t="s">
        <v>796</v>
      </c>
      <c r="G232" s="241" t="s">
        <v>796</v>
      </c>
      <c r="H232" s="241" t="s">
        <v>796</v>
      </c>
      <c r="I232" s="241" t="s">
        <v>796</v>
      </c>
      <c r="J232" s="241" t="s">
        <v>796</v>
      </c>
      <c r="K232" s="241" t="s">
        <v>796</v>
      </c>
      <c r="L232" s="241" t="s">
        <v>796</v>
      </c>
      <c r="M232" s="241" t="s">
        <v>796</v>
      </c>
      <c r="N232" s="241" t="s">
        <v>796</v>
      </c>
      <c r="O232" s="241">
        <v>45866</v>
      </c>
      <c r="P232" s="241">
        <v>43856</v>
      </c>
      <c r="Q232" s="241">
        <v>12832</v>
      </c>
      <c r="R232" s="241">
        <v>6944</v>
      </c>
      <c r="S232" s="241">
        <v>32</v>
      </c>
      <c r="T232" s="241">
        <v>18103</v>
      </c>
      <c r="U232" s="241" t="s">
        <v>796</v>
      </c>
      <c r="V232" s="241">
        <v>895</v>
      </c>
      <c r="W232" s="242" t="s">
        <v>79</v>
      </c>
    </row>
    <row r="233" spans="1:23" s="241" customFormat="1" ht="9.75" customHeight="1" x14ac:dyDescent="0.15">
      <c r="A233" s="448" t="s">
        <v>561</v>
      </c>
      <c r="B233" s="241">
        <v>17643</v>
      </c>
      <c r="C233" s="241">
        <v>17643</v>
      </c>
      <c r="D233" s="241">
        <v>17643</v>
      </c>
      <c r="E233" s="241">
        <v>28448</v>
      </c>
      <c r="F233" s="241">
        <v>28448</v>
      </c>
      <c r="G233" s="241">
        <v>28448</v>
      </c>
      <c r="H233" s="241" t="s">
        <v>796</v>
      </c>
      <c r="I233" s="241" t="s">
        <v>796</v>
      </c>
      <c r="J233" s="241" t="s">
        <v>796</v>
      </c>
      <c r="K233" s="241" t="s">
        <v>796</v>
      </c>
      <c r="L233" s="241" t="s">
        <v>796</v>
      </c>
      <c r="M233" s="241" t="s">
        <v>796</v>
      </c>
      <c r="N233" s="241" t="s">
        <v>796</v>
      </c>
      <c r="O233" s="241">
        <v>66768</v>
      </c>
      <c r="P233" s="241">
        <v>64269</v>
      </c>
      <c r="Q233" s="241">
        <v>19058</v>
      </c>
      <c r="R233" s="241">
        <v>9915</v>
      </c>
      <c r="S233" s="241">
        <v>32</v>
      </c>
      <c r="T233" s="241">
        <v>22998</v>
      </c>
      <c r="U233" s="241">
        <v>10</v>
      </c>
      <c r="V233" s="241">
        <v>4661</v>
      </c>
      <c r="W233" s="242" t="s">
        <v>80</v>
      </c>
    </row>
    <row r="234" spans="1:23" s="241" customFormat="1" ht="9.75" customHeight="1" x14ac:dyDescent="0.15">
      <c r="A234" s="448" t="s">
        <v>838</v>
      </c>
      <c r="B234" s="241">
        <v>17057</v>
      </c>
      <c r="C234" s="241">
        <v>17057</v>
      </c>
      <c r="D234" s="241">
        <v>17057</v>
      </c>
      <c r="E234" s="241">
        <v>34108</v>
      </c>
      <c r="F234" s="241">
        <v>34108</v>
      </c>
      <c r="G234" s="241">
        <v>6801</v>
      </c>
      <c r="H234" s="241">
        <v>27307</v>
      </c>
      <c r="I234" s="241" t="s">
        <v>796</v>
      </c>
      <c r="J234" s="241" t="s">
        <v>796</v>
      </c>
      <c r="K234" s="241" t="s">
        <v>796</v>
      </c>
      <c r="L234" s="241" t="s">
        <v>796</v>
      </c>
      <c r="M234" s="241" t="s">
        <v>796</v>
      </c>
      <c r="N234" s="241" t="s">
        <v>796</v>
      </c>
      <c r="O234" s="241">
        <v>41526</v>
      </c>
      <c r="P234" s="241">
        <v>39740</v>
      </c>
      <c r="Q234" s="241">
        <v>12845</v>
      </c>
      <c r="R234" s="241">
        <v>221</v>
      </c>
      <c r="S234" s="241">
        <v>40</v>
      </c>
      <c r="T234" s="241">
        <v>19578</v>
      </c>
      <c r="U234" s="241" t="s">
        <v>796</v>
      </c>
      <c r="V234" s="241">
        <v>220</v>
      </c>
      <c r="W234" s="242" t="s">
        <v>839</v>
      </c>
    </row>
    <row r="235" spans="1:23" s="241" customFormat="1" ht="6.75" customHeight="1" x14ac:dyDescent="0.15">
      <c r="A235" s="464"/>
      <c r="W235" s="242"/>
    </row>
    <row r="236" spans="1:23" s="241" customFormat="1" ht="9.75" customHeight="1" x14ac:dyDescent="0.15">
      <c r="A236" s="448" t="s">
        <v>840</v>
      </c>
      <c r="B236" s="241" t="s">
        <v>796</v>
      </c>
      <c r="C236" s="241" t="s">
        <v>796</v>
      </c>
      <c r="D236" s="241" t="s">
        <v>796</v>
      </c>
      <c r="E236" s="241">
        <v>74064</v>
      </c>
      <c r="F236" s="241">
        <v>74064</v>
      </c>
      <c r="G236" s="241">
        <v>42400</v>
      </c>
      <c r="H236" s="241" t="s">
        <v>796</v>
      </c>
      <c r="I236" s="241" t="s">
        <v>796</v>
      </c>
      <c r="J236" s="241">
        <v>31664</v>
      </c>
      <c r="K236" s="241" t="s">
        <v>796</v>
      </c>
      <c r="L236" s="241" t="s">
        <v>796</v>
      </c>
      <c r="M236" s="241" t="s">
        <v>796</v>
      </c>
      <c r="N236" s="241" t="s">
        <v>796</v>
      </c>
      <c r="O236" s="241">
        <v>4276</v>
      </c>
      <c r="P236" s="241">
        <v>3790</v>
      </c>
      <c r="Q236" s="241">
        <v>3619</v>
      </c>
      <c r="R236" s="241">
        <v>59</v>
      </c>
      <c r="S236" s="241" t="s">
        <v>796</v>
      </c>
      <c r="T236" s="241">
        <v>56</v>
      </c>
      <c r="U236" s="241">
        <v>1</v>
      </c>
      <c r="V236" s="241">
        <v>53</v>
      </c>
      <c r="W236" s="242" t="s">
        <v>788</v>
      </c>
    </row>
    <row r="237" spans="1:23" s="241" customFormat="1" ht="9.75" customHeight="1" x14ac:dyDescent="0.15">
      <c r="A237" s="448" t="s">
        <v>562</v>
      </c>
      <c r="B237" s="241" t="s">
        <v>796</v>
      </c>
      <c r="C237" s="241" t="s">
        <v>796</v>
      </c>
      <c r="D237" s="241" t="s">
        <v>796</v>
      </c>
      <c r="E237" s="241">
        <v>32894</v>
      </c>
      <c r="F237" s="241">
        <v>32894</v>
      </c>
      <c r="G237" s="241">
        <v>32894</v>
      </c>
      <c r="H237" s="241" t="s">
        <v>796</v>
      </c>
      <c r="I237" s="241" t="s">
        <v>796</v>
      </c>
      <c r="J237" s="241" t="s">
        <v>796</v>
      </c>
      <c r="K237" s="241" t="s">
        <v>796</v>
      </c>
      <c r="L237" s="241" t="s">
        <v>796</v>
      </c>
      <c r="M237" s="241" t="s">
        <v>796</v>
      </c>
      <c r="N237" s="241" t="s">
        <v>796</v>
      </c>
      <c r="O237" s="241">
        <v>22968</v>
      </c>
      <c r="P237" s="241">
        <v>22160</v>
      </c>
      <c r="Q237" s="241">
        <v>4428</v>
      </c>
      <c r="R237" s="241">
        <v>7427</v>
      </c>
      <c r="S237" s="241">
        <v>16</v>
      </c>
      <c r="T237" s="241">
        <v>10272</v>
      </c>
      <c r="U237" s="241" t="s">
        <v>796</v>
      </c>
      <c r="V237" s="241">
        <v>15</v>
      </c>
      <c r="W237" s="242" t="s">
        <v>66</v>
      </c>
    </row>
    <row r="238" spans="1:23" s="241" customFormat="1" ht="9.75" customHeight="1" x14ac:dyDescent="0.15">
      <c r="A238" s="448" t="s">
        <v>563</v>
      </c>
      <c r="B238" s="241" t="s">
        <v>796</v>
      </c>
      <c r="C238" s="241" t="s">
        <v>796</v>
      </c>
      <c r="D238" s="241" t="s">
        <v>796</v>
      </c>
      <c r="E238" s="241">
        <v>27674</v>
      </c>
      <c r="F238" s="241">
        <v>27674</v>
      </c>
      <c r="G238" s="241">
        <v>27674</v>
      </c>
      <c r="H238" s="241" t="s">
        <v>796</v>
      </c>
      <c r="I238" s="241" t="s">
        <v>796</v>
      </c>
      <c r="J238" s="241" t="s">
        <v>796</v>
      </c>
      <c r="K238" s="241" t="s">
        <v>796</v>
      </c>
      <c r="L238" s="241" t="s">
        <v>796</v>
      </c>
      <c r="M238" s="241" t="s">
        <v>796</v>
      </c>
      <c r="N238" s="241" t="s">
        <v>796</v>
      </c>
      <c r="O238" s="241">
        <v>22825</v>
      </c>
      <c r="P238" s="241">
        <v>21253</v>
      </c>
      <c r="Q238" s="241">
        <v>8806</v>
      </c>
      <c r="R238" s="241">
        <v>66</v>
      </c>
      <c r="S238" s="241" t="s">
        <v>796</v>
      </c>
      <c r="T238" s="241">
        <v>9355</v>
      </c>
      <c r="U238" s="241" t="s">
        <v>796</v>
      </c>
      <c r="V238" s="241">
        <v>40</v>
      </c>
      <c r="W238" s="242" t="s">
        <v>67</v>
      </c>
    </row>
    <row r="239" spans="1:23" s="241" customFormat="1" ht="9.75" customHeight="1" x14ac:dyDescent="0.15">
      <c r="A239" s="448" t="s">
        <v>564</v>
      </c>
      <c r="B239" s="241" t="s">
        <v>796</v>
      </c>
      <c r="C239" s="241" t="s">
        <v>796</v>
      </c>
      <c r="D239" s="241" t="s">
        <v>796</v>
      </c>
      <c r="E239" s="241" t="s">
        <v>796</v>
      </c>
      <c r="F239" s="241" t="s">
        <v>796</v>
      </c>
      <c r="G239" s="241" t="s">
        <v>796</v>
      </c>
      <c r="H239" s="241" t="s">
        <v>796</v>
      </c>
      <c r="I239" s="241" t="s">
        <v>796</v>
      </c>
      <c r="J239" s="241" t="s">
        <v>796</v>
      </c>
      <c r="K239" s="241" t="s">
        <v>796</v>
      </c>
      <c r="L239" s="241" t="s">
        <v>796</v>
      </c>
      <c r="M239" s="241" t="s">
        <v>796</v>
      </c>
      <c r="N239" s="241" t="s">
        <v>796</v>
      </c>
      <c r="O239" s="241">
        <v>19087</v>
      </c>
      <c r="P239" s="241">
        <v>18458</v>
      </c>
      <c r="Q239" s="241">
        <v>5270</v>
      </c>
      <c r="R239" s="241">
        <v>76</v>
      </c>
      <c r="S239" s="241">
        <v>32</v>
      </c>
      <c r="T239" s="241">
        <v>10491</v>
      </c>
      <c r="U239" s="241">
        <v>10</v>
      </c>
      <c r="V239" s="241">
        <v>60</v>
      </c>
      <c r="W239" s="242" t="s">
        <v>68</v>
      </c>
    </row>
    <row r="240" spans="1:23" s="241" customFormat="1" ht="9.75" customHeight="1" x14ac:dyDescent="0.15">
      <c r="A240" s="448" t="s">
        <v>565</v>
      </c>
      <c r="B240" s="241">
        <v>12191</v>
      </c>
      <c r="C240" s="241">
        <v>12191</v>
      </c>
      <c r="D240" s="241">
        <v>12191</v>
      </c>
      <c r="E240" s="241" t="s">
        <v>796</v>
      </c>
      <c r="F240" s="241" t="s">
        <v>796</v>
      </c>
      <c r="G240" s="241" t="s">
        <v>796</v>
      </c>
      <c r="H240" s="241" t="s">
        <v>796</v>
      </c>
      <c r="I240" s="241" t="s">
        <v>796</v>
      </c>
      <c r="J240" s="241" t="s">
        <v>796</v>
      </c>
      <c r="K240" s="241" t="s">
        <v>796</v>
      </c>
      <c r="L240" s="241" t="s">
        <v>796</v>
      </c>
      <c r="M240" s="241" t="s">
        <v>796</v>
      </c>
      <c r="N240" s="241" t="s">
        <v>796</v>
      </c>
      <c r="O240" s="241">
        <v>15466</v>
      </c>
      <c r="P240" s="241">
        <v>14807</v>
      </c>
      <c r="Q240" s="241">
        <v>3030</v>
      </c>
      <c r="R240" s="241">
        <v>104</v>
      </c>
      <c r="S240" s="241" t="s">
        <v>796</v>
      </c>
      <c r="T240" s="241">
        <v>9077</v>
      </c>
      <c r="U240" s="241" t="s">
        <v>796</v>
      </c>
      <c r="V240" s="241">
        <v>77</v>
      </c>
      <c r="W240" s="242" t="s">
        <v>81</v>
      </c>
    </row>
    <row r="241" spans="1:23" s="241" customFormat="1" ht="9.75" customHeight="1" x14ac:dyDescent="0.15">
      <c r="A241" s="448" t="s">
        <v>566</v>
      </c>
      <c r="B241" s="241">
        <v>5952</v>
      </c>
      <c r="C241" s="241">
        <v>5952</v>
      </c>
      <c r="D241" s="241">
        <v>5952</v>
      </c>
      <c r="E241" s="241" t="s">
        <v>796</v>
      </c>
      <c r="F241" s="241" t="s">
        <v>796</v>
      </c>
      <c r="G241" s="241" t="s">
        <v>796</v>
      </c>
      <c r="H241" s="241" t="s">
        <v>796</v>
      </c>
      <c r="I241" s="241" t="s">
        <v>796</v>
      </c>
      <c r="J241" s="241" t="s">
        <v>796</v>
      </c>
      <c r="K241" s="241" t="s">
        <v>796</v>
      </c>
      <c r="L241" s="241" t="s">
        <v>796</v>
      </c>
      <c r="M241" s="241" t="s">
        <v>796</v>
      </c>
      <c r="N241" s="241" t="s">
        <v>796</v>
      </c>
      <c r="O241" s="241">
        <v>24563</v>
      </c>
      <c r="P241" s="241">
        <v>23818</v>
      </c>
      <c r="Q241" s="241">
        <v>12725</v>
      </c>
      <c r="R241" s="241">
        <v>10987</v>
      </c>
      <c r="S241" s="241">
        <v>26</v>
      </c>
      <c r="T241" s="241">
        <v>61</v>
      </c>
      <c r="U241" s="241" t="s">
        <v>796</v>
      </c>
      <c r="V241" s="241">
        <v>19</v>
      </c>
      <c r="W241" s="242" t="s">
        <v>82</v>
      </c>
    </row>
    <row r="242" spans="1:23" s="241" customFormat="1" ht="9.75" customHeight="1" x14ac:dyDescent="0.15">
      <c r="A242" s="448" t="s">
        <v>567</v>
      </c>
      <c r="B242" s="241">
        <v>6227</v>
      </c>
      <c r="C242" s="241">
        <v>6227</v>
      </c>
      <c r="D242" s="241">
        <v>6227</v>
      </c>
      <c r="E242" s="241" t="s">
        <v>796</v>
      </c>
      <c r="F242" s="241" t="s">
        <v>796</v>
      </c>
      <c r="G242" s="241" t="s">
        <v>796</v>
      </c>
      <c r="H242" s="241" t="s">
        <v>796</v>
      </c>
      <c r="I242" s="241" t="s">
        <v>796</v>
      </c>
      <c r="J242" s="241" t="s">
        <v>796</v>
      </c>
      <c r="K242" s="241" t="s">
        <v>796</v>
      </c>
      <c r="L242" s="241" t="s">
        <v>796</v>
      </c>
      <c r="M242" s="241" t="s">
        <v>796</v>
      </c>
      <c r="N242" s="241" t="s">
        <v>796</v>
      </c>
      <c r="O242" s="241">
        <v>18497</v>
      </c>
      <c r="P242" s="241">
        <v>17984</v>
      </c>
      <c r="Q242" s="241">
        <v>6155</v>
      </c>
      <c r="R242" s="241">
        <v>44</v>
      </c>
      <c r="S242" s="241" t="s">
        <v>796</v>
      </c>
      <c r="T242" s="241">
        <v>9193</v>
      </c>
      <c r="U242" s="241" t="s">
        <v>796</v>
      </c>
      <c r="V242" s="241">
        <v>63</v>
      </c>
      <c r="W242" s="242" t="s">
        <v>83</v>
      </c>
    </row>
    <row r="243" spans="1:23" s="241" customFormat="1" ht="9.75" customHeight="1" x14ac:dyDescent="0.15">
      <c r="A243" s="448" t="s">
        <v>568</v>
      </c>
      <c r="B243" s="241">
        <v>5968</v>
      </c>
      <c r="C243" s="241">
        <v>5968</v>
      </c>
      <c r="D243" s="241">
        <v>5968</v>
      </c>
      <c r="E243" s="241" t="s">
        <v>796</v>
      </c>
      <c r="F243" s="241" t="s">
        <v>796</v>
      </c>
      <c r="G243" s="241" t="s">
        <v>796</v>
      </c>
      <c r="H243" s="241" t="s">
        <v>796</v>
      </c>
      <c r="I243" s="241" t="s">
        <v>796</v>
      </c>
      <c r="J243" s="241" t="s">
        <v>796</v>
      </c>
      <c r="K243" s="241" t="s">
        <v>796</v>
      </c>
      <c r="L243" s="241" t="s">
        <v>796</v>
      </c>
      <c r="M243" s="241" t="s">
        <v>796</v>
      </c>
      <c r="N243" s="241" t="s">
        <v>796</v>
      </c>
      <c r="O243" s="241">
        <v>14633</v>
      </c>
      <c r="P243" s="241">
        <v>13876</v>
      </c>
      <c r="Q243" s="241">
        <v>4204</v>
      </c>
      <c r="R243" s="241">
        <v>58</v>
      </c>
      <c r="S243" s="241">
        <v>16</v>
      </c>
      <c r="T243" s="241">
        <v>8833</v>
      </c>
      <c r="U243" s="241" t="s">
        <v>796</v>
      </c>
      <c r="V243" s="241">
        <v>765</v>
      </c>
      <c r="W243" s="242" t="s">
        <v>84</v>
      </c>
    </row>
    <row r="244" spans="1:23" s="241" customFormat="1" ht="9.75" customHeight="1" x14ac:dyDescent="0.15">
      <c r="A244" s="448" t="s">
        <v>569</v>
      </c>
      <c r="B244" s="241">
        <v>5948</v>
      </c>
      <c r="C244" s="241">
        <v>5948</v>
      </c>
      <c r="D244" s="241">
        <v>5948</v>
      </c>
      <c r="E244" s="241" t="s">
        <v>796</v>
      </c>
      <c r="F244" s="241" t="s">
        <v>796</v>
      </c>
      <c r="G244" s="241" t="s">
        <v>796</v>
      </c>
      <c r="H244" s="241" t="s">
        <v>796</v>
      </c>
      <c r="I244" s="241" t="s">
        <v>796</v>
      </c>
      <c r="J244" s="241" t="s">
        <v>796</v>
      </c>
      <c r="K244" s="241" t="s">
        <v>796</v>
      </c>
      <c r="L244" s="241" t="s">
        <v>796</v>
      </c>
      <c r="M244" s="241" t="s">
        <v>796</v>
      </c>
      <c r="N244" s="241" t="s">
        <v>796</v>
      </c>
      <c r="O244" s="241">
        <v>12736</v>
      </c>
      <c r="P244" s="241">
        <v>11996</v>
      </c>
      <c r="Q244" s="241">
        <v>2473</v>
      </c>
      <c r="R244" s="241">
        <v>6842</v>
      </c>
      <c r="S244" s="241">
        <v>16</v>
      </c>
      <c r="T244" s="241">
        <v>77</v>
      </c>
      <c r="U244" s="241" t="s">
        <v>796</v>
      </c>
      <c r="V244" s="241">
        <v>67</v>
      </c>
      <c r="W244" s="242" t="s">
        <v>85</v>
      </c>
    </row>
    <row r="245" spans="1:23" s="241" customFormat="1" ht="9.75" customHeight="1" x14ac:dyDescent="0.15">
      <c r="A245" s="448" t="s">
        <v>570</v>
      </c>
      <c r="B245" s="241">
        <v>6230</v>
      </c>
      <c r="C245" s="241">
        <v>6230</v>
      </c>
      <c r="D245" s="241">
        <v>6230</v>
      </c>
      <c r="E245" s="241">
        <v>7889</v>
      </c>
      <c r="F245" s="241">
        <v>7889</v>
      </c>
      <c r="G245" s="241">
        <v>7889</v>
      </c>
      <c r="H245" s="241" t="s">
        <v>796</v>
      </c>
      <c r="I245" s="241" t="s">
        <v>796</v>
      </c>
      <c r="J245" s="241" t="s">
        <v>796</v>
      </c>
      <c r="K245" s="241" t="s">
        <v>796</v>
      </c>
      <c r="L245" s="241" t="s">
        <v>796</v>
      </c>
      <c r="M245" s="241" t="s">
        <v>796</v>
      </c>
      <c r="N245" s="241" t="s">
        <v>796</v>
      </c>
      <c r="O245" s="241">
        <v>21955</v>
      </c>
      <c r="P245" s="241">
        <v>20901</v>
      </c>
      <c r="Q245" s="241">
        <v>8647</v>
      </c>
      <c r="R245" s="241">
        <v>50</v>
      </c>
      <c r="S245" s="241" t="s">
        <v>796</v>
      </c>
      <c r="T245" s="241">
        <v>9601</v>
      </c>
      <c r="U245" s="241">
        <v>4</v>
      </c>
      <c r="V245" s="241">
        <v>46</v>
      </c>
      <c r="W245" s="242" t="s">
        <v>69</v>
      </c>
    </row>
    <row r="246" spans="1:23" s="241" customFormat="1" ht="9.75" customHeight="1" x14ac:dyDescent="0.15">
      <c r="A246" s="448" t="s">
        <v>571</v>
      </c>
      <c r="B246" s="241">
        <v>5172</v>
      </c>
      <c r="C246" s="241">
        <v>5172</v>
      </c>
      <c r="D246" s="241">
        <v>5172</v>
      </c>
      <c r="E246" s="241">
        <v>4536</v>
      </c>
      <c r="F246" s="241">
        <v>4536</v>
      </c>
      <c r="G246" s="241">
        <v>4536</v>
      </c>
      <c r="H246" s="241" t="s">
        <v>796</v>
      </c>
      <c r="I246" s="241" t="s">
        <v>796</v>
      </c>
      <c r="J246" s="241" t="s">
        <v>796</v>
      </c>
      <c r="K246" s="241" t="s">
        <v>796</v>
      </c>
      <c r="L246" s="241" t="s">
        <v>796</v>
      </c>
      <c r="M246" s="241" t="s">
        <v>796</v>
      </c>
      <c r="N246" s="241" t="s">
        <v>796</v>
      </c>
      <c r="O246" s="241">
        <v>18586</v>
      </c>
      <c r="P246" s="241">
        <v>17976</v>
      </c>
      <c r="Q246" s="241">
        <v>3674</v>
      </c>
      <c r="R246" s="241">
        <v>2012</v>
      </c>
      <c r="S246" s="241">
        <v>16</v>
      </c>
      <c r="T246" s="241">
        <v>9692</v>
      </c>
      <c r="U246" s="241">
        <v>1</v>
      </c>
      <c r="V246" s="241">
        <v>58</v>
      </c>
      <c r="W246" s="242" t="s">
        <v>70</v>
      </c>
    </row>
    <row r="247" spans="1:23" s="241" customFormat="1" ht="9.75" customHeight="1" x14ac:dyDescent="0.15">
      <c r="A247" s="448" t="s">
        <v>572</v>
      </c>
      <c r="B247" s="241">
        <v>6241</v>
      </c>
      <c r="C247" s="241">
        <v>6241</v>
      </c>
      <c r="D247" s="241">
        <v>6241</v>
      </c>
      <c r="E247" s="241">
        <v>16023</v>
      </c>
      <c r="F247" s="241">
        <v>16023</v>
      </c>
      <c r="G247" s="241">
        <v>16023</v>
      </c>
      <c r="H247" s="241" t="s">
        <v>796</v>
      </c>
      <c r="I247" s="241" t="s">
        <v>796</v>
      </c>
      <c r="J247" s="241" t="s">
        <v>796</v>
      </c>
      <c r="K247" s="241" t="s">
        <v>796</v>
      </c>
      <c r="L247" s="241" t="s">
        <v>796</v>
      </c>
      <c r="M247" s="241" t="s">
        <v>796</v>
      </c>
      <c r="N247" s="241" t="s">
        <v>796</v>
      </c>
      <c r="O247" s="241">
        <v>26227</v>
      </c>
      <c r="P247" s="241">
        <v>25392</v>
      </c>
      <c r="Q247" s="241">
        <v>6737</v>
      </c>
      <c r="R247" s="241">
        <v>7853</v>
      </c>
      <c r="S247" s="241">
        <v>16</v>
      </c>
      <c r="T247" s="241">
        <v>3705</v>
      </c>
      <c r="U247" s="241">
        <v>5</v>
      </c>
      <c r="V247" s="241">
        <v>4557</v>
      </c>
      <c r="W247" s="242" t="s">
        <v>71</v>
      </c>
    </row>
    <row r="248" spans="1:23" s="241" customFormat="1" ht="9.75" customHeight="1" x14ac:dyDescent="0.15">
      <c r="A248" s="448" t="s">
        <v>841</v>
      </c>
      <c r="B248" s="241">
        <v>4990</v>
      </c>
      <c r="C248" s="241">
        <v>4990</v>
      </c>
      <c r="D248" s="241">
        <v>4990</v>
      </c>
      <c r="E248" s="241">
        <v>30102</v>
      </c>
      <c r="F248" s="241">
        <v>30102</v>
      </c>
      <c r="G248" s="241">
        <v>2795</v>
      </c>
      <c r="H248" s="241">
        <v>27307</v>
      </c>
      <c r="I248" s="241" t="s">
        <v>796</v>
      </c>
      <c r="J248" s="241" t="s">
        <v>796</v>
      </c>
      <c r="K248" s="241" t="s">
        <v>796</v>
      </c>
      <c r="L248" s="241" t="s">
        <v>796</v>
      </c>
      <c r="M248" s="241" t="s">
        <v>796</v>
      </c>
      <c r="N248" s="241" t="s">
        <v>796</v>
      </c>
      <c r="O248" s="241">
        <v>11876</v>
      </c>
      <c r="P248" s="241">
        <v>11129</v>
      </c>
      <c r="Q248" s="241">
        <v>2102</v>
      </c>
      <c r="R248" s="241">
        <v>13</v>
      </c>
      <c r="S248" s="241">
        <v>8</v>
      </c>
      <c r="T248" s="241">
        <v>6621</v>
      </c>
      <c r="U248" s="241" t="s">
        <v>796</v>
      </c>
      <c r="V248" s="241">
        <v>104</v>
      </c>
      <c r="W248" s="242" t="s">
        <v>842</v>
      </c>
    </row>
    <row r="249" spans="1:23" s="241" customFormat="1" ht="9.75" customHeight="1" x14ac:dyDescent="0.15">
      <c r="A249" s="448" t="s">
        <v>573</v>
      </c>
      <c r="B249" s="241">
        <v>5958</v>
      </c>
      <c r="C249" s="241">
        <v>5958</v>
      </c>
      <c r="D249" s="241">
        <v>5958</v>
      </c>
      <c r="E249" s="241" t="s">
        <v>796</v>
      </c>
      <c r="F249" s="241" t="s">
        <v>796</v>
      </c>
      <c r="G249" s="241" t="s">
        <v>796</v>
      </c>
      <c r="H249" s="241" t="s">
        <v>796</v>
      </c>
      <c r="I249" s="241" t="s">
        <v>796</v>
      </c>
      <c r="J249" s="241" t="s">
        <v>796</v>
      </c>
      <c r="K249" s="241" t="s">
        <v>796</v>
      </c>
      <c r="L249" s="241" t="s">
        <v>796</v>
      </c>
      <c r="M249" s="241" t="s">
        <v>796</v>
      </c>
      <c r="N249" s="241" t="s">
        <v>796</v>
      </c>
      <c r="O249" s="241">
        <v>16414</v>
      </c>
      <c r="P249" s="241">
        <v>15975</v>
      </c>
      <c r="Q249" s="241">
        <v>6099</v>
      </c>
      <c r="R249" s="241">
        <v>102</v>
      </c>
      <c r="S249" s="241" t="s">
        <v>796</v>
      </c>
      <c r="T249" s="241">
        <v>7466</v>
      </c>
      <c r="U249" s="241" t="s">
        <v>796</v>
      </c>
      <c r="V249" s="241">
        <v>29</v>
      </c>
      <c r="W249" s="242" t="s">
        <v>66</v>
      </c>
    </row>
    <row r="250" spans="1:23" s="241" customFormat="1" ht="9.75" customHeight="1" x14ac:dyDescent="0.15">
      <c r="A250" s="795" t="s">
        <v>574</v>
      </c>
      <c r="B250" s="796">
        <v>6109</v>
      </c>
      <c r="C250" s="797">
        <v>6109</v>
      </c>
      <c r="D250" s="797">
        <v>6109</v>
      </c>
      <c r="E250" s="797">
        <v>4006</v>
      </c>
      <c r="F250" s="797">
        <v>4006</v>
      </c>
      <c r="G250" s="797">
        <v>4006</v>
      </c>
      <c r="H250" s="797" t="s">
        <v>796</v>
      </c>
      <c r="I250" s="797" t="s">
        <v>796</v>
      </c>
      <c r="J250" s="797" t="s">
        <v>796</v>
      </c>
      <c r="K250" s="797" t="s">
        <v>796</v>
      </c>
      <c r="L250" s="797" t="s">
        <v>796</v>
      </c>
      <c r="M250" s="797" t="s">
        <v>796</v>
      </c>
      <c r="N250" s="797" t="s">
        <v>796</v>
      </c>
      <c r="O250" s="797">
        <v>13236</v>
      </c>
      <c r="P250" s="797">
        <v>12636</v>
      </c>
      <c r="Q250" s="797">
        <v>4644</v>
      </c>
      <c r="R250" s="797">
        <v>106</v>
      </c>
      <c r="S250" s="797">
        <v>32</v>
      </c>
      <c r="T250" s="797">
        <v>5491</v>
      </c>
      <c r="U250" s="797" t="s">
        <v>796</v>
      </c>
      <c r="V250" s="797">
        <v>87</v>
      </c>
      <c r="W250" s="798" t="s">
        <v>67</v>
      </c>
    </row>
    <row r="251" spans="1:23" ht="12" customHeight="1" x14ac:dyDescent="0.15"/>
    <row r="252" spans="1:23" ht="12" customHeight="1" x14ac:dyDescent="0.15"/>
    <row r="253" spans="1:23" ht="12" customHeight="1" x14ac:dyDescent="0.15">
      <c r="K253" s="246" t="s">
        <v>86</v>
      </c>
    </row>
    <row r="254" spans="1:23" s="244" customFormat="1" ht="21" customHeight="1" x14ac:dyDescent="0.15">
      <c r="A254" s="1026" t="s">
        <v>153</v>
      </c>
      <c r="B254" s="799" t="s">
        <v>263</v>
      </c>
      <c r="C254" s="790"/>
      <c r="D254" s="790"/>
      <c r="E254" s="790"/>
      <c r="F254" s="790"/>
      <c r="G254" s="790"/>
      <c r="H254" s="790"/>
      <c r="I254" s="790"/>
      <c r="J254" s="790"/>
      <c r="K254" s="790"/>
      <c r="L254" s="790"/>
      <c r="M254" s="790"/>
      <c r="N254" s="788"/>
      <c r="O254" s="801" t="s">
        <v>262</v>
      </c>
      <c r="P254" s="790"/>
      <c r="Q254" s="790"/>
      <c r="R254" s="788"/>
      <c r="S254" s="789" t="s">
        <v>258</v>
      </c>
      <c r="T254" s="790"/>
      <c r="U254" s="790"/>
      <c r="V254" s="790"/>
      <c r="W254" s="1029" t="s">
        <v>72</v>
      </c>
    </row>
    <row r="255" spans="1:23" s="244" customFormat="1" ht="21" customHeight="1" x14ac:dyDescent="0.15">
      <c r="A255" s="1027"/>
      <c r="B255" s="799" t="s">
        <v>239</v>
      </c>
      <c r="C255" s="788"/>
      <c r="D255" s="789" t="s">
        <v>238</v>
      </c>
      <c r="E255" s="790"/>
      <c r="F255" s="790"/>
      <c r="G255" s="790"/>
      <c r="H255" s="790"/>
      <c r="I255" s="788"/>
      <c r="J255" s="789" t="s">
        <v>237</v>
      </c>
      <c r="K255" s="790"/>
      <c r="L255" s="788"/>
      <c r="M255" s="789" t="s">
        <v>221</v>
      </c>
      <c r="N255" s="788"/>
      <c r="O255" s="1032" t="s">
        <v>261</v>
      </c>
      <c r="P255" s="789" t="s">
        <v>244</v>
      </c>
      <c r="Q255" s="790"/>
      <c r="R255" s="788"/>
      <c r="S255" s="1032" t="s">
        <v>257</v>
      </c>
      <c r="T255" s="789" t="s">
        <v>244</v>
      </c>
      <c r="U255" s="790"/>
      <c r="V255" s="790"/>
      <c r="W255" s="1030"/>
    </row>
    <row r="256" spans="1:23" s="244" customFormat="1" ht="52.5" customHeight="1" x14ac:dyDescent="0.15">
      <c r="A256" s="1028"/>
      <c r="B256" s="245" t="s">
        <v>233</v>
      </c>
      <c r="C256" s="245" t="s">
        <v>260</v>
      </c>
      <c r="D256" s="530" t="s">
        <v>94</v>
      </c>
      <c r="E256" s="245" t="s">
        <v>131</v>
      </c>
      <c r="F256" s="248" t="s">
        <v>922</v>
      </c>
      <c r="G256" s="245" t="s">
        <v>226</v>
      </c>
      <c r="H256" s="245" t="s">
        <v>254</v>
      </c>
      <c r="I256" s="245" t="s">
        <v>259</v>
      </c>
      <c r="J256" s="530" t="s">
        <v>96</v>
      </c>
      <c r="K256" s="245" t="s">
        <v>252</v>
      </c>
      <c r="L256" s="245" t="s">
        <v>223</v>
      </c>
      <c r="M256" s="530" t="s">
        <v>21</v>
      </c>
      <c r="N256" s="245" t="s">
        <v>217</v>
      </c>
      <c r="O256" s="1033"/>
      <c r="P256" s="530" t="s">
        <v>920</v>
      </c>
      <c r="Q256" s="245" t="s">
        <v>235</v>
      </c>
      <c r="R256" s="245" t="s">
        <v>929</v>
      </c>
      <c r="S256" s="1033"/>
      <c r="T256" s="530" t="s">
        <v>920</v>
      </c>
      <c r="U256" s="245" t="s">
        <v>256</v>
      </c>
      <c r="V256" s="247" t="s">
        <v>255</v>
      </c>
      <c r="W256" s="1031"/>
    </row>
    <row r="257" spans="1:23" s="241" customFormat="1" ht="9.75" customHeight="1" x14ac:dyDescent="0.15">
      <c r="A257" s="645" t="s">
        <v>831</v>
      </c>
      <c r="B257" s="792" t="s">
        <v>796</v>
      </c>
      <c r="C257" s="793">
        <v>9</v>
      </c>
      <c r="D257" s="793">
        <v>6300</v>
      </c>
      <c r="E257" s="793">
        <v>271</v>
      </c>
      <c r="F257" s="793">
        <v>51</v>
      </c>
      <c r="G257" s="793">
        <v>5283</v>
      </c>
      <c r="H257" s="793">
        <v>562</v>
      </c>
      <c r="I257" s="793">
        <v>133</v>
      </c>
      <c r="J257" s="793">
        <v>8966</v>
      </c>
      <c r="K257" s="793">
        <v>683</v>
      </c>
      <c r="L257" s="793">
        <v>8283</v>
      </c>
      <c r="M257" s="793">
        <v>187</v>
      </c>
      <c r="N257" s="793">
        <v>187</v>
      </c>
      <c r="O257" s="793">
        <v>8030</v>
      </c>
      <c r="P257" s="793">
        <v>8030</v>
      </c>
      <c r="Q257" s="793">
        <v>8030</v>
      </c>
      <c r="R257" s="793" t="s">
        <v>796</v>
      </c>
      <c r="S257" s="793">
        <v>1735</v>
      </c>
      <c r="T257" s="793">
        <v>970</v>
      </c>
      <c r="U257" s="793">
        <v>6</v>
      </c>
      <c r="V257" s="793">
        <v>835</v>
      </c>
      <c r="W257" s="794" t="s">
        <v>517</v>
      </c>
    </row>
    <row r="258" spans="1:23" s="241" customFormat="1" ht="9.75" customHeight="1" x14ac:dyDescent="0.15">
      <c r="A258" s="448" t="s">
        <v>557</v>
      </c>
      <c r="B258" s="241" t="s">
        <v>796</v>
      </c>
      <c r="C258" s="241">
        <v>12</v>
      </c>
      <c r="D258" s="241">
        <v>5821</v>
      </c>
      <c r="E258" s="241">
        <v>126</v>
      </c>
      <c r="F258" s="241">
        <v>402</v>
      </c>
      <c r="G258" s="241">
        <v>4805</v>
      </c>
      <c r="H258" s="241">
        <v>389</v>
      </c>
      <c r="I258" s="241">
        <v>99</v>
      </c>
      <c r="J258" s="241">
        <v>8310</v>
      </c>
      <c r="K258" s="241">
        <v>453</v>
      </c>
      <c r="L258" s="241">
        <v>7857</v>
      </c>
      <c r="M258" s="241">
        <v>45</v>
      </c>
      <c r="N258" s="241">
        <v>45</v>
      </c>
      <c r="O258" s="241">
        <v>19051</v>
      </c>
      <c r="P258" s="241">
        <v>19051</v>
      </c>
      <c r="Q258" s="241">
        <v>19051</v>
      </c>
      <c r="R258" s="241" t="s">
        <v>796</v>
      </c>
      <c r="S258" s="241">
        <v>1804</v>
      </c>
      <c r="T258" s="241">
        <v>877</v>
      </c>
      <c r="U258" s="241">
        <v>4</v>
      </c>
      <c r="V258" s="241">
        <v>758</v>
      </c>
      <c r="W258" s="242" t="s">
        <v>558</v>
      </c>
    </row>
    <row r="259" spans="1:23" s="241" customFormat="1" ht="9.75" customHeight="1" x14ac:dyDescent="0.15">
      <c r="A259" s="448" t="s">
        <v>682</v>
      </c>
      <c r="B259" s="241" t="s">
        <v>796</v>
      </c>
      <c r="C259" s="241">
        <v>9</v>
      </c>
      <c r="D259" s="241">
        <v>4728</v>
      </c>
      <c r="E259" s="241">
        <v>83</v>
      </c>
      <c r="F259" s="241" t="s">
        <v>796</v>
      </c>
      <c r="G259" s="241">
        <v>4151</v>
      </c>
      <c r="H259" s="241">
        <v>327</v>
      </c>
      <c r="I259" s="241">
        <v>167</v>
      </c>
      <c r="J259" s="241">
        <v>18276</v>
      </c>
      <c r="K259" s="241" t="s">
        <v>796</v>
      </c>
      <c r="L259" s="241">
        <v>18276</v>
      </c>
      <c r="M259" s="241" t="s">
        <v>796</v>
      </c>
      <c r="N259" s="241" t="s">
        <v>796</v>
      </c>
      <c r="O259" s="241">
        <v>16036</v>
      </c>
      <c r="P259" s="241">
        <v>16036</v>
      </c>
      <c r="Q259" s="241">
        <v>16036</v>
      </c>
      <c r="R259" s="241" t="s">
        <v>796</v>
      </c>
      <c r="S259" s="241">
        <v>2057</v>
      </c>
      <c r="T259" s="241">
        <v>1080</v>
      </c>
      <c r="U259" s="241">
        <v>9</v>
      </c>
      <c r="V259" s="241">
        <v>1001</v>
      </c>
      <c r="W259" s="242" t="s">
        <v>683</v>
      </c>
    </row>
    <row r="260" spans="1:23" s="241" customFormat="1" ht="9.75" customHeight="1" x14ac:dyDescent="0.15">
      <c r="A260" s="448" t="s">
        <v>784</v>
      </c>
      <c r="B260" s="241" t="s">
        <v>796</v>
      </c>
      <c r="C260" s="241">
        <v>7</v>
      </c>
      <c r="D260" s="241">
        <v>4064</v>
      </c>
      <c r="E260" s="241">
        <v>17</v>
      </c>
      <c r="F260" s="241" t="s">
        <v>796</v>
      </c>
      <c r="G260" s="241">
        <v>3774</v>
      </c>
      <c r="H260" s="241">
        <v>218</v>
      </c>
      <c r="I260" s="241">
        <v>55</v>
      </c>
      <c r="J260" s="241">
        <v>8132</v>
      </c>
      <c r="K260" s="241" t="s">
        <v>796</v>
      </c>
      <c r="L260" s="241">
        <v>8132</v>
      </c>
      <c r="M260" s="241">
        <v>1</v>
      </c>
      <c r="N260" s="241">
        <v>1</v>
      </c>
      <c r="O260" s="241">
        <v>15538</v>
      </c>
      <c r="P260" s="241">
        <v>15538</v>
      </c>
      <c r="Q260" s="241">
        <v>15438</v>
      </c>
      <c r="R260" s="241">
        <v>100</v>
      </c>
      <c r="S260" s="241">
        <v>1902</v>
      </c>
      <c r="T260" s="241">
        <v>1012</v>
      </c>
      <c r="U260" s="241">
        <v>12</v>
      </c>
      <c r="V260" s="241">
        <v>970</v>
      </c>
      <c r="W260" s="242" t="s">
        <v>785</v>
      </c>
    </row>
    <row r="261" spans="1:23" s="241" customFormat="1" ht="9.75" customHeight="1" x14ac:dyDescent="0.15">
      <c r="A261" s="448" t="s">
        <v>832</v>
      </c>
      <c r="B261" s="241">
        <v>20660</v>
      </c>
      <c r="C261" s="241">
        <v>13</v>
      </c>
      <c r="D261" s="241">
        <v>3942</v>
      </c>
      <c r="E261" s="241">
        <v>81</v>
      </c>
      <c r="F261" s="241" t="s">
        <v>796</v>
      </c>
      <c r="G261" s="241">
        <v>3665</v>
      </c>
      <c r="H261" s="241">
        <v>113</v>
      </c>
      <c r="I261" s="241">
        <v>83</v>
      </c>
      <c r="J261" s="241">
        <v>5466</v>
      </c>
      <c r="K261" s="241" t="s">
        <v>796</v>
      </c>
      <c r="L261" s="241">
        <v>5466</v>
      </c>
      <c r="M261" s="241" t="s">
        <v>796</v>
      </c>
      <c r="N261" s="241" t="s">
        <v>796</v>
      </c>
      <c r="O261" s="241">
        <v>20710</v>
      </c>
      <c r="P261" s="241">
        <v>20710</v>
      </c>
      <c r="Q261" s="241">
        <v>20710</v>
      </c>
      <c r="R261" s="241" t="s">
        <v>796</v>
      </c>
      <c r="S261" s="241">
        <v>1801</v>
      </c>
      <c r="T261" s="241">
        <v>955</v>
      </c>
      <c r="U261" s="241">
        <v>10</v>
      </c>
      <c r="V261" s="241">
        <v>945</v>
      </c>
      <c r="W261" s="242" t="s">
        <v>833</v>
      </c>
    </row>
    <row r="262" spans="1:23" s="241" customFormat="1" ht="6.75" customHeight="1" x14ac:dyDescent="0.15">
      <c r="A262" s="464"/>
      <c r="W262" s="242"/>
    </row>
    <row r="263" spans="1:23" s="241" customFormat="1" ht="9.75" customHeight="1" x14ac:dyDescent="0.15">
      <c r="A263" s="448" t="s">
        <v>834</v>
      </c>
      <c r="B263" s="241">
        <v>2986</v>
      </c>
      <c r="C263" s="241">
        <v>9</v>
      </c>
      <c r="D263" s="241">
        <v>3849</v>
      </c>
      <c r="E263" s="241">
        <v>13</v>
      </c>
      <c r="F263" s="241" t="s">
        <v>796</v>
      </c>
      <c r="G263" s="241">
        <v>3600</v>
      </c>
      <c r="H263" s="241">
        <v>170</v>
      </c>
      <c r="I263" s="241">
        <v>66</v>
      </c>
      <c r="J263" s="241">
        <v>7295</v>
      </c>
      <c r="K263" s="241" t="s">
        <v>796</v>
      </c>
      <c r="L263" s="241">
        <v>7295</v>
      </c>
      <c r="M263" s="241">
        <v>1</v>
      </c>
      <c r="N263" s="241">
        <v>1</v>
      </c>
      <c r="O263" s="241">
        <v>13779</v>
      </c>
      <c r="P263" s="241">
        <v>13779</v>
      </c>
      <c r="Q263" s="241">
        <v>13779</v>
      </c>
      <c r="R263" s="241" t="s">
        <v>796</v>
      </c>
      <c r="S263" s="241">
        <v>1750</v>
      </c>
      <c r="T263" s="241">
        <v>893</v>
      </c>
      <c r="U263" s="241">
        <v>12</v>
      </c>
      <c r="V263" s="241">
        <v>875</v>
      </c>
      <c r="W263" s="242" t="s">
        <v>786</v>
      </c>
    </row>
    <row r="264" spans="1:23" s="241" customFormat="1" ht="9.75" customHeight="1" x14ac:dyDescent="0.15">
      <c r="A264" s="448" t="s">
        <v>835</v>
      </c>
      <c r="B264" s="241">
        <v>24506</v>
      </c>
      <c r="C264" s="241">
        <v>13</v>
      </c>
      <c r="D264" s="241">
        <v>3937</v>
      </c>
      <c r="E264" s="241">
        <v>109</v>
      </c>
      <c r="F264" s="241" t="s">
        <v>796</v>
      </c>
      <c r="G264" s="241">
        <v>3666</v>
      </c>
      <c r="H264" s="241">
        <v>111</v>
      </c>
      <c r="I264" s="241">
        <v>51</v>
      </c>
      <c r="J264" s="241">
        <v>4391</v>
      </c>
      <c r="K264" s="241" t="s">
        <v>796</v>
      </c>
      <c r="L264" s="241">
        <v>4391</v>
      </c>
      <c r="M264" s="241" t="s">
        <v>796</v>
      </c>
      <c r="N264" s="241" t="s">
        <v>796</v>
      </c>
      <c r="O264" s="241">
        <v>29358</v>
      </c>
      <c r="P264" s="241">
        <v>29358</v>
      </c>
      <c r="Q264" s="241">
        <v>29358</v>
      </c>
      <c r="R264" s="241" t="s">
        <v>796</v>
      </c>
      <c r="S264" s="241">
        <v>1907</v>
      </c>
      <c r="T264" s="241">
        <v>963</v>
      </c>
      <c r="U264" s="241">
        <v>10</v>
      </c>
      <c r="V264" s="241">
        <v>953</v>
      </c>
      <c r="W264" s="242" t="s">
        <v>836</v>
      </c>
    </row>
    <row r="265" spans="1:23" s="241" customFormat="1" ht="6.75" customHeight="1" x14ac:dyDescent="0.15">
      <c r="A265" s="464"/>
      <c r="W265" s="242"/>
    </row>
    <row r="266" spans="1:23" s="241" customFormat="1" ht="9.75" customHeight="1" x14ac:dyDescent="0.15">
      <c r="A266" s="448" t="s">
        <v>837</v>
      </c>
      <c r="B266" s="241">
        <v>2986</v>
      </c>
      <c r="C266" s="241">
        <v>4</v>
      </c>
      <c r="D266" s="241">
        <v>888</v>
      </c>
      <c r="E266" s="241" t="s">
        <v>796</v>
      </c>
      <c r="F266" s="241" t="s">
        <v>796</v>
      </c>
      <c r="G266" s="241">
        <v>839</v>
      </c>
      <c r="H266" s="241">
        <v>17</v>
      </c>
      <c r="I266" s="241">
        <v>32</v>
      </c>
      <c r="J266" s="241">
        <v>1978</v>
      </c>
      <c r="K266" s="241" t="s">
        <v>796</v>
      </c>
      <c r="L266" s="241">
        <v>1978</v>
      </c>
      <c r="M266" s="241" t="s">
        <v>796</v>
      </c>
      <c r="N266" s="241" t="s">
        <v>796</v>
      </c>
      <c r="O266" s="241">
        <v>1948</v>
      </c>
      <c r="P266" s="241">
        <v>1948</v>
      </c>
      <c r="Q266" s="241">
        <v>1948</v>
      </c>
      <c r="R266" s="241" t="s">
        <v>796</v>
      </c>
      <c r="S266" s="241">
        <v>359</v>
      </c>
      <c r="T266" s="241">
        <v>191</v>
      </c>
      <c r="U266" s="241" t="s">
        <v>796</v>
      </c>
      <c r="V266" s="241">
        <v>191</v>
      </c>
      <c r="W266" s="242" t="s">
        <v>787</v>
      </c>
    </row>
    <row r="267" spans="1:23" s="241" customFormat="1" ht="9.75" customHeight="1" x14ac:dyDescent="0.15">
      <c r="A267" s="448" t="s">
        <v>559</v>
      </c>
      <c r="B267" s="241">
        <v>5036</v>
      </c>
      <c r="C267" s="241">
        <v>2</v>
      </c>
      <c r="D267" s="241">
        <v>957</v>
      </c>
      <c r="E267" s="241">
        <v>48</v>
      </c>
      <c r="F267" s="241" t="s">
        <v>796</v>
      </c>
      <c r="G267" s="241">
        <v>870</v>
      </c>
      <c r="H267" s="241">
        <v>22</v>
      </c>
      <c r="I267" s="241">
        <v>17</v>
      </c>
      <c r="J267" s="241">
        <v>1076</v>
      </c>
      <c r="K267" s="241" t="s">
        <v>796</v>
      </c>
      <c r="L267" s="241">
        <v>1076</v>
      </c>
      <c r="M267" s="241" t="s">
        <v>796</v>
      </c>
      <c r="N267" s="241" t="s">
        <v>796</v>
      </c>
      <c r="O267" s="241">
        <v>2929</v>
      </c>
      <c r="P267" s="241">
        <v>2929</v>
      </c>
      <c r="Q267" s="241">
        <v>2929</v>
      </c>
      <c r="R267" s="241" t="s">
        <v>796</v>
      </c>
      <c r="S267" s="241">
        <v>469</v>
      </c>
      <c r="T267" s="241">
        <v>286</v>
      </c>
      <c r="U267" s="241" t="s">
        <v>796</v>
      </c>
      <c r="V267" s="241">
        <v>286</v>
      </c>
      <c r="W267" s="242" t="s">
        <v>78</v>
      </c>
    </row>
    <row r="268" spans="1:23" s="241" customFormat="1" ht="9.75" customHeight="1" x14ac:dyDescent="0.15">
      <c r="A268" s="448" t="s">
        <v>560</v>
      </c>
      <c r="B268" s="241">
        <v>5045</v>
      </c>
      <c r="C268" s="241">
        <v>5</v>
      </c>
      <c r="D268" s="241">
        <v>1000</v>
      </c>
      <c r="E268" s="241">
        <v>11</v>
      </c>
      <c r="F268" s="241" t="s">
        <v>796</v>
      </c>
      <c r="G268" s="241">
        <v>924</v>
      </c>
      <c r="H268" s="241">
        <v>31</v>
      </c>
      <c r="I268" s="241">
        <v>34</v>
      </c>
      <c r="J268" s="241">
        <v>1010</v>
      </c>
      <c r="K268" s="241" t="s">
        <v>796</v>
      </c>
      <c r="L268" s="241">
        <v>1010</v>
      </c>
      <c r="M268" s="241" t="s">
        <v>796</v>
      </c>
      <c r="N268" s="241" t="s">
        <v>796</v>
      </c>
      <c r="O268" s="241">
        <v>5598</v>
      </c>
      <c r="P268" s="241">
        <v>5598</v>
      </c>
      <c r="Q268" s="241">
        <v>5598</v>
      </c>
      <c r="R268" s="241" t="s">
        <v>796</v>
      </c>
      <c r="S268" s="241">
        <v>486</v>
      </c>
      <c r="T268" s="241">
        <v>303</v>
      </c>
      <c r="U268" s="241">
        <v>4</v>
      </c>
      <c r="V268" s="241">
        <v>299</v>
      </c>
      <c r="W268" s="242" t="s">
        <v>79</v>
      </c>
    </row>
    <row r="269" spans="1:23" s="241" customFormat="1" ht="9.75" customHeight="1" x14ac:dyDescent="0.15">
      <c r="A269" s="448" t="s">
        <v>561</v>
      </c>
      <c r="B269" s="241">
        <v>7593</v>
      </c>
      <c r="C269" s="241">
        <v>2</v>
      </c>
      <c r="D269" s="241">
        <v>1097</v>
      </c>
      <c r="E269" s="241">
        <v>22</v>
      </c>
      <c r="F269" s="241" t="s">
        <v>796</v>
      </c>
      <c r="G269" s="241">
        <v>1032</v>
      </c>
      <c r="H269" s="241">
        <v>43</v>
      </c>
      <c r="I269" s="241" t="s">
        <v>796</v>
      </c>
      <c r="J269" s="241">
        <v>1402</v>
      </c>
      <c r="K269" s="241" t="s">
        <v>796</v>
      </c>
      <c r="L269" s="241">
        <v>1402</v>
      </c>
      <c r="M269" s="241" t="s">
        <v>796</v>
      </c>
      <c r="N269" s="241" t="s">
        <v>796</v>
      </c>
      <c r="O269" s="241">
        <v>10235</v>
      </c>
      <c r="P269" s="241">
        <v>10235</v>
      </c>
      <c r="Q269" s="241">
        <v>10235</v>
      </c>
      <c r="R269" s="241" t="s">
        <v>796</v>
      </c>
      <c r="S269" s="241">
        <v>487</v>
      </c>
      <c r="T269" s="241">
        <v>175</v>
      </c>
      <c r="U269" s="241">
        <v>6</v>
      </c>
      <c r="V269" s="241">
        <v>169</v>
      </c>
      <c r="W269" s="242" t="s">
        <v>80</v>
      </c>
    </row>
    <row r="270" spans="1:23" s="241" customFormat="1" ht="9.75" customHeight="1" x14ac:dyDescent="0.15">
      <c r="A270" s="448" t="s">
        <v>838</v>
      </c>
      <c r="B270" s="241">
        <v>6832</v>
      </c>
      <c r="C270" s="241">
        <v>4</v>
      </c>
      <c r="D270" s="241">
        <v>883</v>
      </c>
      <c r="E270" s="241">
        <v>28</v>
      </c>
      <c r="F270" s="241" t="s">
        <v>796</v>
      </c>
      <c r="G270" s="241">
        <v>840</v>
      </c>
      <c r="H270" s="241">
        <v>15</v>
      </c>
      <c r="I270" s="241" t="s">
        <v>796</v>
      </c>
      <c r="J270" s="241">
        <v>903</v>
      </c>
      <c r="K270" s="241" t="s">
        <v>796</v>
      </c>
      <c r="L270" s="241">
        <v>903</v>
      </c>
      <c r="M270" s="241" t="s">
        <v>796</v>
      </c>
      <c r="N270" s="241" t="s">
        <v>796</v>
      </c>
      <c r="O270" s="241">
        <v>10596</v>
      </c>
      <c r="P270" s="241">
        <v>10596</v>
      </c>
      <c r="Q270" s="241">
        <v>10596</v>
      </c>
      <c r="R270" s="241" t="s">
        <v>796</v>
      </c>
      <c r="S270" s="241">
        <v>465</v>
      </c>
      <c r="T270" s="241">
        <v>199</v>
      </c>
      <c r="U270" s="241" t="s">
        <v>796</v>
      </c>
      <c r="V270" s="241">
        <v>199</v>
      </c>
      <c r="W270" s="242" t="s">
        <v>839</v>
      </c>
    </row>
    <row r="271" spans="1:23" s="241" customFormat="1" ht="6.75" customHeight="1" x14ac:dyDescent="0.15">
      <c r="A271" s="464"/>
      <c r="W271" s="242"/>
    </row>
    <row r="272" spans="1:23" s="241" customFormat="1" ht="9.75" customHeight="1" x14ac:dyDescent="0.15">
      <c r="A272" s="448" t="s">
        <v>840</v>
      </c>
      <c r="B272" s="241" t="s">
        <v>796</v>
      </c>
      <c r="C272" s="241">
        <v>2</v>
      </c>
      <c r="D272" s="241">
        <v>288</v>
      </c>
      <c r="E272" s="241" t="s">
        <v>796</v>
      </c>
      <c r="F272" s="241" t="s">
        <v>796</v>
      </c>
      <c r="G272" s="241">
        <v>251</v>
      </c>
      <c r="H272" s="241">
        <v>5</v>
      </c>
      <c r="I272" s="241">
        <v>32</v>
      </c>
      <c r="J272" s="241">
        <v>198</v>
      </c>
      <c r="K272" s="241" t="s">
        <v>796</v>
      </c>
      <c r="L272" s="241">
        <v>198</v>
      </c>
      <c r="M272" s="241" t="s">
        <v>796</v>
      </c>
      <c r="N272" s="241" t="s">
        <v>796</v>
      </c>
      <c r="O272" s="241">
        <v>957</v>
      </c>
      <c r="P272" s="241">
        <v>957</v>
      </c>
      <c r="Q272" s="241">
        <v>957</v>
      </c>
      <c r="R272" s="241" t="s">
        <v>796</v>
      </c>
      <c r="S272" s="241">
        <v>110</v>
      </c>
      <c r="T272" s="241">
        <v>87</v>
      </c>
      <c r="U272" s="241" t="s">
        <v>796</v>
      </c>
      <c r="V272" s="241">
        <v>87</v>
      </c>
      <c r="W272" s="242" t="s">
        <v>788</v>
      </c>
    </row>
    <row r="273" spans="1:23" s="241" customFormat="1" ht="9.75" customHeight="1" x14ac:dyDescent="0.15">
      <c r="A273" s="448" t="s">
        <v>562</v>
      </c>
      <c r="B273" s="241" t="s">
        <v>796</v>
      </c>
      <c r="C273" s="241">
        <v>2</v>
      </c>
      <c r="D273" s="241">
        <v>294</v>
      </c>
      <c r="E273" s="241" t="s">
        <v>796</v>
      </c>
      <c r="F273" s="241" t="s">
        <v>796</v>
      </c>
      <c r="G273" s="241">
        <v>294</v>
      </c>
      <c r="H273" s="241" t="s">
        <v>796</v>
      </c>
      <c r="I273" s="241" t="s">
        <v>796</v>
      </c>
      <c r="J273" s="241">
        <v>514</v>
      </c>
      <c r="K273" s="241" t="s">
        <v>796</v>
      </c>
      <c r="L273" s="241">
        <v>514</v>
      </c>
      <c r="M273" s="241" t="s">
        <v>796</v>
      </c>
      <c r="N273" s="241" t="s">
        <v>796</v>
      </c>
      <c r="O273" s="241" t="s">
        <v>796</v>
      </c>
      <c r="P273" s="241" t="s">
        <v>796</v>
      </c>
      <c r="Q273" s="241" t="s">
        <v>796</v>
      </c>
      <c r="R273" s="241" t="s">
        <v>796</v>
      </c>
      <c r="S273" s="241">
        <v>104</v>
      </c>
      <c r="T273" s="241">
        <v>65</v>
      </c>
      <c r="U273" s="241" t="s">
        <v>796</v>
      </c>
      <c r="V273" s="241">
        <v>65</v>
      </c>
      <c r="W273" s="242" t="s">
        <v>66</v>
      </c>
    </row>
    <row r="274" spans="1:23" s="241" customFormat="1" ht="9.75" customHeight="1" x14ac:dyDescent="0.15">
      <c r="A274" s="448" t="s">
        <v>563</v>
      </c>
      <c r="B274" s="241">
        <v>2986</v>
      </c>
      <c r="C274" s="241" t="s">
        <v>796</v>
      </c>
      <c r="D274" s="241">
        <v>306</v>
      </c>
      <c r="E274" s="241" t="s">
        <v>796</v>
      </c>
      <c r="F274" s="241" t="s">
        <v>796</v>
      </c>
      <c r="G274" s="241">
        <v>294</v>
      </c>
      <c r="H274" s="241">
        <v>12</v>
      </c>
      <c r="I274" s="241" t="s">
        <v>796</v>
      </c>
      <c r="J274" s="241">
        <v>1266</v>
      </c>
      <c r="K274" s="241" t="s">
        <v>796</v>
      </c>
      <c r="L274" s="241">
        <v>1266</v>
      </c>
      <c r="M274" s="241" t="s">
        <v>796</v>
      </c>
      <c r="N274" s="241" t="s">
        <v>796</v>
      </c>
      <c r="O274" s="241">
        <v>991</v>
      </c>
      <c r="P274" s="241">
        <v>991</v>
      </c>
      <c r="Q274" s="241">
        <v>991</v>
      </c>
      <c r="R274" s="241" t="s">
        <v>796</v>
      </c>
      <c r="S274" s="241">
        <v>145</v>
      </c>
      <c r="T274" s="241">
        <v>39</v>
      </c>
      <c r="U274" s="241" t="s">
        <v>796</v>
      </c>
      <c r="V274" s="241">
        <v>39</v>
      </c>
      <c r="W274" s="242" t="s">
        <v>67</v>
      </c>
    </row>
    <row r="275" spans="1:23" s="241" customFormat="1" ht="9.75" customHeight="1" x14ac:dyDescent="0.15">
      <c r="A275" s="448" t="s">
        <v>564</v>
      </c>
      <c r="B275" s="241">
        <v>2519</v>
      </c>
      <c r="C275" s="241" t="s">
        <v>796</v>
      </c>
      <c r="D275" s="241">
        <v>395</v>
      </c>
      <c r="E275" s="241" t="s">
        <v>796</v>
      </c>
      <c r="F275" s="241" t="s">
        <v>796</v>
      </c>
      <c r="G275" s="241">
        <v>365</v>
      </c>
      <c r="H275" s="241">
        <v>13</v>
      </c>
      <c r="I275" s="241">
        <v>17</v>
      </c>
      <c r="J275" s="241">
        <v>234</v>
      </c>
      <c r="K275" s="241" t="s">
        <v>796</v>
      </c>
      <c r="L275" s="241">
        <v>234</v>
      </c>
      <c r="M275" s="241" t="s">
        <v>796</v>
      </c>
      <c r="N275" s="241" t="s">
        <v>796</v>
      </c>
      <c r="O275" s="241">
        <v>944</v>
      </c>
      <c r="P275" s="241">
        <v>944</v>
      </c>
      <c r="Q275" s="241">
        <v>944</v>
      </c>
      <c r="R275" s="241" t="s">
        <v>796</v>
      </c>
      <c r="S275" s="241">
        <v>174</v>
      </c>
      <c r="T275" s="241">
        <v>117</v>
      </c>
      <c r="U275" s="241" t="s">
        <v>796</v>
      </c>
      <c r="V275" s="241">
        <v>117</v>
      </c>
      <c r="W275" s="242" t="s">
        <v>68</v>
      </c>
    </row>
    <row r="276" spans="1:23" s="241" customFormat="1" ht="9.75" customHeight="1" x14ac:dyDescent="0.15">
      <c r="A276" s="448" t="s">
        <v>565</v>
      </c>
      <c r="B276" s="241">
        <v>2517</v>
      </c>
      <c r="C276" s="241">
        <v>2</v>
      </c>
      <c r="D276" s="241">
        <v>320</v>
      </c>
      <c r="E276" s="241">
        <v>48</v>
      </c>
      <c r="F276" s="241" t="s">
        <v>796</v>
      </c>
      <c r="G276" s="241">
        <v>271</v>
      </c>
      <c r="H276" s="241">
        <v>1</v>
      </c>
      <c r="I276" s="241" t="s">
        <v>796</v>
      </c>
      <c r="J276" s="241">
        <v>339</v>
      </c>
      <c r="K276" s="241" t="s">
        <v>796</v>
      </c>
      <c r="L276" s="241">
        <v>339</v>
      </c>
      <c r="M276" s="241" t="s">
        <v>796</v>
      </c>
      <c r="N276" s="241" t="s">
        <v>796</v>
      </c>
      <c r="O276" s="241">
        <v>994</v>
      </c>
      <c r="P276" s="241">
        <v>994</v>
      </c>
      <c r="Q276" s="241">
        <v>994</v>
      </c>
      <c r="R276" s="241" t="s">
        <v>796</v>
      </c>
      <c r="S276" s="241">
        <v>132</v>
      </c>
      <c r="T276" s="241">
        <v>78</v>
      </c>
      <c r="U276" s="241" t="s">
        <v>796</v>
      </c>
      <c r="V276" s="241">
        <v>78</v>
      </c>
      <c r="W276" s="242" t="s">
        <v>81</v>
      </c>
    </row>
    <row r="277" spans="1:23" s="241" customFormat="1" ht="9.75" customHeight="1" x14ac:dyDescent="0.15">
      <c r="A277" s="448" t="s">
        <v>566</v>
      </c>
      <c r="B277" s="241" t="s">
        <v>796</v>
      </c>
      <c r="C277" s="241" t="s">
        <v>796</v>
      </c>
      <c r="D277" s="241">
        <v>242</v>
      </c>
      <c r="E277" s="241" t="s">
        <v>796</v>
      </c>
      <c r="F277" s="241" t="s">
        <v>796</v>
      </c>
      <c r="G277" s="241">
        <v>234</v>
      </c>
      <c r="H277" s="241">
        <v>8</v>
      </c>
      <c r="I277" s="241" t="s">
        <v>796</v>
      </c>
      <c r="J277" s="241">
        <v>503</v>
      </c>
      <c r="K277" s="241" t="s">
        <v>796</v>
      </c>
      <c r="L277" s="241">
        <v>503</v>
      </c>
      <c r="M277" s="241" t="s">
        <v>796</v>
      </c>
      <c r="N277" s="241" t="s">
        <v>796</v>
      </c>
      <c r="O277" s="241">
        <v>991</v>
      </c>
      <c r="P277" s="241">
        <v>991</v>
      </c>
      <c r="Q277" s="241">
        <v>991</v>
      </c>
      <c r="R277" s="241" t="s">
        <v>796</v>
      </c>
      <c r="S277" s="241">
        <v>163</v>
      </c>
      <c r="T277" s="241">
        <v>91</v>
      </c>
      <c r="U277" s="241" t="s">
        <v>796</v>
      </c>
      <c r="V277" s="241">
        <v>91</v>
      </c>
      <c r="W277" s="242" t="s">
        <v>82</v>
      </c>
    </row>
    <row r="278" spans="1:23" s="241" customFormat="1" ht="9.75" customHeight="1" x14ac:dyDescent="0.15">
      <c r="A278" s="448" t="s">
        <v>567</v>
      </c>
      <c r="B278" s="241">
        <v>2527</v>
      </c>
      <c r="C278" s="241">
        <v>2</v>
      </c>
      <c r="D278" s="241">
        <v>368</v>
      </c>
      <c r="E278" s="241">
        <v>11</v>
      </c>
      <c r="F278" s="241" t="s">
        <v>796</v>
      </c>
      <c r="G278" s="241">
        <v>332</v>
      </c>
      <c r="H278" s="241">
        <v>8</v>
      </c>
      <c r="I278" s="241">
        <v>17</v>
      </c>
      <c r="J278" s="241">
        <v>145</v>
      </c>
      <c r="K278" s="241" t="s">
        <v>796</v>
      </c>
      <c r="L278" s="241">
        <v>145</v>
      </c>
      <c r="M278" s="241" t="s">
        <v>796</v>
      </c>
      <c r="N278" s="241" t="s">
        <v>796</v>
      </c>
      <c r="O278" s="241">
        <v>893</v>
      </c>
      <c r="P278" s="241">
        <v>893</v>
      </c>
      <c r="Q278" s="241">
        <v>893</v>
      </c>
      <c r="R278" s="241" t="s">
        <v>796</v>
      </c>
      <c r="S278" s="241">
        <v>178</v>
      </c>
      <c r="T278" s="241">
        <v>117</v>
      </c>
      <c r="U278" s="241" t="s">
        <v>796</v>
      </c>
      <c r="V278" s="241">
        <v>117</v>
      </c>
      <c r="W278" s="242" t="s">
        <v>83</v>
      </c>
    </row>
    <row r="279" spans="1:23" s="241" customFormat="1" ht="9.75" customHeight="1" x14ac:dyDescent="0.15">
      <c r="A279" s="448" t="s">
        <v>568</v>
      </c>
      <c r="B279" s="241" t="s">
        <v>796</v>
      </c>
      <c r="C279" s="241" t="s">
        <v>796</v>
      </c>
      <c r="D279" s="241">
        <v>272</v>
      </c>
      <c r="E279" s="241" t="s">
        <v>796</v>
      </c>
      <c r="F279" s="241" t="s">
        <v>796</v>
      </c>
      <c r="G279" s="241">
        <v>272</v>
      </c>
      <c r="H279" s="241" t="s">
        <v>796</v>
      </c>
      <c r="I279" s="241" t="s">
        <v>796</v>
      </c>
      <c r="J279" s="241">
        <v>485</v>
      </c>
      <c r="K279" s="241" t="s">
        <v>796</v>
      </c>
      <c r="L279" s="241">
        <v>485</v>
      </c>
      <c r="M279" s="241" t="s">
        <v>796</v>
      </c>
      <c r="N279" s="241" t="s">
        <v>796</v>
      </c>
      <c r="O279" s="241">
        <v>792</v>
      </c>
      <c r="P279" s="241">
        <v>792</v>
      </c>
      <c r="Q279" s="241">
        <v>792</v>
      </c>
      <c r="R279" s="241" t="s">
        <v>796</v>
      </c>
      <c r="S279" s="241">
        <v>120</v>
      </c>
      <c r="T279" s="241">
        <v>53</v>
      </c>
      <c r="U279" s="241">
        <v>1</v>
      </c>
      <c r="V279" s="241">
        <v>52</v>
      </c>
      <c r="W279" s="242" t="s">
        <v>84</v>
      </c>
    </row>
    <row r="280" spans="1:23" s="241" customFormat="1" ht="9.75" customHeight="1" x14ac:dyDescent="0.15">
      <c r="A280" s="448" t="s">
        <v>569</v>
      </c>
      <c r="B280" s="241">
        <v>2518</v>
      </c>
      <c r="C280" s="241">
        <v>3</v>
      </c>
      <c r="D280" s="241">
        <v>360</v>
      </c>
      <c r="E280" s="241" t="s">
        <v>796</v>
      </c>
      <c r="F280" s="241" t="s">
        <v>796</v>
      </c>
      <c r="G280" s="241">
        <v>320</v>
      </c>
      <c r="H280" s="241">
        <v>23</v>
      </c>
      <c r="I280" s="241">
        <v>17</v>
      </c>
      <c r="J280" s="241">
        <v>380</v>
      </c>
      <c r="K280" s="241" t="s">
        <v>796</v>
      </c>
      <c r="L280" s="241">
        <v>380</v>
      </c>
      <c r="M280" s="241" t="s">
        <v>796</v>
      </c>
      <c r="N280" s="241" t="s">
        <v>796</v>
      </c>
      <c r="O280" s="241">
        <v>3913</v>
      </c>
      <c r="P280" s="241">
        <v>3913</v>
      </c>
      <c r="Q280" s="241">
        <v>3913</v>
      </c>
      <c r="R280" s="241" t="s">
        <v>796</v>
      </c>
      <c r="S280" s="241">
        <v>188</v>
      </c>
      <c r="T280" s="241">
        <v>133</v>
      </c>
      <c r="U280" s="241">
        <v>3</v>
      </c>
      <c r="V280" s="241">
        <v>130</v>
      </c>
      <c r="W280" s="242" t="s">
        <v>85</v>
      </c>
    </row>
    <row r="281" spans="1:23" s="241" customFormat="1" ht="9.75" customHeight="1" x14ac:dyDescent="0.15">
      <c r="A281" s="448" t="s">
        <v>570</v>
      </c>
      <c r="B281" s="241">
        <v>2553</v>
      </c>
      <c r="C281" s="241" t="s">
        <v>796</v>
      </c>
      <c r="D281" s="241">
        <v>303</v>
      </c>
      <c r="E281" s="241" t="s">
        <v>796</v>
      </c>
      <c r="F281" s="241" t="s">
        <v>796</v>
      </c>
      <c r="G281" s="241">
        <v>303</v>
      </c>
      <c r="H281" s="241" t="s">
        <v>796</v>
      </c>
      <c r="I281" s="241" t="s">
        <v>796</v>
      </c>
      <c r="J281" s="241">
        <v>751</v>
      </c>
      <c r="K281" s="241" t="s">
        <v>796</v>
      </c>
      <c r="L281" s="241">
        <v>751</v>
      </c>
      <c r="M281" s="241" t="s">
        <v>796</v>
      </c>
      <c r="N281" s="241" t="s">
        <v>796</v>
      </c>
      <c r="O281" s="241">
        <v>9316</v>
      </c>
      <c r="P281" s="241">
        <v>9316</v>
      </c>
      <c r="Q281" s="241">
        <v>9316</v>
      </c>
      <c r="R281" s="241" t="s">
        <v>796</v>
      </c>
      <c r="S281" s="241">
        <v>221</v>
      </c>
      <c r="T281" s="241">
        <v>78</v>
      </c>
      <c r="U281" s="241" t="s">
        <v>796</v>
      </c>
      <c r="V281" s="241">
        <v>78</v>
      </c>
      <c r="W281" s="242" t="s">
        <v>69</v>
      </c>
    </row>
    <row r="282" spans="1:23" s="241" customFormat="1" ht="9.75" customHeight="1" x14ac:dyDescent="0.15">
      <c r="A282" s="448" t="s">
        <v>571</v>
      </c>
      <c r="B282" s="241">
        <v>2523</v>
      </c>
      <c r="C282" s="241" t="s">
        <v>796</v>
      </c>
      <c r="D282" s="241">
        <v>411</v>
      </c>
      <c r="E282" s="241">
        <v>22</v>
      </c>
      <c r="F282" s="241" t="s">
        <v>796</v>
      </c>
      <c r="G282" s="241">
        <v>377</v>
      </c>
      <c r="H282" s="241">
        <v>12</v>
      </c>
      <c r="I282" s="241" t="s">
        <v>796</v>
      </c>
      <c r="J282" s="241">
        <v>199</v>
      </c>
      <c r="K282" s="241" t="s">
        <v>796</v>
      </c>
      <c r="L282" s="241">
        <v>199</v>
      </c>
      <c r="M282" s="241" t="s">
        <v>796</v>
      </c>
      <c r="N282" s="241" t="s">
        <v>796</v>
      </c>
      <c r="O282" s="241" t="s">
        <v>796</v>
      </c>
      <c r="P282" s="241" t="s">
        <v>796</v>
      </c>
      <c r="Q282" s="241" t="s">
        <v>796</v>
      </c>
      <c r="R282" s="241" t="s">
        <v>796</v>
      </c>
      <c r="S282" s="241">
        <v>160</v>
      </c>
      <c r="T282" s="241">
        <v>65</v>
      </c>
      <c r="U282" s="241" t="s">
        <v>796</v>
      </c>
      <c r="V282" s="241">
        <v>65</v>
      </c>
      <c r="W282" s="242" t="s">
        <v>70</v>
      </c>
    </row>
    <row r="283" spans="1:23" s="241" customFormat="1" ht="9.75" customHeight="1" x14ac:dyDescent="0.15">
      <c r="A283" s="448" t="s">
        <v>572</v>
      </c>
      <c r="B283" s="241">
        <v>2517</v>
      </c>
      <c r="C283" s="241">
        <v>2</v>
      </c>
      <c r="D283" s="241">
        <v>383</v>
      </c>
      <c r="E283" s="241" t="s">
        <v>796</v>
      </c>
      <c r="F283" s="241" t="s">
        <v>796</v>
      </c>
      <c r="G283" s="241">
        <v>352</v>
      </c>
      <c r="H283" s="241">
        <v>31</v>
      </c>
      <c r="I283" s="241" t="s">
        <v>796</v>
      </c>
      <c r="J283" s="241">
        <v>452</v>
      </c>
      <c r="K283" s="241" t="s">
        <v>796</v>
      </c>
      <c r="L283" s="241">
        <v>452</v>
      </c>
      <c r="M283" s="241" t="s">
        <v>796</v>
      </c>
      <c r="N283" s="241" t="s">
        <v>796</v>
      </c>
      <c r="O283" s="241">
        <v>919</v>
      </c>
      <c r="P283" s="241">
        <v>919</v>
      </c>
      <c r="Q283" s="241">
        <v>919</v>
      </c>
      <c r="R283" s="241" t="s">
        <v>796</v>
      </c>
      <c r="S283" s="241">
        <v>106</v>
      </c>
      <c r="T283" s="241">
        <v>32</v>
      </c>
      <c r="U283" s="241">
        <v>6</v>
      </c>
      <c r="V283" s="241">
        <v>26</v>
      </c>
      <c r="W283" s="242" t="s">
        <v>71</v>
      </c>
    </row>
    <row r="284" spans="1:23" s="241" customFormat="1" ht="9.75" customHeight="1" x14ac:dyDescent="0.15">
      <c r="A284" s="448" t="s">
        <v>841</v>
      </c>
      <c r="B284" s="241">
        <v>2281</v>
      </c>
      <c r="C284" s="241" t="s">
        <v>796</v>
      </c>
      <c r="D284" s="241">
        <v>320</v>
      </c>
      <c r="E284" s="241">
        <v>27</v>
      </c>
      <c r="F284" s="241" t="s">
        <v>796</v>
      </c>
      <c r="G284" s="241">
        <v>287</v>
      </c>
      <c r="H284" s="241">
        <v>6</v>
      </c>
      <c r="I284" s="241" t="s">
        <v>796</v>
      </c>
      <c r="J284" s="241">
        <v>427</v>
      </c>
      <c r="K284" s="241" t="s">
        <v>796</v>
      </c>
      <c r="L284" s="241">
        <v>427</v>
      </c>
      <c r="M284" s="241" t="s">
        <v>796</v>
      </c>
      <c r="N284" s="241" t="s">
        <v>796</v>
      </c>
      <c r="O284" s="241">
        <v>5800</v>
      </c>
      <c r="P284" s="241">
        <v>5800</v>
      </c>
      <c r="Q284" s="241">
        <v>5800</v>
      </c>
      <c r="R284" s="241" t="s">
        <v>796</v>
      </c>
      <c r="S284" s="241">
        <v>116</v>
      </c>
      <c r="T284" s="241">
        <v>39</v>
      </c>
      <c r="U284" s="241" t="s">
        <v>796</v>
      </c>
      <c r="V284" s="241">
        <v>39</v>
      </c>
      <c r="W284" s="242" t="s">
        <v>842</v>
      </c>
    </row>
    <row r="285" spans="1:23" s="241" customFormat="1" ht="9.75" customHeight="1" x14ac:dyDescent="0.15">
      <c r="A285" s="448" t="s">
        <v>573</v>
      </c>
      <c r="B285" s="241">
        <v>2277</v>
      </c>
      <c r="C285" s="241">
        <v>2</v>
      </c>
      <c r="D285" s="241">
        <v>266</v>
      </c>
      <c r="E285" s="241" t="s">
        <v>796</v>
      </c>
      <c r="F285" s="241" t="s">
        <v>796</v>
      </c>
      <c r="G285" s="241">
        <v>261</v>
      </c>
      <c r="H285" s="241">
        <v>5</v>
      </c>
      <c r="I285" s="241" t="s">
        <v>796</v>
      </c>
      <c r="J285" s="241">
        <v>173</v>
      </c>
      <c r="K285" s="241" t="s">
        <v>796</v>
      </c>
      <c r="L285" s="241">
        <v>173</v>
      </c>
      <c r="M285" s="241" t="s">
        <v>796</v>
      </c>
      <c r="N285" s="241" t="s">
        <v>796</v>
      </c>
      <c r="O285" s="241">
        <v>1884</v>
      </c>
      <c r="P285" s="241">
        <v>1884</v>
      </c>
      <c r="Q285" s="241">
        <v>1884</v>
      </c>
      <c r="R285" s="241" t="s">
        <v>796</v>
      </c>
      <c r="S285" s="241">
        <v>183</v>
      </c>
      <c r="T285" s="241">
        <v>104</v>
      </c>
      <c r="U285" s="241" t="s">
        <v>796</v>
      </c>
      <c r="V285" s="241">
        <v>104</v>
      </c>
      <c r="W285" s="242" t="s">
        <v>66</v>
      </c>
    </row>
    <row r="286" spans="1:23" s="241" customFormat="1" ht="9.75" customHeight="1" x14ac:dyDescent="0.15">
      <c r="A286" s="795" t="s">
        <v>574</v>
      </c>
      <c r="B286" s="796">
        <v>2274</v>
      </c>
      <c r="C286" s="797">
        <v>2</v>
      </c>
      <c r="D286" s="797">
        <v>297</v>
      </c>
      <c r="E286" s="797">
        <v>1</v>
      </c>
      <c r="F286" s="797" t="s">
        <v>796</v>
      </c>
      <c r="G286" s="797">
        <v>292</v>
      </c>
      <c r="H286" s="797">
        <v>4</v>
      </c>
      <c r="I286" s="797" t="s">
        <v>796</v>
      </c>
      <c r="J286" s="797">
        <v>303</v>
      </c>
      <c r="K286" s="797" t="s">
        <v>796</v>
      </c>
      <c r="L286" s="797">
        <v>303</v>
      </c>
      <c r="M286" s="797" t="s">
        <v>796</v>
      </c>
      <c r="N286" s="797" t="s">
        <v>796</v>
      </c>
      <c r="O286" s="797">
        <v>2912</v>
      </c>
      <c r="P286" s="797">
        <v>2912</v>
      </c>
      <c r="Q286" s="797">
        <v>2912</v>
      </c>
      <c r="R286" s="797" t="s">
        <v>796</v>
      </c>
      <c r="S286" s="797">
        <v>166</v>
      </c>
      <c r="T286" s="797">
        <v>56</v>
      </c>
      <c r="U286" s="797" t="s">
        <v>796</v>
      </c>
      <c r="V286" s="797">
        <v>56</v>
      </c>
      <c r="W286" s="798" t="s">
        <v>67</v>
      </c>
    </row>
    <row r="287" spans="1:23" ht="12" customHeight="1" x14ac:dyDescent="0.15"/>
    <row r="288" spans="1:23" ht="12" customHeight="1" x14ac:dyDescent="0.15"/>
    <row r="289" spans="1:23" ht="12" customHeight="1" x14ac:dyDescent="0.15">
      <c r="K289" s="246" t="s">
        <v>86</v>
      </c>
      <c r="V289" s="249" t="s">
        <v>924</v>
      </c>
    </row>
    <row r="290" spans="1:23" s="244" customFormat="1" ht="21" customHeight="1" x14ac:dyDescent="0.15">
      <c r="A290" s="1026" t="s">
        <v>153</v>
      </c>
      <c r="B290" s="799" t="s">
        <v>302</v>
      </c>
      <c r="C290" s="790"/>
      <c r="D290" s="790"/>
      <c r="E290" s="790"/>
      <c r="F290" s="790"/>
      <c r="G290" s="790"/>
      <c r="H290" s="790"/>
      <c r="I290" s="788"/>
      <c r="J290" s="789" t="s">
        <v>931</v>
      </c>
      <c r="K290" s="790"/>
      <c r="L290" s="790"/>
      <c r="M290" s="790"/>
      <c r="N290" s="790"/>
      <c r="O290" s="790"/>
      <c r="P290" s="790"/>
      <c r="Q290" s="790"/>
      <c r="R290" s="790"/>
      <c r="S290" s="790"/>
      <c r="T290" s="790"/>
      <c r="U290" s="788"/>
      <c r="V290" s="801" t="s">
        <v>713</v>
      </c>
      <c r="W290" s="1029" t="s">
        <v>72</v>
      </c>
    </row>
    <row r="291" spans="1:23" s="244" customFormat="1" ht="21" customHeight="1" x14ac:dyDescent="0.15">
      <c r="A291" s="1027"/>
      <c r="B291" s="802" t="s">
        <v>932</v>
      </c>
      <c r="C291" s="789" t="s">
        <v>238</v>
      </c>
      <c r="D291" s="790"/>
      <c r="E291" s="790"/>
      <c r="F291" s="790"/>
      <c r="G291" s="788"/>
      <c r="H291" s="789" t="s">
        <v>237</v>
      </c>
      <c r="I291" s="788"/>
      <c r="J291" s="1034" t="s">
        <v>799</v>
      </c>
      <c r="K291" s="789" t="s">
        <v>244</v>
      </c>
      <c r="L291" s="790"/>
      <c r="M291" s="790"/>
      <c r="N291" s="790"/>
      <c r="O291" s="790"/>
      <c r="P291" s="788"/>
      <c r="Q291" s="789" t="s">
        <v>238</v>
      </c>
      <c r="R291" s="788"/>
      <c r="S291" s="789" t="s">
        <v>237</v>
      </c>
      <c r="T291" s="790"/>
      <c r="U291" s="788"/>
      <c r="V291" s="1030" t="s">
        <v>251</v>
      </c>
      <c r="W291" s="1030"/>
    </row>
    <row r="292" spans="1:23" s="244" customFormat="1" ht="52.5" customHeight="1" x14ac:dyDescent="0.15">
      <c r="A292" s="1028"/>
      <c r="B292" s="245" t="s">
        <v>234</v>
      </c>
      <c r="C292" s="530" t="s">
        <v>94</v>
      </c>
      <c r="D292" s="248" t="s">
        <v>922</v>
      </c>
      <c r="E292" s="245" t="s">
        <v>227</v>
      </c>
      <c r="F292" s="245" t="s">
        <v>254</v>
      </c>
      <c r="G292" s="245" t="s">
        <v>800</v>
      </c>
      <c r="H292" s="530" t="s">
        <v>96</v>
      </c>
      <c r="I292" s="245" t="s">
        <v>223</v>
      </c>
      <c r="J292" s="1035"/>
      <c r="K292" s="530" t="s">
        <v>920</v>
      </c>
      <c r="L292" s="245" t="s">
        <v>921</v>
      </c>
      <c r="M292" s="245" t="s">
        <v>250</v>
      </c>
      <c r="N292" s="245" t="s">
        <v>255</v>
      </c>
      <c r="O292" s="245" t="s">
        <v>234</v>
      </c>
      <c r="P292" s="245" t="s">
        <v>233</v>
      </c>
      <c r="Q292" s="530" t="s">
        <v>94</v>
      </c>
      <c r="R292" s="248" t="s">
        <v>922</v>
      </c>
      <c r="S292" s="530" t="s">
        <v>96</v>
      </c>
      <c r="T292" s="245" t="s">
        <v>252</v>
      </c>
      <c r="U292" s="245" t="s">
        <v>223</v>
      </c>
      <c r="V292" s="1031"/>
      <c r="W292" s="1031"/>
    </row>
    <row r="293" spans="1:23" s="241" customFormat="1" ht="9.75" customHeight="1" x14ac:dyDescent="0.15">
      <c r="A293" s="645" t="s">
        <v>831</v>
      </c>
      <c r="B293" s="792">
        <v>129</v>
      </c>
      <c r="C293" s="793">
        <v>195</v>
      </c>
      <c r="D293" s="793">
        <v>90</v>
      </c>
      <c r="E293" s="793" t="s">
        <v>796</v>
      </c>
      <c r="F293" s="793">
        <v>105</v>
      </c>
      <c r="G293" s="793" t="s">
        <v>796</v>
      </c>
      <c r="H293" s="793">
        <v>570</v>
      </c>
      <c r="I293" s="793">
        <v>570</v>
      </c>
      <c r="J293" s="793">
        <v>9153</v>
      </c>
      <c r="K293" s="793">
        <v>5737</v>
      </c>
      <c r="L293" s="793">
        <v>1034</v>
      </c>
      <c r="M293" s="793" t="s">
        <v>796</v>
      </c>
      <c r="N293" s="793">
        <v>483</v>
      </c>
      <c r="O293" s="793" t="s">
        <v>796</v>
      </c>
      <c r="P293" s="793">
        <v>4220</v>
      </c>
      <c r="Q293" s="793" t="s">
        <v>796</v>
      </c>
      <c r="R293" s="793" t="s">
        <v>796</v>
      </c>
      <c r="S293" s="793">
        <v>3416</v>
      </c>
      <c r="T293" s="793" t="s">
        <v>796</v>
      </c>
      <c r="U293" s="793">
        <v>3416</v>
      </c>
      <c r="V293" s="793">
        <v>9885612</v>
      </c>
      <c r="W293" s="794" t="s">
        <v>517</v>
      </c>
    </row>
    <row r="294" spans="1:23" s="241" customFormat="1" ht="9.75" customHeight="1" x14ac:dyDescent="0.15">
      <c r="A294" s="448" t="s">
        <v>557</v>
      </c>
      <c r="B294" s="241">
        <v>115</v>
      </c>
      <c r="C294" s="241">
        <v>200</v>
      </c>
      <c r="D294" s="241">
        <v>126</v>
      </c>
      <c r="E294" s="241" t="s">
        <v>796</v>
      </c>
      <c r="F294" s="241">
        <v>74</v>
      </c>
      <c r="G294" s="241" t="s">
        <v>796</v>
      </c>
      <c r="H294" s="241">
        <v>727</v>
      </c>
      <c r="I294" s="241">
        <v>727</v>
      </c>
      <c r="J294" s="241">
        <v>12043</v>
      </c>
      <c r="K294" s="241">
        <v>8883</v>
      </c>
      <c r="L294" s="241" t="s">
        <v>796</v>
      </c>
      <c r="M294" s="241" t="s">
        <v>796</v>
      </c>
      <c r="N294" s="241" t="s">
        <v>796</v>
      </c>
      <c r="O294" s="241" t="s">
        <v>796</v>
      </c>
      <c r="P294" s="241">
        <v>8883</v>
      </c>
      <c r="Q294" s="241" t="s">
        <v>796</v>
      </c>
      <c r="R294" s="241" t="s">
        <v>796</v>
      </c>
      <c r="S294" s="241">
        <v>3160</v>
      </c>
      <c r="T294" s="241">
        <v>782</v>
      </c>
      <c r="U294" s="241">
        <v>2378</v>
      </c>
      <c r="V294" s="241">
        <v>10382862</v>
      </c>
      <c r="W294" s="242" t="s">
        <v>558</v>
      </c>
    </row>
    <row r="295" spans="1:23" s="241" customFormat="1" ht="9.75" customHeight="1" x14ac:dyDescent="0.15">
      <c r="A295" s="448" t="s">
        <v>682</v>
      </c>
      <c r="B295" s="241">
        <v>70</v>
      </c>
      <c r="C295" s="241">
        <v>123</v>
      </c>
      <c r="D295" s="241">
        <v>54</v>
      </c>
      <c r="E295" s="241" t="s">
        <v>796</v>
      </c>
      <c r="F295" s="241">
        <v>69</v>
      </c>
      <c r="G295" s="241" t="s">
        <v>796</v>
      </c>
      <c r="H295" s="241">
        <v>854</v>
      </c>
      <c r="I295" s="241">
        <v>854</v>
      </c>
      <c r="J295" s="241">
        <v>14830</v>
      </c>
      <c r="K295" s="241">
        <v>11690</v>
      </c>
      <c r="L295" s="241">
        <v>1502</v>
      </c>
      <c r="M295" s="241">
        <v>3338</v>
      </c>
      <c r="N295" s="241" t="s">
        <v>796</v>
      </c>
      <c r="O295" s="241" t="s">
        <v>796</v>
      </c>
      <c r="P295" s="241">
        <v>6850</v>
      </c>
      <c r="Q295" s="241" t="s">
        <v>796</v>
      </c>
      <c r="R295" s="241" t="s">
        <v>796</v>
      </c>
      <c r="S295" s="241">
        <v>3140</v>
      </c>
      <c r="T295" s="241" t="s">
        <v>796</v>
      </c>
      <c r="U295" s="241">
        <v>3140</v>
      </c>
      <c r="V295" s="241">
        <v>10769227</v>
      </c>
      <c r="W295" s="242" t="s">
        <v>683</v>
      </c>
    </row>
    <row r="296" spans="1:23" s="241" customFormat="1" ht="9.75" customHeight="1" x14ac:dyDescent="0.15">
      <c r="A296" s="448" t="s">
        <v>784</v>
      </c>
      <c r="B296" s="241">
        <v>30</v>
      </c>
      <c r="C296" s="241">
        <v>153</v>
      </c>
      <c r="D296" s="241">
        <v>108</v>
      </c>
      <c r="E296" s="241" t="s">
        <v>796</v>
      </c>
      <c r="F296" s="241">
        <v>45</v>
      </c>
      <c r="G296" s="241" t="s">
        <v>796</v>
      </c>
      <c r="H296" s="241">
        <v>737</v>
      </c>
      <c r="I296" s="241">
        <v>737</v>
      </c>
      <c r="J296" s="241">
        <v>18789</v>
      </c>
      <c r="K296" s="241">
        <v>15998</v>
      </c>
      <c r="L296" s="241">
        <v>12557</v>
      </c>
      <c r="M296" s="241" t="s">
        <v>796</v>
      </c>
      <c r="N296" s="241">
        <v>447</v>
      </c>
      <c r="O296" s="241">
        <v>1518</v>
      </c>
      <c r="P296" s="241">
        <v>1476</v>
      </c>
      <c r="Q296" s="241">
        <v>20</v>
      </c>
      <c r="R296" s="241">
        <v>20</v>
      </c>
      <c r="S296" s="241">
        <v>2771</v>
      </c>
      <c r="T296" s="241" t="s">
        <v>796</v>
      </c>
      <c r="U296" s="241">
        <v>2771</v>
      </c>
      <c r="V296" s="241">
        <v>10553947</v>
      </c>
      <c r="W296" s="242" t="s">
        <v>785</v>
      </c>
    </row>
    <row r="297" spans="1:23" s="241" customFormat="1" ht="9.75" customHeight="1" x14ac:dyDescent="0.15">
      <c r="A297" s="448" t="s">
        <v>832</v>
      </c>
      <c r="B297" s="241" t="s">
        <v>796</v>
      </c>
      <c r="C297" s="241">
        <v>158</v>
      </c>
      <c r="D297" s="241">
        <v>144</v>
      </c>
      <c r="E297" s="241">
        <v>1</v>
      </c>
      <c r="F297" s="241">
        <v>10</v>
      </c>
      <c r="G297" s="241">
        <v>3</v>
      </c>
      <c r="H297" s="241">
        <v>688</v>
      </c>
      <c r="I297" s="241">
        <v>688</v>
      </c>
      <c r="J297" s="241">
        <v>19692</v>
      </c>
      <c r="K297" s="241">
        <v>16591</v>
      </c>
      <c r="L297" s="241">
        <v>9347</v>
      </c>
      <c r="M297" s="241" t="s">
        <v>796</v>
      </c>
      <c r="N297" s="241" t="s">
        <v>796</v>
      </c>
      <c r="O297" s="241">
        <v>4038</v>
      </c>
      <c r="P297" s="241">
        <v>3206</v>
      </c>
      <c r="Q297" s="241">
        <v>14</v>
      </c>
      <c r="R297" s="241">
        <v>14</v>
      </c>
      <c r="S297" s="241">
        <v>3087</v>
      </c>
      <c r="T297" s="241" t="s">
        <v>796</v>
      </c>
      <c r="U297" s="241">
        <v>3087</v>
      </c>
      <c r="V297" s="241">
        <v>10395161</v>
      </c>
      <c r="W297" s="242" t="s">
        <v>833</v>
      </c>
    </row>
    <row r="298" spans="1:23" s="241" customFormat="1" ht="6.75" customHeight="1" x14ac:dyDescent="0.15">
      <c r="A298" s="464"/>
      <c r="W298" s="242"/>
    </row>
    <row r="299" spans="1:23" s="241" customFormat="1" ht="9.75" customHeight="1" x14ac:dyDescent="0.15">
      <c r="A299" s="448" t="s">
        <v>834</v>
      </c>
      <c r="B299" s="241">
        <v>6</v>
      </c>
      <c r="C299" s="241">
        <v>104</v>
      </c>
      <c r="D299" s="241">
        <v>72</v>
      </c>
      <c r="E299" s="241">
        <v>1</v>
      </c>
      <c r="F299" s="241">
        <v>28</v>
      </c>
      <c r="G299" s="241">
        <v>3</v>
      </c>
      <c r="H299" s="241">
        <v>753</v>
      </c>
      <c r="I299" s="241">
        <v>753</v>
      </c>
      <c r="J299" s="241">
        <v>21626</v>
      </c>
      <c r="K299" s="241">
        <v>18845</v>
      </c>
      <c r="L299" s="241">
        <v>15019</v>
      </c>
      <c r="M299" s="241" t="s">
        <v>796</v>
      </c>
      <c r="N299" s="241">
        <v>351</v>
      </c>
      <c r="O299" s="241">
        <v>2513</v>
      </c>
      <c r="P299" s="241">
        <v>962</v>
      </c>
      <c r="Q299" s="241">
        <v>20</v>
      </c>
      <c r="R299" s="241">
        <v>20</v>
      </c>
      <c r="S299" s="241">
        <v>2761</v>
      </c>
      <c r="T299" s="241" t="s">
        <v>796</v>
      </c>
      <c r="U299" s="241">
        <v>2761</v>
      </c>
      <c r="V299" s="241">
        <v>10334029</v>
      </c>
      <c r="W299" s="242" t="s">
        <v>786</v>
      </c>
    </row>
    <row r="300" spans="1:23" s="241" customFormat="1" ht="9.75" customHeight="1" x14ac:dyDescent="0.15">
      <c r="A300" s="448" t="s">
        <v>835</v>
      </c>
      <c r="B300" s="241" t="s">
        <v>796</v>
      </c>
      <c r="C300" s="241">
        <v>177</v>
      </c>
      <c r="D300" s="241">
        <v>165</v>
      </c>
      <c r="E300" s="241" t="s">
        <v>796</v>
      </c>
      <c r="F300" s="241">
        <v>12</v>
      </c>
      <c r="G300" s="241" t="s">
        <v>796</v>
      </c>
      <c r="H300" s="241">
        <v>767</v>
      </c>
      <c r="I300" s="241">
        <v>767</v>
      </c>
      <c r="J300" s="241">
        <v>21195</v>
      </c>
      <c r="K300" s="241">
        <v>17940</v>
      </c>
      <c r="L300" s="241">
        <v>10222</v>
      </c>
      <c r="M300" s="241" t="s">
        <v>796</v>
      </c>
      <c r="N300" s="241" t="s">
        <v>796</v>
      </c>
      <c r="O300" s="241">
        <v>3556</v>
      </c>
      <c r="P300" s="241">
        <v>4162</v>
      </c>
      <c r="Q300" s="241">
        <v>14</v>
      </c>
      <c r="R300" s="241">
        <v>14</v>
      </c>
      <c r="S300" s="241">
        <v>3241</v>
      </c>
      <c r="T300" s="241" t="s">
        <v>796</v>
      </c>
      <c r="U300" s="241">
        <v>3241</v>
      </c>
      <c r="V300" s="241">
        <v>10377913</v>
      </c>
      <c r="W300" s="242" t="s">
        <v>836</v>
      </c>
    </row>
    <row r="301" spans="1:23" s="241" customFormat="1" ht="6.75" customHeight="1" x14ac:dyDescent="0.15">
      <c r="A301" s="464"/>
      <c r="W301" s="242"/>
    </row>
    <row r="302" spans="1:23" s="241" customFormat="1" ht="9.75" customHeight="1" x14ac:dyDescent="0.15">
      <c r="A302" s="448" t="s">
        <v>837</v>
      </c>
      <c r="B302" s="241" t="s">
        <v>796</v>
      </c>
      <c r="C302" s="241">
        <v>25</v>
      </c>
      <c r="D302" s="241">
        <v>18</v>
      </c>
      <c r="E302" s="241">
        <v>1</v>
      </c>
      <c r="F302" s="241">
        <v>3</v>
      </c>
      <c r="G302" s="241">
        <v>3</v>
      </c>
      <c r="H302" s="241">
        <v>143</v>
      </c>
      <c r="I302" s="241">
        <v>143</v>
      </c>
      <c r="J302" s="241">
        <v>4483</v>
      </c>
      <c r="K302" s="241">
        <v>3702</v>
      </c>
      <c r="L302" s="241">
        <v>2707</v>
      </c>
      <c r="M302" s="241" t="s">
        <v>796</v>
      </c>
      <c r="N302" s="241" t="s">
        <v>796</v>
      </c>
      <c r="O302" s="241">
        <v>995</v>
      </c>
      <c r="P302" s="241" t="s">
        <v>796</v>
      </c>
      <c r="Q302" s="241" t="s">
        <v>796</v>
      </c>
      <c r="R302" s="241" t="s">
        <v>796</v>
      </c>
      <c r="S302" s="241">
        <v>781</v>
      </c>
      <c r="T302" s="241" t="s">
        <v>796</v>
      </c>
      <c r="U302" s="241">
        <v>781</v>
      </c>
      <c r="V302" s="241">
        <v>3071458</v>
      </c>
      <c r="W302" s="242" t="s">
        <v>787</v>
      </c>
    </row>
    <row r="303" spans="1:23" s="241" customFormat="1" ht="9.75" customHeight="1" x14ac:dyDescent="0.15">
      <c r="A303" s="448" t="s">
        <v>559</v>
      </c>
      <c r="B303" s="241" t="s">
        <v>796</v>
      </c>
      <c r="C303" s="241">
        <v>36</v>
      </c>
      <c r="D303" s="241">
        <v>36</v>
      </c>
      <c r="E303" s="241" t="s">
        <v>796</v>
      </c>
      <c r="F303" s="241" t="s">
        <v>796</v>
      </c>
      <c r="G303" s="241" t="s">
        <v>796</v>
      </c>
      <c r="H303" s="241">
        <v>147</v>
      </c>
      <c r="I303" s="241">
        <v>147</v>
      </c>
      <c r="J303" s="241">
        <v>4245</v>
      </c>
      <c r="K303" s="241">
        <v>3580</v>
      </c>
      <c r="L303" s="241">
        <v>1536</v>
      </c>
      <c r="M303" s="241" t="s">
        <v>796</v>
      </c>
      <c r="N303" s="241" t="s">
        <v>796</v>
      </c>
      <c r="O303" s="241">
        <v>1036</v>
      </c>
      <c r="P303" s="241">
        <v>1008</v>
      </c>
      <c r="Q303" s="241" t="s">
        <v>796</v>
      </c>
      <c r="R303" s="241" t="s">
        <v>796</v>
      </c>
      <c r="S303" s="241">
        <v>665</v>
      </c>
      <c r="T303" s="241" t="s">
        <v>796</v>
      </c>
      <c r="U303" s="241">
        <v>665</v>
      </c>
      <c r="V303" s="241">
        <v>2494209</v>
      </c>
      <c r="W303" s="242" t="s">
        <v>78</v>
      </c>
    </row>
    <row r="304" spans="1:23" s="241" customFormat="1" ht="9.75" customHeight="1" x14ac:dyDescent="0.15">
      <c r="A304" s="448" t="s">
        <v>560</v>
      </c>
      <c r="B304" s="241" t="s">
        <v>796</v>
      </c>
      <c r="C304" s="241">
        <v>75</v>
      </c>
      <c r="D304" s="241">
        <v>72</v>
      </c>
      <c r="E304" s="241" t="s">
        <v>796</v>
      </c>
      <c r="F304" s="241">
        <v>3</v>
      </c>
      <c r="G304" s="241" t="s">
        <v>796</v>
      </c>
      <c r="H304" s="241">
        <v>108</v>
      </c>
      <c r="I304" s="241">
        <v>108</v>
      </c>
      <c r="J304" s="241">
        <v>4105</v>
      </c>
      <c r="K304" s="241">
        <v>3483</v>
      </c>
      <c r="L304" s="241">
        <v>1519</v>
      </c>
      <c r="M304" s="241" t="s">
        <v>796</v>
      </c>
      <c r="N304" s="241" t="s">
        <v>796</v>
      </c>
      <c r="O304" s="241">
        <v>1009</v>
      </c>
      <c r="P304" s="241">
        <v>955</v>
      </c>
      <c r="Q304" s="241" t="s">
        <v>796</v>
      </c>
      <c r="R304" s="241" t="s">
        <v>796</v>
      </c>
      <c r="S304" s="241">
        <v>622</v>
      </c>
      <c r="T304" s="241" t="s">
        <v>796</v>
      </c>
      <c r="U304" s="241">
        <v>622</v>
      </c>
      <c r="V304" s="241">
        <v>2056426</v>
      </c>
      <c r="W304" s="242" t="s">
        <v>79</v>
      </c>
    </row>
    <row r="305" spans="1:23" s="241" customFormat="1" ht="9.75" customHeight="1" x14ac:dyDescent="0.15">
      <c r="A305" s="448" t="s">
        <v>561</v>
      </c>
      <c r="B305" s="241" t="s">
        <v>796</v>
      </c>
      <c r="C305" s="241">
        <v>22</v>
      </c>
      <c r="D305" s="241">
        <v>18</v>
      </c>
      <c r="E305" s="241" t="s">
        <v>796</v>
      </c>
      <c r="F305" s="241">
        <v>4</v>
      </c>
      <c r="G305" s="241" t="s">
        <v>796</v>
      </c>
      <c r="H305" s="241">
        <v>290</v>
      </c>
      <c r="I305" s="241">
        <v>290</v>
      </c>
      <c r="J305" s="241">
        <v>6859</v>
      </c>
      <c r="K305" s="241">
        <v>5826</v>
      </c>
      <c r="L305" s="241">
        <v>3585</v>
      </c>
      <c r="M305" s="241" t="s">
        <v>796</v>
      </c>
      <c r="N305" s="241" t="s">
        <v>796</v>
      </c>
      <c r="O305" s="241">
        <v>998</v>
      </c>
      <c r="P305" s="241">
        <v>1243</v>
      </c>
      <c r="Q305" s="241">
        <v>14</v>
      </c>
      <c r="R305" s="241">
        <v>14</v>
      </c>
      <c r="S305" s="241">
        <v>1019</v>
      </c>
      <c r="T305" s="241" t="s">
        <v>796</v>
      </c>
      <c r="U305" s="241">
        <v>1019</v>
      </c>
      <c r="V305" s="241">
        <v>2773068</v>
      </c>
      <c r="W305" s="242" t="s">
        <v>80</v>
      </c>
    </row>
    <row r="306" spans="1:23" s="241" customFormat="1" ht="9.75" customHeight="1" x14ac:dyDescent="0.15">
      <c r="A306" s="448" t="s">
        <v>838</v>
      </c>
      <c r="B306" s="241" t="s">
        <v>796</v>
      </c>
      <c r="C306" s="241">
        <v>44</v>
      </c>
      <c r="D306" s="241">
        <v>39</v>
      </c>
      <c r="E306" s="241" t="s">
        <v>796</v>
      </c>
      <c r="F306" s="241">
        <v>5</v>
      </c>
      <c r="G306" s="241" t="s">
        <v>796</v>
      </c>
      <c r="H306" s="241">
        <v>222</v>
      </c>
      <c r="I306" s="241">
        <v>222</v>
      </c>
      <c r="J306" s="241">
        <v>5986</v>
      </c>
      <c r="K306" s="241">
        <v>5051</v>
      </c>
      <c r="L306" s="241">
        <v>3582</v>
      </c>
      <c r="M306" s="241" t="s">
        <v>796</v>
      </c>
      <c r="N306" s="241" t="s">
        <v>796</v>
      </c>
      <c r="O306" s="241">
        <v>513</v>
      </c>
      <c r="P306" s="241">
        <v>956</v>
      </c>
      <c r="Q306" s="241" t="s">
        <v>796</v>
      </c>
      <c r="R306" s="241" t="s">
        <v>796</v>
      </c>
      <c r="S306" s="241">
        <v>935</v>
      </c>
      <c r="T306" s="241" t="s">
        <v>796</v>
      </c>
      <c r="U306" s="241">
        <v>935</v>
      </c>
      <c r="V306" s="241">
        <v>3054210</v>
      </c>
      <c r="W306" s="242" t="s">
        <v>839</v>
      </c>
    </row>
    <row r="307" spans="1:23" s="241" customFormat="1" ht="6.75" customHeight="1" x14ac:dyDescent="0.15">
      <c r="A307" s="464"/>
      <c r="W307" s="242"/>
    </row>
    <row r="308" spans="1:23" s="241" customFormat="1" ht="9.75" customHeight="1" x14ac:dyDescent="0.15">
      <c r="A308" s="448" t="s">
        <v>840</v>
      </c>
      <c r="B308" s="241" t="s">
        <v>796</v>
      </c>
      <c r="C308" s="241">
        <v>4</v>
      </c>
      <c r="D308" s="241" t="s">
        <v>796</v>
      </c>
      <c r="E308" s="241">
        <v>1</v>
      </c>
      <c r="F308" s="241" t="s">
        <v>796</v>
      </c>
      <c r="G308" s="241">
        <v>3</v>
      </c>
      <c r="H308" s="241">
        <v>19</v>
      </c>
      <c r="I308" s="241">
        <v>19</v>
      </c>
      <c r="J308" s="241">
        <v>884</v>
      </c>
      <c r="K308" s="241">
        <v>561</v>
      </c>
      <c r="L308" s="241">
        <v>70</v>
      </c>
      <c r="M308" s="241" t="s">
        <v>796</v>
      </c>
      <c r="N308" s="241" t="s">
        <v>796</v>
      </c>
      <c r="O308" s="241">
        <v>491</v>
      </c>
      <c r="P308" s="241" t="s">
        <v>796</v>
      </c>
      <c r="Q308" s="241" t="s">
        <v>796</v>
      </c>
      <c r="R308" s="241" t="s">
        <v>796</v>
      </c>
      <c r="S308" s="241">
        <v>323</v>
      </c>
      <c r="T308" s="241" t="s">
        <v>796</v>
      </c>
      <c r="U308" s="241">
        <v>323</v>
      </c>
      <c r="V308" s="241">
        <v>1279857</v>
      </c>
      <c r="W308" s="242" t="s">
        <v>788</v>
      </c>
    </row>
    <row r="309" spans="1:23" s="241" customFormat="1" ht="9.75" customHeight="1" x14ac:dyDescent="0.15">
      <c r="A309" s="448" t="s">
        <v>562</v>
      </c>
      <c r="B309" s="241" t="s">
        <v>796</v>
      </c>
      <c r="C309" s="241" t="s">
        <v>796</v>
      </c>
      <c r="D309" s="241" t="s">
        <v>796</v>
      </c>
      <c r="E309" s="241" t="s">
        <v>796</v>
      </c>
      <c r="F309" s="241" t="s">
        <v>796</v>
      </c>
      <c r="G309" s="241" t="s">
        <v>796</v>
      </c>
      <c r="H309" s="241">
        <v>39</v>
      </c>
      <c r="I309" s="241">
        <v>39</v>
      </c>
      <c r="J309" s="241">
        <v>792</v>
      </c>
      <c r="K309" s="241">
        <v>501</v>
      </c>
      <c r="L309" s="241">
        <v>501</v>
      </c>
      <c r="M309" s="241" t="s">
        <v>796</v>
      </c>
      <c r="N309" s="241" t="s">
        <v>796</v>
      </c>
      <c r="O309" s="241" t="s">
        <v>796</v>
      </c>
      <c r="P309" s="241" t="s">
        <v>796</v>
      </c>
      <c r="Q309" s="241" t="s">
        <v>796</v>
      </c>
      <c r="R309" s="241" t="s">
        <v>796</v>
      </c>
      <c r="S309" s="241">
        <v>291</v>
      </c>
      <c r="T309" s="241" t="s">
        <v>796</v>
      </c>
      <c r="U309" s="241">
        <v>291</v>
      </c>
      <c r="V309" s="241">
        <v>846715</v>
      </c>
      <c r="W309" s="242" t="s">
        <v>66</v>
      </c>
    </row>
    <row r="310" spans="1:23" s="241" customFormat="1" ht="9.75" customHeight="1" x14ac:dyDescent="0.15">
      <c r="A310" s="448" t="s">
        <v>563</v>
      </c>
      <c r="B310" s="241" t="s">
        <v>796</v>
      </c>
      <c r="C310" s="241">
        <v>21</v>
      </c>
      <c r="D310" s="241">
        <v>18</v>
      </c>
      <c r="E310" s="241" t="s">
        <v>796</v>
      </c>
      <c r="F310" s="241">
        <v>3</v>
      </c>
      <c r="G310" s="241" t="s">
        <v>796</v>
      </c>
      <c r="H310" s="241">
        <v>85</v>
      </c>
      <c r="I310" s="241">
        <v>85</v>
      </c>
      <c r="J310" s="241">
        <v>2807</v>
      </c>
      <c r="K310" s="241">
        <v>2640</v>
      </c>
      <c r="L310" s="241">
        <v>2136</v>
      </c>
      <c r="M310" s="241" t="s">
        <v>796</v>
      </c>
      <c r="N310" s="241" t="s">
        <v>796</v>
      </c>
      <c r="O310" s="241">
        <v>504</v>
      </c>
      <c r="P310" s="241" t="s">
        <v>796</v>
      </c>
      <c r="Q310" s="241" t="s">
        <v>796</v>
      </c>
      <c r="R310" s="241" t="s">
        <v>796</v>
      </c>
      <c r="S310" s="241">
        <v>167</v>
      </c>
      <c r="T310" s="241" t="s">
        <v>796</v>
      </c>
      <c r="U310" s="241">
        <v>167</v>
      </c>
      <c r="V310" s="241">
        <v>944886</v>
      </c>
      <c r="W310" s="242" t="s">
        <v>67</v>
      </c>
    </row>
    <row r="311" spans="1:23" s="241" customFormat="1" ht="9.75" customHeight="1" x14ac:dyDescent="0.15">
      <c r="A311" s="448" t="s">
        <v>564</v>
      </c>
      <c r="B311" s="241" t="s">
        <v>796</v>
      </c>
      <c r="C311" s="241" t="s">
        <v>796</v>
      </c>
      <c r="D311" s="241" t="s">
        <v>796</v>
      </c>
      <c r="E311" s="241" t="s">
        <v>796</v>
      </c>
      <c r="F311" s="241" t="s">
        <v>796</v>
      </c>
      <c r="G311" s="241" t="s">
        <v>796</v>
      </c>
      <c r="H311" s="241">
        <v>57</v>
      </c>
      <c r="I311" s="241">
        <v>57</v>
      </c>
      <c r="J311" s="241">
        <v>1739</v>
      </c>
      <c r="K311" s="241">
        <v>1530</v>
      </c>
      <c r="L311" s="241" t="s">
        <v>796</v>
      </c>
      <c r="M311" s="241" t="s">
        <v>796</v>
      </c>
      <c r="N311" s="241" t="s">
        <v>796</v>
      </c>
      <c r="O311" s="241">
        <v>522</v>
      </c>
      <c r="P311" s="241">
        <v>1008</v>
      </c>
      <c r="Q311" s="241" t="s">
        <v>796</v>
      </c>
      <c r="R311" s="241" t="s">
        <v>796</v>
      </c>
      <c r="S311" s="241">
        <v>209</v>
      </c>
      <c r="T311" s="241" t="s">
        <v>796</v>
      </c>
      <c r="U311" s="241">
        <v>209</v>
      </c>
      <c r="V311" s="241">
        <v>949167</v>
      </c>
      <c r="W311" s="242" t="s">
        <v>68</v>
      </c>
    </row>
    <row r="312" spans="1:23" s="241" customFormat="1" ht="9.75" customHeight="1" x14ac:dyDescent="0.15">
      <c r="A312" s="448" t="s">
        <v>565</v>
      </c>
      <c r="B312" s="241" t="s">
        <v>796</v>
      </c>
      <c r="C312" s="241">
        <v>18</v>
      </c>
      <c r="D312" s="241">
        <v>18</v>
      </c>
      <c r="E312" s="241" t="s">
        <v>796</v>
      </c>
      <c r="F312" s="241" t="s">
        <v>796</v>
      </c>
      <c r="G312" s="241" t="s">
        <v>796</v>
      </c>
      <c r="H312" s="241">
        <v>36</v>
      </c>
      <c r="I312" s="241">
        <v>36</v>
      </c>
      <c r="J312" s="241">
        <v>2173</v>
      </c>
      <c r="K312" s="241">
        <v>2050</v>
      </c>
      <c r="L312" s="241">
        <v>1536</v>
      </c>
      <c r="M312" s="241" t="s">
        <v>796</v>
      </c>
      <c r="N312" s="241" t="s">
        <v>796</v>
      </c>
      <c r="O312" s="241">
        <v>514</v>
      </c>
      <c r="P312" s="241" t="s">
        <v>796</v>
      </c>
      <c r="Q312" s="241" t="s">
        <v>796</v>
      </c>
      <c r="R312" s="241" t="s">
        <v>796</v>
      </c>
      <c r="S312" s="241">
        <v>123</v>
      </c>
      <c r="T312" s="241" t="s">
        <v>796</v>
      </c>
      <c r="U312" s="241">
        <v>123</v>
      </c>
      <c r="V312" s="241">
        <v>859724</v>
      </c>
      <c r="W312" s="242" t="s">
        <v>81</v>
      </c>
    </row>
    <row r="313" spans="1:23" s="241" customFormat="1" ht="9.75" customHeight="1" x14ac:dyDescent="0.15">
      <c r="A313" s="448" t="s">
        <v>566</v>
      </c>
      <c r="B313" s="241" t="s">
        <v>796</v>
      </c>
      <c r="C313" s="241">
        <v>18</v>
      </c>
      <c r="D313" s="241">
        <v>18</v>
      </c>
      <c r="E313" s="241" t="s">
        <v>796</v>
      </c>
      <c r="F313" s="241" t="s">
        <v>796</v>
      </c>
      <c r="G313" s="241" t="s">
        <v>796</v>
      </c>
      <c r="H313" s="241">
        <v>54</v>
      </c>
      <c r="I313" s="241">
        <v>54</v>
      </c>
      <c r="J313" s="241">
        <v>333</v>
      </c>
      <c r="K313" s="241" t="s">
        <v>796</v>
      </c>
      <c r="L313" s="241" t="s">
        <v>796</v>
      </c>
      <c r="M313" s="241" t="s">
        <v>796</v>
      </c>
      <c r="N313" s="241" t="s">
        <v>796</v>
      </c>
      <c r="O313" s="241" t="s">
        <v>796</v>
      </c>
      <c r="P313" s="241" t="s">
        <v>796</v>
      </c>
      <c r="Q313" s="241" t="s">
        <v>796</v>
      </c>
      <c r="R313" s="241" t="s">
        <v>796</v>
      </c>
      <c r="S313" s="241">
        <v>333</v>
      </c>
      <c r="T313" s="241" t="s">
        <v>796</v>
      </c>
      <c r="U313" s="241">
        <v>333</v>
      </c>
      <c r="V313" s="241">
        <v>685318</v>
      </c>
      <c r="W313" s="242" t="s">
        <v>82</v>
      </c>
    </row>
    <row r="314" spans="1:23" s="241" customFormat="1" ht="9.75" customHeight="1" x14ac:dyDescent="0.15">
      <c r="A314" s="448" t="s">
        <v>567</v>
      </c>
      <c r="B314" s="241" t="s">
        <v>796</v>
      </c>
      <c r="C314" s="241">
        <v>2</v>
      </c>
      <c r="D314" s="241" t="s">
        <v>796</v>
      </c>
      <c r="E314" s="241" t="s">
        <v>796</v>
      </c>
      <c r="F314" s="241">
        <v>2</v>
      </c>
      <c r="G314" s="241" t="s">
        <v>796</v>
      </c>
      <c r="H314" s="241">
        <v>59</v>
      </c>
      <c r="I314" s="241">
        <v>59</v>
      </c>
      <c r="J314" s="241">
        <v>836</v>
      </c>
      <c r="K314" s="241">
        <v>494</v>
      </c>
      <c r="L314" s="241" t="s">
        <v>796</v>
      </c>
      <c r="M314" s="241" t="s">
        <v>796</v>
      </c>
      <c r="N314" s="241" t="s">
        <v>796</v>
      </c>
      <c r="O314" s="241">
        <v>494</v>
      </c>
      <c r="P314" s="241" t="s">
        <v>796</v>
      </c>
      <c r="Q314" s="241" t="s">
        <v>796</v>
      </c>
      <c r="R314" s="241" t="s">
        <v>796</v>
      </c>
      <c r="S314" s="241">
        <v>342</v>
      </c>
      <c r="T314" s="241" t="s">
        <v>796</v>
      </c>
      <c r="U314" s="241">
        <v>342</v>
      </c>
      <c r="V314" s="241">
        <v>722025</v>
      </c>
      <c r="W314" s="242" t="s">
        <v>83</v>
      </c>
    </row>
    <row r="315" spans="1:23" s="241" customFormat="1" ht="9.75" customHeight="1" x14ac:dyDescent="0.15">
      <c r="A315" s="448" t="s">
        <v>568</v>
      </c>
      <c r="B315" s="241" t="s">
        <v>796</v>
      </c>
      <c r="C315" s="241">
        <v>18</v>
      </c>
      <c r="D315" s="241">
        <v>18</v>
      </c>
      <c r="E315" s="241" t="s">
        <v>796</v>
      </c>
      <c r="F315" s="241" t="s">
        <v>796</v>
      </c>
      <c r="G315" s="241" t="s">
        <v>796</v>
      </c>
      <c r="H315" s="241">
        <v>49</v>
      </c>
      <c r="I315" s="241">
        <v>49</v>
      </c>
      <c r="J315" s="241">
        <v>2649</v>
      </c>
      <c r="K315" s="241">
        <v>2474</v>
      </c>
      <c r="L315" s="241">
        <v>1519</v>
      </c>
      <c r="M315" s="241" t="s">
        <v>796</v>
      </c>
      <c r="N315" s="241" t="s">
        <v>796</v>
      </c>
      <c r="O315" s="241" t="s">
        <v>796</v>
      </c>
      <c r="P315" s="241">
        <v>955</v>
      </c>
      <c r="Q315" s="241" t="s">
        <v>796</v>
      </c>
      <c r="R315" s="241" t="s">
        <v>796</v>
      </c>
      <c r="S315" s="241">
        <v>175</v>
      </c>
      <c r="T315" s="241" t="s">
        <v>796</v>
      </c>
      <c r="U315" s="241">
        <v>175</v>
      </c>
      <c r="V315" s="241">
        <v>677520</v>
      </c>
      <c r="W315" s="242" t="s">
        <v>84</v>
      </c>
    </row>
    <row r="316" spans="1:23" s="241" customFormat="1" ht="9.75" customHeight="1" x14ac:dyDescent="0.15">
      <c r="A316" s="448" t="s">
        <v>569</v>
      </c>
      <c r="B316" s="241" t="s">
        <v>796</v>
      </c>
      <c r="C316" s="241">
        <v>55</v>
      </c>
      <c r="D316" s="241">
        <v>54</v>
      </c>
      <c r="E316" s="241" t="s">
        <v>796</v>
      </c>
      <c r="F316" s="241">
        <v>1</v>
      </c>
      <c r="G316" s="241" t="s">
        <v>796</v>
      </c>
      <c r="H316" s="241" t="s">
        <v>796</v>
      </c>
      <c r="I316" s="241" t="s">
        <v>796</v>
      </c>
      <c r="J316" s="241">
        <v>620</v>
      </c>
      <c r="K316" s="241">
        <v>515</v>
      </c>
      <c r="L316" s="241" t="s">
        <v>796</v>
      </c>
      <c r="M316" s="241" t="s">
        <v>796</v>
      </c>
      <c r="N316" s="241" t="s">
        <v>796</v>
      </c>
      <c r="O316" s="241">
        <v>515</v>
      </c>
      <c r="P316" s="241" t="s">
        <v>796</v>
      </c>
      <c r="Q316" s="241" t="s">
        <v>796</v>
      </c>
      <c r="R316" s="241" t="s">
        <v>796</v>
      </c>
      <c r="S316" s="241">
        <v>105</v>
      </c>
      <c r="T316" s="241" t="s">
        <v>796</v>
      </c>
      <c r="U316" s="241">
        <v>105</v>
      </c>
      <c r="V316" s="241">
        <v>656881</v>
      </c>
      <c r="W316" s="242" t="s">
        <v>85</v>
      </c>
    </row>
    <row r="317" spans="1:23" s="241" customFormat="1" ht="9.75" customHeight="1" x14ac:dyDescent="0.15">
      <c r="A317" s="448" t="s">
        <v>570</v>
      </c>
      <c r="B317" s="241" t="s">
        <v>796</v>
      </c>
      <c r="C317" s="241">
        <v>20</v>
      </c>
      <c r="D317" s="241">
        <v>18</v>
      </c>
      <c r="E317" s="241" t="s">
        <v>796</v>
      </c>
      <c r="F317" s="241">
        <v>2</v>
      </c>
      <c r="G317" s="241" t="s">
        <v>796</v>
      </c>
      <c r="H317" s="241">
        <v>123</v>
      </c>
      <c r="I317" s="241">
        <v>123</v>
      </c>
      <c r="J317" s="241">
        <v>2283</v>
      </c>
      <c r="K317" s="241">
        <v>2035</v>
      </c>
      <c r="L317" s="241">
        <v>1540</v>
      </c>
      <c r="M317" s="241" t="s">
        <v>796</v>
      </c>
      <c r="N317" s="241" t="s">
        <v>796</v>
      </c>
      <c r="O317" s="241">
        <v>495</v>
      </c>
      <c r="P317" s="241" t="s">
        <v>796</v>
      </c>
      <c r="Q317" s="241" t="s">
        <v>796</v>
      </c>
      <c r="R317" s="241" t="s">
        <v>796</v>
      </c>
      <c r="S317" s="241">
        <v>248</v>
      </c>
      <c r="T317" s="241" t="s">
        <v>796</v>
      </c>
      <c r="U317" s="241">
        <v>248</v>
      </c>
      <c r="V317" s="241">
        <v>757416</v>
      </c>
      <c r="W317" s="242" t="s">
        <v>69</v>
      </c>
    </row>
    <row r="318" spans="1:23" s="241" customFormat="1" ht="9.75" customHeight="1" x14ac:dyDescent="0.15">
      <c r="A318" s="448" t="s">
        <v>571</v>
      </c>
      <c r="B318" s="241" t="s">
        <v>796</v>
      </c>
      <c r="C318" s="241">
        <v>2</v>
      </c>
      <c r="D318" s="241" t="s">
        <v>796</v>
      </c>
      <c r="E318" s="241" t="s">
        <v>796</v>
      </c>
      <c r="F318" s="241">
        <v>2</v>
      </c>
      <c r="G318" s="241" t="s">
        <v>796</v>
      </c>
      <c r="H318" s="241">
        <v>93</v>
      </c>
      <c r="I318" s="241">
        <v>93</v>
      </c>
      <c r="J318" s="241">
        <v>1783</v>
      </c>
      <c r="K318" s="241">
        <v>1243</v>
      </c>
      <c r="L318" s="241" t="s">
        <v>796</v>
      </c>
      <c r="M318" s="241" t="s">
        <v>796</v>
      </c>
      <c r="N318" s="241" t="s">
        <v>796</v>
      </c>
      <c r="O318" s="241" t="s">
        <v>796</v>
      </c>
      <c r="P318" s="241">
        <v>1243</v>
      </c>
      <c r="Q318" s="241">
        <v>14</v>
      </c>
      <c r="R318" s="241">
        <v>14</v>
      </c>
      <c r="S318" s="241">
        <v>526</v>
      </c>
      <c r="T318" s="241" t="s">
        <v>796</v>
      </c>
      <c r="U318" s="241">
        <v>526</v>
      </c>
      <c r="V318" s="241">
        <v>804560</v>
      </c>
      <c r="W318" s="242" t="s">
        <v>70</v>
      </c>
    </row>
    <row r="319" spans="1:23" s="241" customFormat="1" ht="9.75" customHeight="1" x14ac:dyDescent="0.15">
      <c r="A319" s="448" t="s">
        <v>572</v>
      </c>
      <c r="B319" s="241" t="s">
        <v>796</v>
      </c>
      <c r="C319" s="241" t="s">
        <v>796</v>
      </c>
      <c r="D319" s="241" t="s">
        <v>796</v>
      </c>
      <c r="E319" s="241" t="s">
        <v>796</v>
      </c>
      <c r="F319" s="241" t="s">
        <v>796</v>
      </c>
      <c r="G319" s="241" t="s">
        <v>796</v>
      </c>
      <c r="H319" s="241">
        <v>74</v>
      </c>
      <c r="I319" s="241">
        <v>74</v>
      </c>
      <c r="J319" s="241">
        <v>2793</v>
      </c>
      <c r="K319" s="241">
        <v>2548</v>
      </c>
      <c r="L319" s="241">
        <v>2045</v>
      </c>
      <c r="M319" s="241" t="s">
        <v>796</v>
      </c>
      <c r="N319" s="241" t="s">
        <v>796</v>
      </c>
      <c r="O319" s="241">
        <v>503</v>
      </c>
      <c r="P319" s="241" t="s">
        <v>796</v>
      </c>
      <c r="Q319" s="241" t="s">
        <v>796</v>
      </c>
      <c r="R319" s="241" t="s">
        <v>796</v>
      </c>
      <c r="S319" s="241">
        <v>245</v>
      </c>
      <c r="T319" s="241" t="s">
        <v>796</v>
      </c>
      <c r="U319" s="241">
        <v>245</v>
      </c>
      <c r="V319" s="241">
        <v>1211092</v>
      </c>
      <c r="W319" s="242" t="s">
        <v>71</v>
      </c>
    </row>
    <row r="320" spans="1:23" s="241" customFormat="1" ht="9.75" customHeight="1" x14ac:dyDescent="0.15">
      <c r="A320" s="448" t="s">
        <v>841</v>
      </c>
      <c r="B320" s="241" t="s">
        <v>796</v>
      </c>
      <c r="C320" s="241">
        <v>6</v>
      </c>
      <c r="D320" s="241">
        <v>3</v>
      </c>
      <c r="E320" s="241" t="s">
        <v>796</v>
      </c>
      <c r="F320" s="241">
        <v>3</v>
      </c>
      <c r="G320" s="241" t="s">
        <v>796</v>
      </c>
      <c r="H320" s="241">
        <v>71</v>
      </c>
      <c r="I320" s="241">
        <v>71</v>
      </c>
      <c r="J320" s="241">
        <v>1297</v>
      </c>
      <c r="K320" s="241">
        <v>956</v>
      </c>
      <c r="L320" s="241" t="s">
        <v>796</v>
      </c>
      <c r="M320" s="241" t="s">
        <v>796</v>
      </c>
      <c r="N320" s="241" t="s">
        <v>796</v>
      </c>
      <c r="O320" s="241" t="s">
        <v>796</v>
      </c>
      <c r="P320" s="241">
        <v>956</v>
      </c>
      <c r="Q320" s="241" t="s">
        <v>796</v>
      </c>
      <c r="R320" s="241" t="s">
        <v>796</v>
      </c>
      <c r="S320" s="241">
        <v>341</v>
      </c>
      <c r="T320" s="241" t="s">
        <v>796</v>
      </c>
      <c r="U320" s="241">
        <v>341</v>
      </c>
      <c r="V320" s="241">
        <v>1025796</v>
      </c>
      <c r="W320" s="242" t="s">
        <v>842</v>
      </c>
    </row>
    <row r="321" spans="1:23" s="241" customFormat="1" ht="9.75" customHeight="1" x14ac:dyDescent="0.15">
      <c r="A321" s="448" t="s">
        <v>573</v>
      </c>
      <c r="B321" s="241" t="s">
        <v>796</v>
      </c>
      <c r="C321" s="241">
        <v>37</v>
      </c>
      <c r="D321" s="241">
        <v>36</v>
      </c>
      <c r="E321" s="241" t="s">
        <v>796</v>
      </c>
      <c r="F321" s="241">
        <v>1</v>
      </c>
      <c r="G321" s="241" t="s">
        <v>796</v>
      </c>
      <c r="H321" s="241">
        <v>42</v>
      </c>
      <c r="I321" s="241">
        <v>42</v>
      </c>
      <c r="J321" s="241">
        <v>1974</v>
      </c>
      <c r="K321" s="241">
        <v>1529</v>
      </c>
      <c r="L321" s="241">
        <v>1529</v>
      </c>
      <c r="M321" s="241" t="s">
        <v>796</v>
      </c>
      <c r="N321" s="241" t="s">
        <v>796</v>
      </c>
      <c r="O321" s="241" t="s">
        <v>796</v>
      </c>
      <c r="P321" s="241" t="s">
        <v>796</v>
      </c>
      <c r="Q321" s="241" t="s">
        <v>796</v>
      </c>
      <c r="R321" s="241" t="s">
        <v>796</v>
      </c>
      <c r="S321" s="241">
        <v>445</v>
      </c>
      <c r="T321" s="241" t="s">
        <v>796</v>
      </c>
      <c r="U321" s="241">
        <v>445</v>
      </c>
      <c r="V321" s="241">
        <v>854078</v>
      </c>
      <c r="W321" s="242" t="s">
        <v>66</v>
      </c>
    </row>
    <row r="322" spans="1:23" s="241" customFormat="1" ht="9.75" customHeight="1" x14ac:dyDescent="0.15">
      <c r="A322" s="795" t="s">
        <v>574</v>
      </c>
      <c r="B322" s="796" t="s">
        <v>796</v>
      </c>
      <c r="C322" s="797">
        <v>1</v>
      </c>
      <c r="D322" s="797" t="s">
        <v>796</v>
      </c>
      <c r="E322" s="797" t="s">
        <v>796</v>
      </c>
      <c r="F322" s="797">
        <v>1</v>
      </c>
      <c r="G322" s="797" t="s">
        <v>796</v>
      </c>
      <c r="H322" s="797">
        <v>109</v>
      </c>
      <c r="I322" s="797">
        <v>109</v>
      </c>
      <c r="J322" s="797">
        <v>2715</v>
      </c>
      <c r="K322" s="797">
        <v>2566</v>
      </c>
      <c r="L322" s="797">
        <v>2053</v>
      </c>
      <c r="M322" s="797" t="s">
        <v>796</v>
      </c>
      <c r="N322" s="797" t="s">
        <v>796</v>
      </c>
      <c r="O322" s="797">
        <v>513</v>
      </c>
      <c r="P322" s="797" t="s">
        <v>796</v>
      </c>
      <c r="Q322" s="797" t="s">
        <v>796</v>
      </c>
      <c r="R322" s="797" t="s">
        <v>796</v>
      </c>
      <c r="S322" s="797">
        <v>149</v>
      </c>
      <c r="T322" s="797" t="s">
        <v>796</v>
      </c>
      <c r="U322" s="797">
        <v>149</v>
      </c>
      <c r="V322" s="797">
        <v>1174336</v>
      </c>
      <c r="W322" s="798" t="s">
        <v>67</v>
      </c>
    </row>
    <row r="323" spans="1:23" ht="12" customHeight="1" x14ac:dyDescent="0.15"/>
    <row r="324" spans="1:23" ht="12" customHeight="1" x14ac:dyDescent="0.15"/>
    <row r="325" spans="1:23" ht="12" customHeight="1" x14ac:dyDescent="0.15">
      <c r="K325" s="246" t="s">
        <v>86</v>
      </c>
    </row>
    <row r="326" spans="1:23" s="244" customFormat="1" ht="21" customHeight="1" x14ac:dyDescent="0.15">
      <c r="A326" s="1026" t="s">
        <v>153</v>
      </c>
      <c r="B326" s="799" t="s">
        <v>249</v>
      </c>
      <c r="C326" s="790"/>
      <c r="D326" s="790"/>
      <c r="E326" s="790"/>
      <c r="F326" s="790"/>
      <c r="G326" s="790"/>
      <c r="H326" s="790"/>
      <c r="I326" s="790"/>
      <c r="J326" s="790"/>
      <c r="K326" s="790"/>
      <c r="L326" s="790"/>
      <c r="M326" s="790"/>
      <c r="N326" s="790"/>
      <c r="O326" s="790"/>
      <c r="P326" s="790"/>
      <c r="Q326" s="788"/>
      <c r="R326" s="789" t="s">
        <v>248</v>
      </c>
      <c r="S326" s="790"/>
      <c r="T326" s="790"/>
      <c r="U326" s="790"/>
      <c r="V326" s="790"/>
      <c r="W326" s="1029" t="s">
        <v>72</v>
      </c>
    </row>
    <row r="327" spans="1:23" s="244" customFormat="1" ht="21" customHeight="1" x14ac:dyDescent="0.15">
      <c r="A327" s="1027"/>
      <c r="B327" s="789" t="s">
        <v>244</v>
      </c>
      <c r="C327" s="790"/>
      <c r="D327" s="790"/>
      <c r="E327" s="790"/>
      <c r="F327" s="790"/>
      <c r="G327" s="790"/>
      <c r="H327" s="790"/>
      <c r="I327" s="790"/>
      <c r="J327" s="790"/>
      <c r="K327" s="790"/>
      <c r="L327" s="788"/>
      <c r="M327" s="789" t="s">
        <v>237</v>
      </c>
      <c r="N327" s="790"/>
      <c r="O327" s="788"/>
      <c r="P327" s="789" t="s">
        <v>220</v>
      </c>
      <c r="Q327" s="788"/>
      <c r="R327" s="1032" t="s">
        <v>933</v>
      </c>
      <c r="S327" s="789" t="s">
        <v>244</v>
      </c>
      <c r="T327" s="790"/>
      <c r="U327" s="790"/>
      <c r="V327" s="790"/>
      <c r="W327" s="1030"/>
    </row>
    <row r="328" spans="1:23" s="244" customFormat="1" ht="52.5" customHeight="1" x14ac:dyDescent="0.15">
      <c r="A328" s="1028"/>
      <c r="B328" s="530" t="s">
        <v>920</v>
      </c>
      <c r="C328" s="245" t="s">
        <v>235</v>
      </c>
      <c r="D328" s="245" t="s">
        <v>929</v>
      </c>
      <c r="E328" s="245" t="s">
        <v>233</v>
      </c>
      <c r="F328" s="245" t="s">
        <v>231</v>
      </c>
      <c r="G328" s="245" t="s">
        <v>714</v>
      </c>
      <c r="H328" s="245" t="s">
        <v>243</v>
      </c>
      <c r="I328" s="245" t="s">
        <v>242</v>
      </c>
      <c r="J328" s="245" t="s">
        <v>241</v>
      </c>
      <c r="K328" s="245" t="s">
        <v>230</v>
      </c>
      <c r="L328" s="248" t="s">
        <v>925</v>
      </c>
      <c r="M328" s="530" t="s">
        <v>96</v>
      </c>
      <c r="N328" s="245" t="s">
        <v>252</v>
      </c>
      <c r="O328" s="245" t="s">
        <v>223</v>
      </c>
      <c r="P328" s="530" t="s">
        <v>45</v>
      </c>
      <c r="Q328" s="245" t="s">
        <v>215</v>
      </c>
      <c r="R328" s="1033"/>
      <c r="S328" s="530" t="s">
        <v>920</v>
      </c>
      <c r="T328" s="245" t="s">
        <v>235</v>
      </c>
      <c r="U328" s="245" t="s">
        <v>921</v>
      </c>
      <c r="V328" s="247" t="s">
        <v>233</v>
      </c>
      <c r="W328" s="1031"/>
    </row>
    <row r="329" spans="1:23" s="241" customFormat="1" ht="9.75" customHeight="1" x14ac:dyDescent="0.15">
      <c r="A329" s="645" t="s">
        <v>831</v>
      </c>
      <c r="B329" s="792">
        <v>1354736</v>
      </c>
      <c r="C329" s="793">
        <v>1146</v>
      </c>
      <c r="D329" s="793" t="s">
        <v>796</v>
      </c>
      <c r="E329" s="793" t="s">
        <v>796</v>
      </c>
      <c r="F329" s="793" t="s">
        <v>796</v>
      </c>
      <c r="G329" s="793">
        <v>172322</v>
      </c>
      <c r="H329" s="793">
        <v>24630</v>
      </c>
      <c r="I329" s="793">
        <v>174803</v>
      </c>
      <c r="J329" s="793">
        <v>323745</v>
      </c>
      <c r="K329" s="793">
        <v>266886</v>
      </c>
      <c r="L329" s="793">
        <v>391204</v>
      </c>
      <c r="M329" s="793">
        <v>7633543</v>
      </c>
      <c r="N329" s="793">
        <v>823301</v>
      </c>
      <c r="O329" s="793">
        <v>6810242</v>
      </c>
      <c r="P329" s="793">
        <v>897333</v>
      </c>
      <c r="Q329" s="793">
        <v>897333</v>
      </c>
      <c r="R329" s="793">
        <v>8247619</v>
      </c>
      <c r="S329" s="793">
        <v>708716</v>
      </c>
      <c r="T329" s="793">
        <v>1146</v>
      </c>
      <c r="U329" s="793" t="s">
        <v>796</v>
      </c>
      <c r="V329" s="793" t="s">
        <v>796</v>
      </c>
      <c r="W329" s="794" t="s">
        <v>517</v>
      </c>
    </row>
    <row r="330" spans="1:23" s="241" customFormat="1" ht="9.75" customHeight="1" x14ac:dyDescent="0.15">
      <c r="A330" s="448" t="s">
        <v>557</v>
      </c>
      <c r="B330" s="241">
        <v>1097387</v>
      </c>
      <c r="C330" s="241">
        <v>793</v>
      </c>
      <c r="D330" s="241">
        <v>109</v>
      </c>
      <c r="E330" s="241" t="s">
        <v>796</v>
      </c>
      <c r="F330" s="241" t="s">
        <v>796</v>
      </c>
      <c r="G330" s="241">
        <v>156003</v>
      </c>
      <c r="H330" s="241" t="s">
        <v>796</v>
      </c>
      <c r="I330" s="241">
        <v>91343</v>
      </c>
      <c r="J330" s="241">
        <v>554091</v>
      </c>
      <c r="K330" s="241">
        <v>156810</v>
      </c>
      <c r="L330" s="241">
        <v>138238</v>
      </c>
      <c r="M330" s="241">
        <v>8503648</v>
      </c>
      <c r="N330" s="241">
        <v>1213152</v>
      </c>
      <c r="O330" s="241">
        <v>7290496</v>
      </c>
      <c r="P330" s="241">
        <v>781827</v>
      </c>
      <c r="Q330" s="241">
        <v>781827</v>
      </c>
      <c r="R330" s="241">
        <v>8878848</v>
      </c>
      <c r="S330" s="241">
        <v>640169</v>
      </c>
      <c r="T330" s="241">
        <v>793</v>
      </c>
      <c r="U330" s="241">
        <v>109</v>
      </c>
      <c r="V330" s="241" t="s">
        <v>796</v>
      </c>
      <c r="W330" s="242" t="s">
        <v>558</v>
      </c>
    </row>
    <row r="331" spans="1:23" s="241" customFormat="1" ht="9.75" customHeight="1" x14ac:dyDescent="0.15">
      <c r="A331" s="448" t="s">
        <v>682</v>
      </c>
      <c r="B331" s="241">
        <v>1248557</v>
      </c>
      <c r="C331" s="241">
        <v>38174</v>
      </c>
      <c r="D331" s="241" t="s">
        <v>796</v>
      </c>
      <c r="E331" s="241" t="s">
        <v>796</v>
      </c>
      <c r="F331" s="241">
        <v>440</v>
      </c>
      <c r="G331" s="241">
        <v>138621</v>
      </c>
      <c r="H331" s="241">
        <v>46551</v>
      </c>
      <c r="I331" s="241">
        <v>169249</v>
      </c>
      <c r="J331" s="241">
        <v>452105</v>
      </c>
      <c r="K331" s="241">
        <v>183434</v>
      </c>
      <c r="L331" s="241">
        <v>219983</v>
      </c>
      <c r="M331" s="241">
        <v>8332330</v>
      </c>
      <c r="N331" s="241">
        <v>1554954</v>
      </c>
      <c r="O331" s="241">
        <v>6777376</v>
      </c>
      <c r="P331" s="241">
        <v>1188340</v>
      </c>
      <c r="Q331" s="241">
        <v>1188340</v>
      </c>
      <c r="R331" s="241">
        <v>8994285</v>
      </c>
      <c r="S331" s="241">
        <v>796488</v>
      </c>
      <c r="T331" s="241">
        <v>24122</v>
      </c>
      <c r="U331" s="241" t="s">
        <v>796</v>
      </c>
      <c r="V331" s="241" t="s">
        <v>796</v>
      </c>
      <c r="W331" s="242" t="s">
        <v>683</v>
      </c>
    </row>
    <row r="332" spans="1:23" s="241" customFormat="1" ht="9.75" customHeight="1" x14ac:dyDescent="0.15">
      <c r="A332" s="448" t="s">
        <v>784</v>
      </c>
      <c r="B332" s="241">
        <v>520519</v>
      </c>
      <c r="C332" s="241" t="s">
        <v>796</v>
      </c>
      <c r="D332" s="241">
        <v>587</v>
      </c>
      <c r="E332" s="241" t="s">
        <v>796</v>
      </c>
      <c r="F332" s="241" t="s">
        <v>796</v>
      </c>
      <c r="G332" s="241">
        <v>10822</v>
      </c>
      <c r="H332" s="241" t="s">
        <v>796</v>
      </c>
      <c r="I332" s="241" t="s">
        <v>796</v>
      </c>
      <c r="J332" s="241">
        <v>256325</v>
      </c>
      <c r="K332" s="241">
        <v>183060</v>
      </c>
      <c r="L332" s="241">
        <v>69725</v>
      </c>
      <c r="M332" s="241">
        <v>8736855</v>
      </c>
      <c r="N332" s="241">
        <v>1769528</v>
      </c>
      <c r="O332" s="241">
        <v>6967327</v>
      </c>
      <c r="P332" s="241">
        <v>1296573</v>
      </c>
      <c r="Q332" s="241">
        <v>1296573</v>
      </c>
      <c r="R332" s="241">
        <v>8684766</v>
      </c>
      <c r="S332" s="241">
        <v>356871</v>
      </c>
      <c r="T332" s="241" t="s">
        <v>796</v>
      </c>
      <c r="U332" s="241">
        <v>587</v>
      </c>
      <c r="V332" s="241" t="s">
        <v>796</v>
      </c>
      <c r="W332" s="242" t="s">
        <v>785</v>
      </c>
    </row>
    <row r="333" spans="1:23" s="241" customFormat="1" ht="9.75" customHeight="1" x14ac:dyDescent="0.15">
      <c r="A333" s="448" t="s">
        <v>832</v>
      </c>
      <c r="B333" s="241">
        <v>461200</v>
      </c>
      <c r="C333" s="241" t="s">
        <v>796</v>
      </c>
      <c r="D333" s="241" t="s">
        <v>796</v>
      </c>
      <c r="E333" s="241">
        <v>646</v>
      </c>
      <c r="F333" s="241">
        <v>419</v>
      </c>
      <c r="G333" s="241" t="s">
        <v>796</v>
      </c>
      <c r="H333" s="241" t="s">
        <v>796</v>
      </c>
      <c r="I333" s="241">
        <v>22047</v>
      </c>
      <c r="J333" s="241">
        <v>328695</v>
      </c>
      <c r="K333" s="241">
        <v>109393</v>
      </c>
      <c r="L333" s="241" t="s">
        <v>796</v>
      </c>
      <c r="M333" s="241">
        <v>8845920</v>
      </c>
      <c r="N333" s="241">
        <v>2058238</v>
      </c>
      <c r="O333" s="241">
        <v>6787682</v>
      </c>
      <c r="P333" s="241">
        <v>1088041</v>
      </c>
      <c r="Q333" s="241">
        <v>1088041</v>
      </c>
      <c r="R333" s="241">
        <v>8533388</v>
      </c>
      <c r="S333" s="241">
        <v>290451</v>
      </c>
      <c r="T333" s="241" t="s">
        <v>796</v>
      </c>
      <c r="U333" s="241" t="s">
        <v>796</v>
      </c>
      <c r="V333" s="241">
        <v>646</v>
      </c>
      <c r="W333" s="242" t="s">
        <v>833</v>
      </c>
    </row>
    <row r="334" spans="1:23" s="241" customFormat="1" ht="6.75" customHeight="1" x14ac:dyDescent="0.15">
      <c r="A334" s="464"/>
      <c r="W334" s="242"/>
    </row>
    <row r="335" spans="1:23" s="241" customFormat="1" ht="9.75" customHeight="1" x14ac:dyDescent="0.15">
      <c r="A335" s="448" t="s">
        <v>834</v>
      </c>
      <c r="B335" s="241">
        <v>531335</v>
      </c>
      <c r="C335" s="241" t="s">
        <v>796</v>
      </c>
      <c r="D335" s="241">
        <v>587</v>
      </c>
      <c r="E335" s="241" t="s">
        <v>796</v>
      </c>
      <c r="F335" s="241" t="s">
        <v>796</v>
      </c>
      <c r="G335" s="241">
        <v>10822</v>
      </c>
      <c r="H335" s="241" t="s">
        <v>796</v>
      </c>
      <c r="I335" s="241">
        <v>22047</v>
      </c>
      <c r="J335" s="241">
        <v>288351</v>
      </c>
      <c r="K335" s="241">
        <v>139803</v>
      </c>
      <c r="L335" s="241">
        <v>69725</v>
      </c>
      <c r="M335" s="241">
        <v>8352985</v>
      </c>
      <c r="N335" s="241">
        <v>1881329</v>
      </c>
      <c r="O335" s="241">
        <v>6471656</v>
      </c>
      <c r="P335" s="241">
        <v>1449709</v>
      </c>
      <c r="Q335" s="241">
        <v>1449709</v>
      </c>
      <c r="R335" s="241">
        <v>8458944</v>
      </c>
      <c r="S335" s="241">
        <v>343384</v>
      </c>
      <c r="T335" s="241" t="s">
        <v>796</v>
      </c>
      <c r="U335" s="241">
        <v>587</v>
      </c>
      <c r="V335" s="241" t="s">
        <v>796</v>
      </c>
      <c r="W335" s="242" t="s">
        <v>786</v>
      </c>
    </row>
    <row r="336" spans="1:23" s="241" customFormat="1" ht="9.75" customHeight="1" x14ac:dyDescent="0.15">
      <c r="A336" s="448" t="s">
        <v>835</v>
      </c>
      <c r="B336" s="241">
        <v>420349</v>
      </c>
      <c r="C336" s="241" t="s">
        <v>796</v>
      </c>
      <c r="D336" s="241" t="s">
        <v>796</v>
      </c>
      <c r="E336" s="241">
        <v>45547</v>
      </c>
      <c r="F336" s="241">
        <v>419</v>
      </c>
      <c r="G336" s="241" t="s">
        <v>796</v>
      </c>
      <c r="H336" s="241" t="s">
        <v>796</v>
      </c>
      <c r="I336" s="241" t="s">
        <v>796</v>
      </c>
      <c r="J336" s="241">
        <v>159630</v>
      </c>
      <c r="K336" s="241">
        <v>154724</v>
      </c>
      <c r="L336" s="241">
        <v>60029</v>
      </c>
      <c r="M336" s="241">
        <v>8992767</v>
      </c>
      <c r="N336" s="241">
        <v>2196636</v>
      </c>
      <c r="O336" s="241">
        <v>6796131</v>
      </c>
      <c r="P336" s="241">
        <v>964797</v>
      </c>
      <c r="Q336" s="241">
        <v>964797</v>
      </c>
      <c r="R336" s="241">
        <v>8583555</v>
      </c>
      <c r="S336" s="241">
        <v>223241</v>
      </c>
      <c r="T336" s="241" t="s">
        <v>796</v>
      </c>
      <c r="U336" s="241" t="s">
        <v>796</v>
      </c>
      <c r="V336" s="241">
        <v>33371</v>
      </c>
      <c r="W336" s="242" t="s">
        <v>836</v>
      </c>
    </row>
    <row r="337" spans="1:23" s="241" customFormat="1" ht="6.75" customHeight="1" x14ac:dyDescent="0.15">
      <c r="A337" s="464"/>
      <c r="W337" s="242"/>
    </row>
    <row r="338" spans="1:23" s="241" customFormat="1" ht="9.75" customHeight="1" x14ac:dyDescent="0.15">
      <c r="A338" s="448" t="s">
        <v>837</v>
      </c>
      <c r="B338" s="241">
        <v>237735</v>
      </c>
      <c r="C338" s="241" t="s">
        <v>796</v>
      </c>
      <c r="D338" s="241" t="s">
        <v>796</v>
      </c>
      <c r="E338" s="241" t="s">
        <v>796</v>
      </c>
      <c r="F338" s="241" t="s">
        <v>796</v>
      </c>
      <c r="G338" s="241" t="s">
        <v>796</v>
      </c>
      <c r="H338" s="241" t="s">
        <v>796</v>
      </c>
      <c r="I338" s="241">
        <v>22047</v>
      </c>
      <c r="J338" s="241">
        <v>169065</v>
      </c>
      <c r="K338" s="241">
        <v>46623</v>
      </c>
      <c r="L338" s="241" t="s">
        <v>796</v>
      </c>
      <c r="M338" s="241">
        <v>2464908</v>
      </c>
      <c r="N338" s="241">
        <v>485270</v>
      </c>
      <c r="O338" s="241">
        <v>1979638</v>
      </c>
      <c r="P338" s="241">
        <v>368815</v>
      </c>
      <c r="Q338" s="241">
        <v>368815</v>
      </c>
      <c r="R338" s="241">
        <v>2601524</v>
      </c>
      <c r="S338" s="241">
        <v>189387</v>
      </c>
      <c r="T338" s="241" t="s">
        <v>796</v>
      </c>
      <c r="U338" s="241" t="s">
        <v>796</v>
      </c>
      <c r="V338" s="241" t="s">
        <v>796</v>
      </c>
      <c r="W338" s="242" t="s">
        <v>787</v>
      </c>
    </row>
    <row r="339" spans="1:23" s="241" customFormat="1" ht="9.75" customHeight="1" x14ac:dyDescent="0.15">
      <c r="A339" s="448" t="s">
        <v>559</v>
      </c>
      <c r="B339" s="241">
        <v>215615</v>
      </c>
      <c r="C339" s="241" t="s">
        <v>796</v>
      </c>
      <c r="D339" s="241" t="s">
        <v>796</v>
      </c>
      <c r="E339" s="241" t="s">
        <v>796</v>
      </c>
      <c r="F339" s="241">
        <v>215</v>
      </c>
      <c r="G339" s="241" t="s">
        <v>796</v>
      </c>
      <c r="H339" s="241" t="s">
        <v>796</v>
      </c>
      <c r="I339" s="241" t="s">
        <v>796</v>
      </c>
      <c r="J339" s="241">
        <v>152630</v>
      </c>
      <c r="K339" s="241">
        <v>62770</v>
      </c>
      <c r="L339" s="241" t="s">
        <v>796</v>
      </c>
      <c r="M339" s="241">
        <v>2034609</v>
      </c>
      <c r="N339" s="241">
        <v>529451</v>
      </c>
      <c r="O339" s="241">
        <v>1505158</v>
      </c>
      <c r="P339" s="241">
        <v>243985</v>
      </c>
      <c r="Q339" s="241">
        <v>243985</v>
      </c>
      <c r="R339" s="241">
        <v>1981587</v>
      </c>
      <c r="S339" s="241">
        <v>100214</v>
      </c>
      <c r="T339" s="241" t="s">
        <v>796</v>
      </c>
      <c r="U339" s="241" t="s">
        <v>796</v>
      </c>
      <c r="V339" s="241" t="s">
        <v>796</v>
      </c>
      <c r="W339" s="242" t="s">
        <v>78</v>
      </c>
    </row>
    <row r="340" spans="1:23" s="241" customFormat="1" ht="9.75" customHeight="1" x14ac:dyDescent="0.15">
      <c r="A340" s="448" t="s">
        <v>560</v>
      </c>
      <c r="B340" s="241">
        <v>6355</v>
      </c>
      <c r="C340" s="241" t="s">
        <v>796</v>
      </c>
      <c r="D340" s="241" t="s">
        <v>796</v>
      </c>
      <c r="E340" s="241" t="s">
        <v>796</v>
      </c>
      <c r="F340" s="241" t="s">
        <v>796</v>
      </c>
      <c r="G340" s="241" t="s">
        <v>796</v>
      </c>
      <c r="H340" s="241" t="s">
        <v>796</v>
      </c>
      <c r="I340" s="241" t="s">
        <v>796</v>
      </c>
      <c r="J340" s="241">
        <v>6355</v>
      </c>
      <c r="K340" s="241" t="s">
        <v>796</v>
      </c>
      <c r="L340" s="241" t="s">
        <v>796</v>
      </c>
      <c r="M340" s="241">
        <v>1825068</v>
      </c>
      <c r="N340" s="241">
        <v>477004</v>
      </c>
      <c r="O340" s="241">
        <v>1348064</v>
      </c>
      <c r="P340" s="241">
        <v>225003</v>
      </c>
      <c r="Q340" s="241">
        <v>225003</v>
      </c>
      <c r="R340" s="241">
        <v>1675580</v>
      </c>
      <c r="S340" s="241" t="s">
        <v>796</v>
      </c>
      <c r="T340" s="241" t="s">
        <v>796</v>
      </c>
      <c r="U340" s="241" t="s">
        <v>796</v>
      </c>
      <c r="V340" s="241" t="s">
        <v>796</v>
      </c>
      <c r="W340" s="242" t="s">
        <v>79</v>
      </c>
    </row>
    <row r="341" spans="1:23" s="241" customFormat="1" ht="9.75" customHeight="1" x14ac:dyDescent="0.15">
      <c r="A341" s="448" t="s">
        <v>561</v>
      </c>
      <c r="B341" s="241">
        <v>1495</v>
      </c>
      <c r="C341" s="241" t="s">
        <v>796</v>
      </c>
      <c r="D341" s="241" t="s">
        <v>796</v>
      </c>
      <c r="E341" s="241">
        <v>646</v>
      </c>
      <c r="F341" s="241">
        <v>204</v>
      </c>
      <c r="G341" s="241" t="s">
        <v>796</v>
      </c>
      <c r="H341" s="241" t="s">
        <v>796</v>
      </c>
      <c r="I341" s="241" t="s">
        <v>796</v>
      </c>
      <c r="J341" s="241">
        <v>645</v>
      </c>
      <c r="K341" s="241" t="s">
        <v>796</v>
      </c>
      <c r="L341" s="241" t="s">
        <v>796</v>
      </c>
      <c r="M341" s="241">
        <v>2521335</v>
      </c>
      <c r="N341" s="241">
        <v>566513</v>
      </c>
      <c r="O341" s="241">
        <v>1954822</v>
      </c>
      <c r="P341" s="241">
        <v>250238</v>
      </c>
      <c r="Q341" s="241">
        <v>250238</v>
      </c>
      <c r="R341" s="241">
        <v>2274697</v>
      </c>
      <c r="S341" s="241">
        <v>850</v>
      </c>
      <c r="T341" s="241" t="s">
        <v>796</v>
      </c>
      <c r="U341" s="241" t="s">
        <v>796</v>
      </c>
      <c r="V341" s="241">
        <v>646</v>
      </c>
      <c r="W341" s="242" t="s">
        <v>80</v>
      </c>
    </row>
    <row r="342" spans="1:23" s="241" customFormat="1" ht="9.75" customHeight="1" x14ac:dyDescent="0.15">
      <c r="A342" s="448" t="s">
        <v>838</v>
      </c>
      <c r="B342" s="241">
        <v>196884</v>
      </c>
      <c r="C342" s="241" t="s">
        <v>796</v>
      </c>
      <c r="D342" s="241" t="s">
        <v>796</v>
      </c>
      <c r="E342" s="241">
        <v>44901</v>
      </c>
      <c r="F342" s="241" t="s">
        <v>796</v>
      </c>
      <c r="G342" s="241" t="s">
        <v>796</v>
      </c>
      <c r="H342" s="241" t="s">
        <v>796</v>
      </c>
      <c r="I342" s="241" t="s">
        <v>796</v>
      </c>
      <c r="J342" s="241" t="s">
        <v>796</v>
      </c>
      <c r="K342" s="241">
        <v>91954</v>
      </c>
      <c r="L342" s="241">
        <v>60029</v>
      </c>
      <c r="M342" s="241">
        <v>2611755</v>
      </c>
      <c r="N342" s="241">
        <v>623668</v>
      </c>
      <c r="O342" s="241">
        <v>1988087</v>
      </c>
      <c r="P342" s="241">
        <v>245571</v>
      </c>
      <c r="Q342" s="241">
        <v>245571</v>
      </c>
      <c r="R342" s="241">
        <v>2651691</v>
      </c>
      <c r="S342" s="241">
        <v>122177</v>
      </c>
      <c r="T342" s="241" t="s">
        <v>796</v>
      </c>
      <c r="U342" s="241" t="s">
        <v>796</v>
      </c>
      <c r="V342" s="241">
        <v>32725</v>
      </c>
      <c r="W342" s="242" t="s">
        <v>839</v>
      </c>
    </row>
    <row r="343" spans="1:23" s="241" customFormat="1" ht="6.75" customHeight="1" x14ac:dyDescent="0.15">
      <c r="A343" s="464"/>
      <c r="W343" s="242"/>
    </row>
    <row r="344" spans="1:23" s="241" customFormat="1" ht="9.75" customHeight="1" x14ac:dyDescent="0.15">
      <c r="A344" s="448" t="s">
        <v>840</v>
      </c>
      <c r="B344" s="241">
        <v>46623</v>
      </c>
      <c r="C344" s="241" t="s">
        <v>796</v>
      </c>
      <c r="D344" s="241" t="s">
        <v>796</v>
      </c>
      <c r="E344" s="241" t="s">
        <v>796</v>
      </c>
      <c r="F344" s="241" t="s">
        <v>796</v>
      </c>
      <c r="G344" s="241" t="s">
        <v>796</v>
      </c>
      <c r="H344" s="241" t="s">
        <v>796</v>
      </c>
      <c r="I344" s="241" t="s">
        <v>796</v>
      </c>
      <c r="J344" s="241" t="s">
        <v>796</v>
      </c>
      <c r="K344" s="241">
        <v>46623</v>
      </c>
      <c r="L344" s="241" t="s">
        <v>796</v>
      </c>
      <c r="M344" s="241">
        <v>1081714</v>
      </c>
      <c r="N344" s="241">
        <v>208321</v>
      </c>
      <c r="O344" s="241">
        <v>873393</v>
      </c>
      <c r="P344" s="241">
        <v>151520</v>
      </c>
      <c r="Q344" s="241">
        <v>151520</v>
      </c>
      <c r="R344" s="241">
        <v>1087739</v>
      </c>
      <c r="S344" s="241">
        <v>46623</v>
      </c>
      <c r="T344" s="241" t="s">
        <v>796</v>
      </c>
      <c r="U344" s="241" t="s">
        <v>796</v>
      </c>
      <c r="V344" s="241" t="s">
        <v>796</v>
      </c>
      <c r="W344" s="242" t="s">
        <v>788</v>
      </c>
    </row>
    <row r="345" spans="1:23" s="241" customFormat="1" ht="9.75" customHeight="1" x14ac:dyDescent="0.15">
      <c r="A345" s="448" t="s">
        <v>562</v>
      </c>
      <c r="B345" s="241">
        <v>72650</v>
      </c>
      <c r="C345" s="241" t="s">
        <v>796</v>
      </c>
      <c r="D345" s="241" t="s">
        <v>796</v>
      </c>
      <c r="E345" s="241" t="s">
        <v>796</v>
      </c>
      <c r="F345" s="241" t="s">
        <v>796</v>
      </c>
      <c r="G345" s="241" t="s">
        <v>796</v>
      </c>
      <c r="H345" s="241" t="s">
        <v>796</v>
      </c>
      <c r="I345" s="241" t="s">
        <v>796</v>
      </c>
      <c r="J345" s="241">
        <v>72650</v>
      </c>
      <c r="K345" s="241" t="s">
        <v>796</v>
      </c>
      <c r="L345" s="241" t="s">
        <v>796</v>
      </c>
      <c r="M345" s="241">
        <v>641004</v>
      </c>
      <c r="N345" s="241">
        <v>61081</v>
      </c>
      <c r="O345" s="241">
        <v>579923</v>
      </c>
      <c r="P345" s="241">
        <v>133061</v>
      </c>
      <c r="Q345" s="241">
        <v>133061</v>
      </c>
      <c r="R345" s="241">
        <v>662549</v>
      </c>
      <c r="S345" s="241">
        <v>29845</v>
      </c>
      <c r="T345" s="241" t="s">
        <v>796</v>
      </c>
      <c r="U345" s="241" t="s">
        <v>796</v>
      </c>
      <c r="V345" s="241" t="s">
        <v>796</v>
      </c>
      <c r="W345" s="242" t="s">
        <v>66</v>
      </c>
    </row>
    <row r="346" spans="1:23" s="241" customFormat="1" ht="9.75" customHeight="1" x14ac:dyDescent="0.15">
      <c r="A346" s="448" t="s">
        <v>563</v>
      </c>
      <c r="B346" s="241">
        <v>118462</v>
      </c>
      <c r="C346" s="241" t="s">
        <v>796</v>
      </c>
      <c r="D346" s="241" t="s">
        <v>796</v>
      </c>
      <c r="E346" s="241" t="s">
        <v>796</v>
      </c>
      <c r="F346" s="241" t="s">
        <v>796</v>
      </c>
      <c r="G346" s="241" t="s">
        <v>796</v>
      </c>
      <c r="H346" s="241" t="s">
        <v>796</v>
      </c>
      <c r="I346" s="241">
        <v>22047</v>
      </c>
      <c r="J346" s="241">
        <v>96415</v>
      </c>
      <c r="K346" s="241" t="s">
        <v>796</v>
      </c>
      <c r="L346" s="241" t="s">
        <v>796</v>
      </c>
      <c r="M346" s="241">
        <v>742190</v>
      </c>
      <c r="N346" s="241">
        <v>215868</v>
      </c>
      <c r="O346" s="241">
        <v>526322</v>
      </c>
      <c r="P346" s="241">
        <v>84234</v>
      </c>
      <c r="Q346" s="241">
        <v>84234</v>
      </c>
      <c r="R346" s="241">
        <v>851236</v>
      </c>
      <c r="S346" s="241">
        <v>112919</v>
      </c>
      <c r="T346" s="241" t="s">
        <v>796</v>
      </c>
      <c r="U346" s="241" t="s">
        <v>796</v>
      </c>
      <c r="V346" s="241" t="s">
        <v>796</v>
      </c>
      <c r="W346" s="242" t="s">
        <v>67</v>
      </c>
    </row>
    <row r="347" spans="1:23" s="241" customFormat="1" ht="9.75" customHeight="1" x14ac:dyDescent="0.15">
      <c r="A347" s="448" t="s">
        <v>564</v>
      </c>
      <c r="B347" s="241">
        <v>102358</v>
      </c>
      <c r="C347" s="241" t="s">
        <v>796</v>
      </c>
      <c r="D347" s="241" t="s">
        <v>796</v>
      </c>
      <c r="E347" s="241" t="s">
        <v>796</v>
      </c>
      <c r="F347" s="241" t="s">
        <v>796</v>
      </c>
      <c r="G347" s="241" t="s">
        <v>796</v>
      </c>
      <c r="H347" s="241" t="s">
        <v>796</v>
      </c>
      <c r="I347" s="241" t="s">
        <v>796</v>
      </c>
      <c r="J347" s="241">
        <v>57588</v>
      </c>
      <c r="K347" s="241">
        <v>44770</v>
      </c>
      <c r="L347" s="241" t="s">
        <v>796</v>
      </c>
      <c r="M347" s="241">
        <v>748574</v>
      </c>
      <c r="N347" s="241">
        <v>190990</v>
      </c>
      <c r="O347" s="241">
        <v>557584</v>
      </c>
      <c r="P347" s="241">
        <v>98235</v>
      </c>
      <c r="Q347" s="241">
        <v>98235</v>
      </c>
      <c r="R347" s="241">
        <v>769649</v>
      </c>
      <c r="S347" s="241">
        <v>53602</v>
      </c>
      <c r="T347" s="241" t="s">
        <v>796</v>
      </c>
      <c r="U347" s="241" t="s">
        <v>796</v>
      </c>
      <c r="V347" s="241" t="s">
        <v>796</v>
      </c>
      <c r="W347" s="242" t="s">
        <v>68</v>
      </c>
    </row>
    <row r="348" spans="1:23" s="241" customFormat="1" ht="9.75" customHeight="1" x14ac:dyDescent="0.15">
      <c r="A348" s="448" t="s">
        <v>565</v>
      </c>
      <c r="B348" s="241">
        <v>7800</v>
      </c>
      <c r="C348" s="241" t="s">
        <v>796</v>
      </c>
      <c r="D348" s="241" t="s">
        <v>796</v>
      </c>
      <c r="E348" s="241" t="s">
        <v>796</v>
      </c>
      <c r="F348" s="241" t="s">
        <v>796</v>
      </c>
      <c r="G348" s="241" t="s">
        <v>796</v>
      </c>
      <c r="H348" s="241" t="s">
        <v>796</v>
      </c>
      <c r="I348" s="241" t="s">
        <v>796</v>
      </c>
      <c r="J348" s="241" t="s">
        <v>796</v>
      </c>
      <c r="K348" s="241">
        <v>7800</v>
      </c>
      <c r="L348" s="241" t="s">
        <v>796</v>
      </c>
      <c r="M348" s="241">
        <v>751883</v>
      </c>
      <c r="N348" s="241">
        <v>185661</v>
      </c>
      <c r="O348" s="241">
        <v>566222</v>
      </c>
      <c r="P348" s="241">
        <v>100041</v>
      </c>
      <c r="Q348" s="241">
        <v>100041</v>
      </c>
      <c r="R348" s="241">
        <v>668950</v>
      </c>
      <c r="S348" s="241" t="s">
        <v>796</v>
      </c>
      <c r="T348" s="241" t="s">
        <v>796</v>
      </c>
      <c r="U348" s="241" t="s">
        <v>796</v>
      </c>
      <c r="V348" s="241" t="s">
        <v>796</v>
      </c>
      <c r="W348" s="242" t="s">
        <v>81</v>
      </c>
    </row>
    <row r="349" spans="1:23" s="241" customFormat="1" ht="9.75" customHeight="1" x14ac:dyDescent="0.15">
      <c r="A349" s="448" t="s">
        <v>566</v>
      </c>
      <c r="B349" s="241">
        <v>105457</v>
      </c>
      <c r="C349" s="241" t="s">
        <v>796</v>
      </c>
      <c r="D349" s="241" t="s">
        <v>796</v>
      </c>
      <c r="E349" s="241" t="s">
        <v>796</v>
      </c>
      <c r="F349" s="241">
        <v>215</v>
      </c>
      <c r="G349" s="241" t="s">
        <v>796</v>
      </c>
      <c r="H349" s="241" t="s">
        <v>796</v>
      </c>
      <c r="I349" s="241" t="s">
        <v>796</v>
      </c>
      <c r="J349" s="241">
        <v>95042</v>
      </c>
      <c r="K349" s="241">
        <v>10200</v>
      </c>
      <c r="L349" s="241" t="s">
        <v>796</v>
      </c>
      <c r="M349" s="241">
        <v>534152</v>
      </c>
      <c r="N349" s="241">
        <v>152800</v>
      </c>
      <c r="O349" s="241">
        <v>381352</v>
      </c>
      <c r="P349" s="241">
        <v>45709</v>
      </c>
      <c r="Q349" s="241">
        <v>45709</v>
      </c>
      <c r="R349" s="241">
        <v>542988</v>
      </c>
      <c r="S349" s="241">
        <v>46612</v>
      </c>
      <c r="T349" s="241" t="s">
        <v>796</v>
      </c>
      <c r="U349" s="241" t="s">
        <v>796</v>
      </c>
      <c r="V349" s="241" t="s">
        <v>796</v>
      </c>
      <c r="W349" s="242" t="s">
        <v>82</v>
      </c>
    </row>
    <row r="350" spans="1:23" s="241" customFormat="1" ht="9.75" customHeight="1" x14ac:dyDescent="0.15">
      <c r="A350" s="448" t="s">
        <v>567</v>
      </c>
      <c r="B350" s="241" t="s">
        <v>796</v>
      </c>
      <c r="C350" s="241" t="s">
        <v>796</v>
      </c>
      <c r="D350" s="241" t="s">
        <v>796</v>
      </c>
      <c r="E350" s="241" t="s">
        <v>796</v>
      </c>
      <c r="F350" s="241" t="s">
        <v>796</v>
      </c>
      <c r="G350" s="241" t="s">
        <v>796</v>
      </c>
      <c r="H350" s="241" t="s">
        <v>796</v>
      </c>
      <c r="I350" s="241" t="s">
        <v>796</v>
      </c>
      <c r="J350" s="241" t="s">
        <v>796</v>
      </c>
      <c r="K350" s="241" t="s">
        <v>796</v>
      </c>
      <c r="L350" s="241" t="s">
        <v>796</v>
      </c>
      <c r="M350" s="241">
        <v>632786</v>
      </c>
      <c r="N350" s="241">
        <v>151460</v>
      </c>
      <c r="O350" s="241">
        <v>481326</v>
      </c>
      <c r="P350" s="241">
        <v>89239</v>
      </c>
      <c r="Q350" s="241">
        <v>89239</v>
      </c>
      <c r="R350" s="241">
        <v>611521</v>
      </c>
      <c r="S350" s="241" t="s">
        <v>796</v>
      </c>
      <c r="T350" s="241" t="s">
        <v>796</v>
      </c>
      <c r="U350" s="241" t="s">
        <v>796</v>
      </c>
      <c r="V350" s="241" t="s">
        <v>796</v>
      </c>
      <c r="W350" s="242" t="s">
        <v>83</v>
      </c>
    </row>
    <row r="351" spans="1:23" s="241" customFormat="1" ht="9.75" customHeight="1" x14ac:dyDescent="0.15">
      <c r="A351" s="448" t="s">
        <v>568</v>
      </c>
      <c r="B351" s="241" t="s">
        <v>796</v>
      </c>
      <c r="C351" s="241" t="s">
        <v>796</v>
      </c>
      <c r="D351" s="241" t="s">
        <v>796</v>
      </c>
      <c r="E351" s="241" t="s">
        <v>796</v>
      </c>
      <c r="F351" s="241" t="s">
        <v>796</v>
      </c>
      <c r="G351" s="241" t="s">
        <v>796</v>
      </c>
      <c r="H351" s="241" t="s">
        <v>796</v>
      </c>
      <c r="I351" s="241" t="s">
        <v>796</v>
      </c>
      <c r="J351" s="241" t="s">
        <v>796</v>
      </c>
      <c r="K351" s="241" t="s">
        <v>796</v>
      </c>
      <c r="L351" s="241" t="s">
        <v>796</v>
      </c>
      <c r="M351" s="241">
        <v>585584</v>
      </c>
      <c r="N351" s="241">
        <v>110425</v>
      </c>
      <c r="O351" s="241">
        <v>475159</v>
      </c>
      <c r="P351" s="241">
        <v>91936</v>
      </c>
      <c r="Q351" s="241">
        <v>91936</v>
      </c>
      <c r="R351" s="241">
        <v>521884</v>
      </c>
      <c r="S351" s="241" t="s">
        <v>796</v>
      </c>
      <c r="T351" s="241" t="s">
        <v>796</v>
      </c>
      <c r="U351" s="241" t="s">
        <v>796</v>
      </c>
      <c r="V351" s="241" t="s">
        <v>796</v>
      </c>
      <c r="W351" s="242" t="s">
        <v>84</v>
      </c>
    </row>
    <row r="352" spans="1:23" s="241" customFormat="1" ht="9.75" customHeight="1" x14ac:dyDescent="0.15">
      <c r="A352" s="448" t="s">
        <v>569</v>
      </c>
      <c r="B352" s="241">
        <v>6355</v>
      </c>
      <c r="C352" s="241" t="s">
        <v>796</v>
      </c>
      <c r="D352" s="241" t="s">
        <v>796</v>
      </c>
      <c r="E352" s="241" t="s">
        <v>796</v>
      </c>
      <c r="F352" s="241" t="s">
        <v>796</v>
      </c>
      <c r="G352" s="241" t="s">
        <v>796</v>
      </c>
      <c r="H352" s="241" t="s">
        <v>796</v>
      </c>
      <c r="I352" s="241" t="s">
        <v>796</v>
      </c>
      <c r="J352" s="241">
        <v>6355</v>
      </c>
      <c r="K352" s="241" t="s">
        <v>796</v>
      </c>
      <c r="L352" s="241" t="s">
        <v>796</v>
      </c>
      <c r="M352" s="241">
        <v>606698</v>
      </c>
      <c r="N352" s="241">
        <v>215119</v>
      </c>
      <c r="O352" s="241">
        <v>391579</v>
      </c>
      <c r="P352" s="241">
        <v>43828</v>
      </c>
      <c r="Q352" s="241">
        <v>43828</v>
      </c>
      <c r="R352" s="241">
        <v>542175</v>
      </c>
      <c r="S352" s="241" t="s">
        <v>796</v>
      </c>
      <c r="T352" s="241" t="s">
        <v>796</v>
      </c>
      <c r="U352" s="241" t="s">
        <v>796</v>
      </c>
      <c r="V352" s="241" t="s">
        <v>796</v>
      </c>
      <c r="W352" s="242" t="s">
        <v>85</v>
      </c>
    </row>
    <row r="353" spans="1:23" s="241" customFormat="1" ht="9.75" customHeight="1" x14ac:dyDescent="0.15">
      <c r="A353" s="448" t="s">
        <v>570</v>
      </c>
      <c r="B353" s="241">
        <v>1044</v>
      </c>
      <c r="C353" s="241" t="s">
        <v>796</v>
      </c>
      <c r="D353" s="241" t="s">
        <v>796</v>
      </c>
      <c r="E353" s="241">
        <v>399</v>
      </c>
      <c r="F353" s="241" t="s">
        <v>796</v>
      </c>
      <c r="G353" s="241" t="s">
        <v>796</v>
      </c>
      <c r="H353" s="241" t="s">
        <v>796</v>
      </c>
      <c r="I353" s="241" t="s">
        <v>796</v>
      </c>
      <c r="J353" s="241">
        <v>645</v>
      </c>
      <c r="K353" s="241" t="s">
        <v>796</v>
      </c>
      <c r="L353" s="241" t="s">
        <v>796</v>
      </c>
      <c r="M353" s="241">
        <v>666189</v>
      </c>
      <c r="N353" s="241">
        <v>129467</v>
      </c>
      <c r="O353" s="241">
        <v>536722</v>
      </c>
      <c r="P353" s="241">
        <v>90183</v>
      </c>
      <c r="Q353" s="241">
        <v>90183</v>
      </c>
      <c r="R353" s="241">
        <v>596967</v>
      </c>
      <c r="S353" s="241">
        <v>399</v>
      </c>
      <c r="T353" s="241" t="s">
        <v>796</v>
      </c>
      <c r="U353" s="241" t="s">
        <v>796</v>
      </c>
      <c r="V353" s="241">
        <v>399</v>
      </c>
      <c r="W353" s="242" t="s">
        <v>69</v>
      </c>
    </row>
    <row r="354" spans="1:23" s="241" customFormat="1" ht="9.75" customHeight="1" x14ac:dyDescent="0.15">
      <c r="A354" s="448" t="s">
        <v>571</v>
      </c>
      <c r="B354" s="241" t="s">
        <v>796</v>
      </c>
      <c r="C354" s="241" t="s">
        <v>796</v>
      </c>
      <c r="D354" s="241" t="s">
        <v>796</v>
      </c>
      <c r="E354" s="241" t="s">
        <v>796</v>
      </c>
      <c r="F354" s="241" t="s">
        <v>796</v>
      </c>
      <c r="G354" s="241" t="s">
        <v>796</v>
      </c>
      <c r="H354" s="241" t="s">
        <v>796</v>
      </c>
      <c r="I354" s="241" t="s">
        <v>796</v>
      </c>
      <c r="J354" s="241" t="s">
        <v>796</v>
      </c>
      <c r="K354" s="241" t="s">
        <v>796</v>
      </c>
      <c r="L354" s="241" t="s">
        <v>796</v>
      </c>
      <c r="M354" s="241">
        <v>792462</v>
      </c>
      <c r="N354" s="241">
        <v>213759</v>
      </c>
      <c r="O354" s="241">
        <v>578703</v>
      </c>
      <c r="P354" s="241">
        <v>12098</v>
      </c>
      <c r="Q354" s="241">
        <v>12098</v>
      </c>
      <c r="R354" s="241">
        <v>676647</v>
      </c>
      <c r="S354" s="241" t="s">
        <v>796</v>
      </c>
      <c r="T354" s="241" t="s">
        <v>796</v>
      </c>
      <c r="U354" s="241" t="s">
        <v>796</v>
      </c>
      <c r="V354" s="241" t="s">
        <v>796</v>
      </c>
      <c r="W354" s="242" t="s">
        <v>70</v>
      </c>
    </row>
    <row r="355" spans="1:23" s="241" customFormat="1" ht="9.75" customHeight="1" x14ac:dyDescent="0.15">
      <c r="A355" s="448" t="s">
        <v>572</v>
      </c>
      <c r="B355" s="241">
        <v>451</v>
      </c>
      <c r="C355" s="241" t="s">
        <v>796</v>
      </c>
      <c r="D355" s="241" t="s">
        <v>796</v>
      </c>
      <c r="E355" s="241">
        <v>247</v>
      </c>
      <c r="F355" s="241">
        <v>204</v>
      </c>
      <c r="G355" s="241" t="s">
        <v>796</v>
      </c>
      <c r="H355" s="241" t="s">
        <v>796</v>
      </c>
      <c r="I355" s="241" t="s">
        <v>796</v>
      </c>
      <c r="J355" s="241" t="s">
        <v>796</v>
      </c>
      <c r="K355" s="241" t="s">
        <v>796</v>
      </c>
      <c r="L355" s="241" t="s">
        <v>796</v>
      </c>
      <c r="M355" s="241">
        <v>1062684</v>
      </c>
      <c r="N355" s="241">
        <v>223287</v>
      </c>
      <c r="O355" s="241">
        <v>839397</v>
      </c>
      <c r="P355" s="241">
        <v>147957</v>
      </c>
      <c r="Q355" s="241">
        <v>147957</v>
      </c>
      <c r="R355" s="241">
        <v>1001083</v>
      </c>
      <c r="S355" s="241">
        <v>451</v>
      </c>
      <c r="T355" s="241" t="s">
        <v>796</v>
      </c>
      <c r="U355" s="241" t="s">
        <v>796</v>
      </c>
      <c r="V355" s="241">
        <v>247</v>
      </c>
      <c r="W355" s="242" t="s">
        <v>71</v>
      </c>
    </row>
    <row r="356" spans="1:23" s="241" customFormat="1" ht="9.75" customHeight="1" x14ac:dyDescent="0.15">
      <c r="A356" s="448" t="s">
        <v>841</v>
      </c>
      <c r="B356" s="241">
        <v>66971</v>
      </c>
      <c r="C356" s="241" t="s">
        <v>796</v>
      </c>
      <c r="D356" s="241" t="s">
        <v>796</v>
      </c>
      <c r="E356" s="241" t="s">
        <v>796</v>
      </c>
      <c r="F356" s="241" t="s">
        <v>796</v>
      </c>
      <c r="G356" s="241" t="s">
        <v>796</v>
      </c>
      <c r="H356" s="241" t="s">
        <v>796</v>
      </c>
      <c r="I356" s="241" t="s">
        <v>796</v>
      </c>
      <c r="J356" s="241" t="s">
        <v>796</v>
      </c>
      <c r="K356" s="241">
        <v>45934</v>
      </c>
      <c r="L356" s="241">
        <v>21037</v>
      </c>
      <c r="M356" s="241">
        <v>876855</v>
      </c>
      <c r="N356" s="241">
        <v>181423</v>
      </c>
      <c r="O356" s="241">
        <v>695432</v>
      </c>
      <c r="P356" s="241">
        <v>81970</v>
      </c>
      <c r="Q356" s="241">
        <v>81970</v>
      </c>
      <c r="R356" s="241">
        <v>879690</v>
      </c>
      <c r="S356" s="241">
        <v>43973</v>
      </c>
      <c r="T356" s="241" t="s">
        <v>796</v>
      </c>
      <c r="U356" s="241" t="s">
        <v>796</v>
      </c>
      <c r="V356" s="241" t="s">
        <v>796</v>
      </c>
      <c r="W356" s="242" t="s">
        <v>842</v>
      </c>
    </row>
    <row r="357" spans="1:23" s="241" customFormat="1" ht="9.75" customHeight="1" x14ac:dyDescent="0.15">
      <c r="A357" s="448" t="s">
        <v>573</v>
      </c>
      <c r="B357" s="241">
        <v>44901</v>
      </c>
      <c r="C357" s="241" t="s">
        <v>796</v>
      </c>
      <c r="D357" s="241" t="s">
        <v>796</v>
      </c>
      <c r="E357" s="241">
        <v>44901</v>
      </c>
      <c r="F357" s="241" t="s">
        <v>796</v>
      </c>
      <c r="G357" s="241" t="s">
        <v>796</v>
      </c>
      <c r="H357" s="241" t="s">
        <v>796</v>
      </c>
      <c r="I357" s="241" t="s">
        <v>796</v>
      </c>
      <c r="J357" s="241" t="s">
        <v>796</v>
      </c>
      <c r="K357" s="241" t="s">
        <v>796</v>
      </c>
      <c r="L357" s="241" t="s">
        <v>796</v>
      </c>
      <c r="M357" s="241">
        <v>688129</v>
      </c>
      <c r="N357" s="241">
        <v>213774</v>
      </c>
      <c r="O357" s="241">
        <v>474355</v>
      </c>
      <c r="P357" s="241">
        <v>121048</v>
      </c>
      <c r="Q357" s="241">
        <v>121048</v>
      </c>
      <c r="R357" s="241">
        <v>717803</v>
      </c>
      <c r="S357" s="241">
        <v>32725</v>
      </c>
      <c r="T357" s="241" t="s">
        <v>796</v>
      </c>
      <c r="U357" s="241" t="s">
        <v>796</v>
      </c>
      <c r="V357" s="241">
        <v>32725</v>
      </c>
      <c r="W357" s="242" t="s">
        <v>66</v>
      </c>
    </row>
    <row r="358" spans="1:23" s="241" customFormat="1" ht="9.75" customHeight="1" x14ac:dyDescent="0.15">
      <c r="A358" s="795" t="s">
        <v>574</v>
      </c>
      <c r="B358" s="796">
        <v>85012</v>
      </c>
      <c r="C358" s="797" t="s">
        <v>796</v>
      </c>
      <c r="D358" s="797" t="s">
        <v>796</v>
      </c>
      <c r="E358" s="797" t="s">
        <v>796</v>
      </c>
      <c r="F358" s="797" t="s">
        <v>796</v>
      </c>
      <c r="G358" s="797" t="s">
        <v>796</v>
      </c>
      <c r="H358" s="797" t="s">
        <v>796</v>
      </c>
      <c r="I358" s="797" t="s">
        <v>796</v>
      </c>
      <c r="J358" s="797" t="s">
        <v>796</v>
      </c>
      <c r="K358" s="797">
        <v>46020</v>
      </c>
      <c r="L358" s="797">
        <v>38992</v>
      </c>
      <c r="M358" s="797">
        <v>1046771</v>
      </c>
      <c r="N358" s="797">
        <v>228471</v>
      </c>
      <c r="O358" s="797">
        <v>818300</v>
      </c>
      <c r="P358" s="797">
        <v>42553</v>
      </c>
      <c r="Q358" s="797">
        <v>42553</v>
      </c>
      <c r="R358" s="797">
        <v>1054198</v>
      </c>
      <c r="S358" s="797">
        <v>45479</v>
      </c>
      <c r="T358" s="797" t="s">
        <v>796</v>
      </c>
      <c r="U358" s="797" t="s">
        <v>796</v>
      </c>
      <c r="V358" s="797" t="s">
        <v>796</v>
      </c>
      <c r="W358" s="798" t="s">
        <v>67</v>
      </c>
    </row>
    <row r="359" spans="1:23" ht="12" customHeight="1" x14ac:dyDescent="0.15"/>
    <row r="360" spans="1:23" ht="12" customHeight="1" x14ac:dyDescent="0.15"/>
    <row r="361" spans="1:23" ht="12" customHeight="1" x14ac:dyDescent="0.15">
      <c r="K361" s="246" t="s">
        <v>86</v>
      </c>
      <c r="V361" s="249" t="s">
        <v>924</v>
      </c>
    </row>
    <row r="362" spans="1:23" s="244" customFormat="1" ht="21" customHeight="1" x14ac:dyDescent="0.15">
      <c r="A362" s="1026" t="s">
        <v>153</v>
      </c>
      <c r="B362" s="799" t="s">
        <v>801</v>
      </c>
      <c r="C362" s="790"/>
      <c r="D362" s="790"/>
      <c r="E362" s="790"/>
      <c r="F362" s="790"/>
      <c r="G362" s="790"/>
      <c r="H362" s="790"/>
      <c r="I362" s="790"/>
      <c r="J362" s="790"/>
      <c r="K362" s="790"/>
      <c r="L362" s="790"/>
      <c r="M362" s="788"/>
      <c r="N362" s="789" t="s">
        <v>247</v>
      </c>
      <c r="O362" s="790"/>
      <c r="P362" s="790"/>
      <c r="Q362" s="790"/>
      <c r="R362" s="790"/>
      <c r="S362" s="790"/>
      <c r="T362" s="790"/>
      <c r="U362" s="790"/>
      <c r="V362" s="790"/>
      <c r="W362" s="1029" t="s">
        <v>72</v>
      </c>
    </row>
    <row r="363" spans="1:23" s="244" customFormat="1" ht="21" customHeight="1" x14ac:dyDescent="0.15">
      <c r="A363" s="1027"/>
      <c r="B363" s="799" t="s">
        <v>239</v>
      </c>
      <c r="C363" s="790"/>
      <c r="D363" s="790"/>
      <c r="E363" s="790"/>
      <c r="F363" s="790"/>
      <c r="G363" s="790"/>
      <c r="H363" s="788"/>
      <c r="I363" s="789" t="s">
        <v>237</v>
      </c>
      <c r="J363" s="790"/>
      <c r="K363" s="788"/>
      <c r="L363" s="789" t="s">
        <v>220</v>
      </c>
      <c r="M363" s="788"/>
      <c r="N363" s="1032" t="s">
        <v>246</v>
      </c>
      <c r="O363" s="789" t="s">
        <v>244</v>
      </c>
      <c r="P363" s="790"/>
      <c r="Q363" s="790"/>
      <c r="R363" s="790"/>
      <c r="S363" s="790"/>
      <c r="T363" s="790"/>
      <c r="U363" s="790"/>
      <c r="V363" s="790"/>
      <c r="W363" s="1030"/>
    </row>
    <row r="364" spans="1:23" s="244" customFormat="1" ht="52.5" customHeight="1" x14ac:dyDescent="0.15">
      <c r="A364" s="1028"/>
      <c r="B364" s="245" t="s">
        <v>231</v>
      </c>
      <c r="C364" s="245" t="s">
        <v>714</v>
      </c>
      <c r="D364" s="245" t="s">
        <v>243</v>
      </c>
      <c r="E364" s="245" t="s">
        <v>242</v>
      </c>
      <c r="F364" s="245" t="s">
        <v>241</v>
      </c>
      <c r="G364" s="245" t="s">
        <v>230</v>
      </c>
      <c r="H364" s="248" t="s">
        <v>925</v>
      </c>
      <c r="I364" s="530" t="s">
        <v>96</v>
      </c>
      <c r="J364" s="245" t="s">
        <v>252</v>
      </c>
      <c r="K364" s="245" t="s">
        <v>223</v>
      </c>
      <c r="L364" s="530" t="s">
        <v>45</v>
      </c>
      <c r="M364" s="245" t="s">
        <v>215</v>
      </c>
      <c r="N364" s="1033"/>
      <c r="O364" s="530" t="s">
        <v>920</v>
      </c>
      <c r="P364" s="245" t="s">
        <v>235</v>
      </c>
      <c r="Q364" s="245" t="s">
        <v>233</v>
      </c>
      <c r="R364" s="245" t="s">
        <v>714</v>
      </c>
      <c r="S364" s="245" t="s">
        <v>243</v>
      </c>
      <c r="T364" s="245" t="s">
        <v>242</v>
      </c>
      <c r="U364" s="245" t="s">
        <v>241</v>
      </c>
      <c r="V364" s="247" t="s">
        <v>230</v>
      </c>
      <c r="W364" s="1031"/>
    </row>
    <row r="365" spans="1:23" s="241" customFormat="1" ht="9.75" customHeight="1" x14ac:dyDescent="0.15">
      <c r="A365" s="645" t="s">
        <v>831</v>
      </c>
      <c r="B365" s="792" t="s">
        <v>796</v>
      </c>
      <c r="C365" s="793">
        <v>87045</v>
      </c>
      <c r="D365" s="793">
        <v>13001</v>
      </c>
      <c r="E365" s="793">
        <v>41930</v>
      </c>
      <c r="F365" s="793">
        <v>218100</v>
      </c>
      <c r="G365" s="793">
        <v>174710</v>
      </c>
      <c r="H365" s="793">
        <v>172784</v>
      </c>
      <c r="I365" s="793">
        <v>7012175</v>
      </c>
      <c r="J365" s="793">
        <v>823301</v>
      </c>
      <c r="K365" s="793">
        <v>6188874</v>
      </c>
      <c r="L365" s="793">
        <v>526728</v>
      </c>
      <c r="M365" s="793">
        <v>526728</v>
      </c>
      <c r="N365" s="793">
        <v>1637993</v>
      </c>
      <c r="O365" s="793">
        <v>646020</v>
      </c>
      <c r="P365" s="793" t="s">
        <v>796</v>
      </c>
      <c r="Q365" s="793" t="s">
        <v>796</v>
      </c>
      <c r="R365" s="793">
        <v>85277</v>
      </c>
      <c r="S365" s="793">
        <v>11629</v>
      </c>
      <c r="T365" s="793">
        <v>132873</v>
      </c>
      <c r="U365" s="793">
        <v>105645</v>
      </c>
      <c r="V365" s="793">
        <v>92176</v>
      </c>
      <c r="W365" s="794" t="s">
        <v>517</v>
      </c>
    </row>
    <row r="366" spans="1:23" s="241" customFormat="1" ht="9.75" customHeight="1" x14ac:dyDescent="0.15">
      <c r="A366" s="448" t="s">
        <v>557</v>
      </c>
      <c r="B366" s="241" t="s">
        <v>796</v>
      </c>
      <c r="C366" s="241">
        <v>74175</v>
      </c>
      <c r="D366" s="241" t="s">
        <v>796</v>
      </c>
      <c r="E366" s="241">
        <v>34360</v>
      </c>
      <c r="F366" s="241">
        <v>367527</v>
      </c>
      <c r="G366" s="241">
        <v>79998</v>
      </c>
      <c r="H366" s="241">
        <v>83207</v>
      </c>
      <c r="I366" s="241">
        <v>7794656</v>
      </c>
      <c r="J366" s="241">
        <v>1213152</v>
      </c>
      <c r="K366" s="241">
        <v>6581504</v>
      </c>
      <c r="L366" s="241">
        <v>444023</v>
      </c>
      <c r="M366" s="241">
        <v>444023</v>
      </c>
      <c r="N366" s="241">
        <v>1504014</v>
      </c>
      <c r="O366" s="241">
        <v>457218</v>
      </c>
      <c r="P366" s="241" t="s">
        <v>796</v>
      </c>
      <c r="Q366" s="241" t="s">
        <v>796</v>
      </c>
      <c r="R366" s="241">
        <v>81828</v>
      </c>
      <c r="S366" s="241" t="s">
        <v>796</v>
      </c>
      <c r="T366" s="241">
        <v>56983</v>
      </c>
      <c r="U366" s="241">
        <v>186564</v>
      </c>
      <c r="V366" s="241">
        <v>76812</v>
      </c>
      <c r="W366" s="242" t="s">
        <v>558</v>
      </c>
    </row>
    <row r="367" spans="1:23" s="241" customFormat="1" ht="9.75" customHeight="1" x14ac:dyDescent="0.15">
      <c r="A367" s="448" t="s">
        <v>682</v>
      </c>
      <c r="B367" s="241">
        <v>440</v>
      </c>
      <c r="C367" s="241">
        <v>59550</v>
      </c>
      <c r="D367" s="241">
        <v>23242</v>
      </c>
      <c r="E367" s="241">
        <v>68111</v>
      </c>
      <c r="F367" s="241">
        <v>331318</v>
      </c>
      <c r="G367" s="241">
        <v>135930</v>
      </c>
      <c r="H367" s="241">
        <v>153775</v>
      </c>
      <c r="I367" s="241">
        <v>7570931</v>
      </c>
      <c r="J367" s="241">
        <v>1554954</v>
      </c>
      <c r="K367" s="241">
        <v>6015977</v>
      </c>
      <c r="L367" s="241">
        <v>626866</v>
      </c>
      <c r="M367" s="241">
        <v>626866</v>
      </c>
      <c r="N367" s="241">
        <v>1774942</v>
      </c>
      <c r="O367" s="241">
        <v>452069</v>
      </c>
      <c r="P367" s="241">
        <v>14052</v>
      </c>
      <c r="Q367" s="241" t="s">
        <v>796</v>
      </c>
      <c r="R367" s="241">
        <v>79071</v>
      </c>
      <c r="S367" s="241">
        <v>23309</v>
      </c>
      <c r="T367" s="241">
        <v>101138</v>
      </c>
      <c r="U367" s="241">
        <v>120787</v>
      </c>
      <c r="V367" s="241">
        <v>47504</v>
      </c>
      <c r="W367" s="242" t="s">
        <v>683</v>
      </c>
    </row>
    <row r="368" spans="1:23" s="241" customFormat="1" ht="9.75" customHeight="1" x14ac:dyDescent="0.15">
      <c r="A368" s="448" t="s">
        <v>784</v>
      </c>
      <c r="B368" s="241" t="s">
        <v>796</v>
      </c>
      <c r="C368" s="241" t="s">
        <v>796</v>
      </c>
      <c r="D368" s="241" t="s">
        <v>796</v>
      </c>
      <c r="E368" s="241" t="s">
        <v>796</v>
      </c>
      <c r="F368" s="241">
        <v>185266</v>
      </c>
      <c r="G368" s="241">
        <v>137275</v>
      </c>
      <c r="H368" s="241">
        <v>33743</v>
      </c>
      <c r="I368" s="241">
        <v>7677195</v>
      </c>
      <c r="J368" s="241">
        <v>1769528</v>
      </c>
      <c r="K368" s="241">
        <v>5907667</v>
      </c>
      <c r="L368" s="241">
        <v>650700</v>
      </c>
      <c r="M368" s="241">
        <v>650700</v>
      </c>
      <c r="N368" s="241">
        <v>1869181</v>
      </c>
      <c r="O368" s="241">
        <v>163648</v>
      </c>
      <c r="P368" s="241" t="s">
        <v>796</v>
      </c>
      <c r="Q368" s="241" t="s">
        <v>796</v>
      </c>
      <c r="R368" s="241">
        <v>10822</v>
      </c>
      <c r="S368" s="241" t="s">
        <v>796</v>
      </c>
      <c r="T368" s="241" t="s">
        <v>796</v>
      </c>
      <c r="U368" s="241">
        <v>71059</v>
      </c>
      <c r="V368" s="241">
        <v>45785</v>
      </c>
      <c r="W368" s="242" t="s">
        <v>785</v>
      </c>
    </row>
    <row r="369" spans="1:23" s="241" customFormat="1" ht="9.75" customHeight="1" x14ac:dyDescent="0.15">
      <c r="A369" s="448" t="s">
        <v>832</v>
      </c>
      <c r="B369" s="241">
        <v>419</v>
      </c>
      <c r="C369" s="241" t="s">
        <v>796</v>
      </c>
      <c r="D369" s="241" t="s">
        <v>796</v>
      </c>
      <c r="E369" s="241">
        <v>22047</v>
      </c>
      <c r="F369" s="241">
        <v>199340</v>
      </c>
      <c r="G369" s="241">
        <v>67999</v>
      </c>
      <c r="H369" s="241" t="s">
        <v>796</v>
      </c>
      <c r="I369" s="241">
        <v>7678321</v>
      </c>
      <c r="J369" s="241">
        <v>2058238</v>
      </c>
      <c r="K369" s="241">
        <v>5620083</v>
      </c>
      <c r="L369" s="241">
        <v>564616</v>
      </c>
      <c r="M369" s="241">
        <v>564616</v>
      </c>
      <c r="N369" s="241">
        <v>1861773</v>
      </c>
      <c r="O369" s="241">
        <v>170749</v>
      </c>
      <c r="P369" s="241" t="s">
        <v>796</v>
      </c>
      <c r="Q369" s="241" t="s">
        <v>796</v>
      </c>
      <c r="R369" s="241" t="s">
        <v>796</v>
      </c>
      <c r="S369" s="241" t="s">
        <v>796</v>
      </c>
      <c r="T369" s="241" t="s">
        <v>796</v>
      </c>
      <c r="U369" s="241">
        <v>129355</v>
      </c>
      <c r="V369" s="241">
        <v>41394</v>
      </c>
      <c r="W369" s="242" t="s">
        <v>833</v>
      </c>
    </row>
    <row r="370" spans="1:23" s="241" customFormat="1" ht="6.75" customHeight="1" x14ac:dyDescent="0.15">
      <c r="A370" s="464"/>
      <c r="W370" s="242"/>
    </row>
    <row r="371" spans="1:23" s="241" customFormat="1" ht="9.75" customHeight="1" x14ac:dyDescent="0.15">
      <c r="A371" s="448" t="s">
        <v>834</v>
      </c>
      <c r="B371" s="241" t="s">
        <v>796</v>
      </c>
      <c r="C371" s="241" t="s">
        <v>796</v>
      </c>
      <c r="D371" s="241" t="s">
        <v>796</v>
      </c>
      <c r="E371" s="241">
        <v>22047</v>
      </c>
      <c r="F371" s="241">
        <v>192989</v>
      </c>
      <c r="G371" s="241">
        <v>94018</v>
      </c>
      <c r="H371" s="241">
        <v>33743</v>
      </c>
      <c r="I371" s="241">
        <v>7374831</v>
      </c>
      <c r="J371" s="241">
        <v>1881329</v>
      </c>
      <c r="K371" s="241">
        <v>5493502</v>
      </c>
      <c r="L371" s="241">
        <v>740729</v>
      </c>
      <c r="M371" s="241">
        <v>740729</v>
      </c>
      <c r="N371" s="241">
        <v>1875085</v>
      </c>
      <c r="O371" s="241">
        <v>187951</v>
      </c>
      <c r="P371" s="241" t="s">
        <v>796</v>
      </c>
      <c r="Q371" s="241" t="s">
        <v>796</v>
      </c>
      <c r="R371" s="241">
        <v>10822</v>
      </c>
      <c r="S371" s="241" t="s">
        <v>796</v>
      </c>
      <c r="T371" s="241" t="s">
        <v>796</v>
      </c>
      <c r="U371" s="241">
        <v>95362</v>
      </c>
      <c r="V371" s="241">
        <v>45785</v>
      </c>
      <c r="W371" s="242" t="s">
        <v>786</v>
      </c>
    </row>
    <row r="372" spans="1:23" s="241" customFormat="1" ht="9.75" customHeight="1" x14ac:dyDescent="0.15">
      <c r="A372" s="448" t="s">
        <v>835</v>
      </c>
      <c r="B372" s="241">
        <v>419</v>
      </c>
      <c r="C372" s="241" t="s">
        <v>796</v>
      </c>
      <c r="D372" s="241" t="s">
        <v>796</v>
      </c>
      <c r="E372" s="241" t="s">
        <v>796</v>
      </c>
      <c r="F372" s="241">
        <v>78623</v>
      </c>
      <c r="G372" s="241">
        <v>77997</v>
      </c>
      <c r="H372" s="241">
        <v>32831</v>
      </c>
      <c r="I372" s="241">
        <v>7845357</v>
      </c>
      <c r="J372" s="241">
        <v>2196636</v>
      </c>
      <c r="K372" s="241">
        <v>5648721</v>
      </c>
      <c r="L372" s="241">
        <v>514957</v>
      </c>
      <c r="M372" s="241">
        <v>514957</v>
      </c>
      <c r="N372" s="241">
        <v>1794358</v>
      </c>
      <c r="O372" s="241">
        <v>197108</v>
      </c>
      <c r="P372" s="241" t="s">
        <v>796</v>
      </c>
      <c r="Q372" s="241">
        <v>12176</v>
      </c>
      <c r="R372" s="241" t="s">
        <v>796</v>
      </c>
      <c r="S372" s="241" t="s">
        <v>796</v>
      </c>
      <c r="T372" s="241" t="s">
        <v>796</v>
      </c>
      <c r="U372" s="241">
        <v>81007</v>
      </c>
      <c r="V372" s="241">
        <v>76727</v>
      </c>
      <c r="W372" s="242" t="s">
        <v>836</v>
      </c>
    </row>
    <row r="373" spans="1:23" s="241" customFormat="1" ht="6.75" customHeight="1" x14ac:dyDescent="0.15">
      <c r="A373" s="464"/>
      <c r="W373" s="242"/>
    </row>
    <row r="374" spans="1:23" s="241" customFormat="1" ht="9.75" customHeight="1" x14ac:dyDescent="0.15">
      <c r="A374" s="448" t="s">
        <v>837</v>
      </c>
      <c r="B374" s="241" t="s">
        <v>796</v>
      </c>
      <c r="C374" s="241" t="s">
        <v>796</v>
      </c>
      <c r="D374" s="241" t="s">
        <v>796</v>
      </c>
      <c r="E374" s="241">
        <v>22047</v>
      </c>
      <c r="F374" s="241">
        <v>120717</v>
      </c>
      <c r="G374" s="241">
        <v>46623</v>
      </c>
      <c r="H374" s="241" t="s">
        <v>796</v>
      </c>
      <c r="I374" s="241">
        <v>2218449</v>
      </c>
      <c r="J374" s="241">
        <v>485270</v>
      </c>
      <c r="K374" s="241">
        <v>1733179</v>
      </c>
      <c r="L374" s="241">
        <v>193688</v>
      </c>
      <c r="M374" s="241">
        <v>193688</v>
      </c>
      <c r="N374" s="241">
        <v>469934</v>
      </c>
      <c r="O374" s="241">
        <v>48348</v>
      </c>
      <c r="P374" s="241" t="s">
        <v>796</v>
      </c>
      <c r="Q374" s="241" t="s">
        <v>796</v>
      </c>
      <c r="R374" s="241" t="s">
        <v>796</v>
      </c>
      <c r="S374" s="241" t="s">
        <v>796</v>
      </c>
      <c r="T374" s="241" t="s">
        <v>796</v>
      </c>
      <c r="U374" s="241">
        <v>48348</v>
      </c>
      <c r="V374" s="241" t="s">
        <v>796</v>
      </c>
      <c r="W374" s="242" t="s">
        <v>787</v>
      </c>
    </row>
    <row r="375" spans="1:23" s="241" customFormat="1" ht="9.75" customHeight="1" x14ac:dyDescent="0.15">
      <c r="A375" s="448" t="s">
        <v>559</v>
      </c>
      <c r="B375" s="241">
        <v>215</v>
      </c>
      <c r="C375" s="241" t="s">
        <v>796</v>
      </c>
      <c r="D375" s="241" t="s">
        <v>796</v>
      </c>
      <c r="E375" s="241" t="s">
        <v>796</v>
      </c>
      <c r="F375" s="241">
        <v>78623</v>
      </c>
      <c r="G375" s="241">
        <v>21376</v>
      </c>
      <c r="H375" s="241" t="s">
        <v>796</v>
      </c>
      <c r="I375" s="241">
        <v>1735562</v>
      </c>
      <c r="J375" s="241">
        <v>529451</v>
      </c>
      <c r="K375" s="241">
        <v>1206111</v>
      </c>
      <c r="L375" s="241">
        <v>145811</v>
      </c>
      <c r="M375" s="241">
        <v>145811</v>
      </c>
      <c r="N375" s="241">
        <v>512622</v>
      </c>
      <c r="O375" s="241">
        <v>115401</v>
      </c>
      <c r="P375" s="241" t="s">
        <v>796</v>
      </c>
      <c r="Q375" s="241" t="s">
        <v>796</v>
      </c>
      <c r="R375" s="241" t="s">
        <v>796</v>
      </c>
      <c r="S375" s="241" t="s">
        <v>796</v>
      </c>
      <c r="T375" s="241" t="s">
        <v>796</v>
      </c>
      <c r="U375" s="241">
        <v>74007</v>
      </c>
      <c r="V375" s="241">
        <v>41394</v>
      </c>
      <c r="W375" s="242" t="s">
        <v>78</v>
      </c>
    </row>
    <row r="376" spans="1:23" s="241" customFormat="1" ht="9.75" customHeight="1" x14ac:dyDescent="0.15">
      <c r="A376" s="448" t="s">
        <v>560</v>
      </c>
      <c r="B376" s="241" t="s">
        <v>796</v>
      </c>
      <c r="C376" s="241" t="s">
        <v>796</v>
      </c>
      <c r="D376" s="241" t="s">
        <v>796</v>
      </c>
      <c r="E376" s="241" t="s">
        <v>796</v>
      </c>
      <c r="F376" s="241" t="s">
        <v>796</v>
      </c>
      <c r="G376" s="241" t="s">
        <v>796</v>
      </c>
      <c r="H376" s="241" t="s">
        <v>796</v>
      </c>
      <c r="I376" s="241">
        <v>1554487</v>
      </c>
      <c r="J376" s="241">
        <v>477004</v>
      </c>
      <c r="K376" s="241">
        <v>1077483</v>
      </c>
      <c r="L376" s="241">
        <v>121093</v>
      </c>
      <c r="M376" s="241">
        <v>121093</v>
      </c>
      <c r="N376" s="241">
        <v>380846</v>
      </c>
      <c r="O376" s="241">
        <v>6355</v>
      </c>
      <c r="P376" s="241" t="s">
        <v>796</v>
      </c>
      <c r="Q376" s="241" t="s">
        <v>796</v>
      </c>
      <c r="R376" s="241" t="s">
        <v>796</v>
      </c>
      <c r="S376" s="241" t="s">
        <v>796</v>
      </c>
      <c r="T376" s="241" t="s">
        <v>796</v>
      </c>
      <c r="U376" s="241">
        <v>6355</v>
      </c>
      <c r="V376" s="241" t="s">
        <v>796</v>
      </c>
      <c r="W376" s="242" t="s">
        <v>79</v>
      </c>
    </row>
    <row r="377" spans="1:23" s="241" customFormat="1" ht="9.75" customHeight="1" x14ac:dyDescent="0.15">
      <c r="A377" s="448" t="s">
        <v>561</v>
      </c>
      <c r="B377" s="241">
        <v>204</v>
      </c>
      <c r="C377" s="241" t="s">
        <v>796</v>
      </c>
      <c r="D377" s="241" t="s">
        <v>796</v>
      </c>
      <c r="E377" s="241" t="s">
        <v>796</v>
      </c>
      <c r="F377" s="241" t="s">
        <v>796</v>
      </c>
      <c r="G377" s="241" t="s">
        <v>796</v>
      </c>
      <c r="H377" s="241" t="s">
        <v>796</v>
      </c>
      <c r="I377" s="241">
        <v>2169823</v>
      </c>
      <c r="J377" s="241">
        <v>566513</v>
      </c>
      <c r="K377" s="241">
        <v>1603310</v>
      </c>
      <c r="L377" s="241">
        <v>104024</v>
      </c>
      <c r="M377" s="241">
        <v>104024</v>
      </c>
      <c r="N377" s="241">
        <v>498371</v>
      </c>
      <c r="O377" s="241">
        <v>645</v>
      </c>
      <c r="P377" s="241" t="s">
        <v>796</v>
      </c>
      <c r="Q377" s="241" t="s">
        <v>796</v>
      </c>
      <c r="R377" s="241" t="s">
        <v>796</v>
      </c>
      <c r="S377" s="241" t="s">
        <v>796</v>
      </c>
      <c r="T377" s="241" t="s">
        <v>796</v>
      </c>
      <c r="U377" s="241">
        <v>645</v>
      </c>
      <c r="V377" s="241" t="s">
        <v>796</v>
      </c>
      <c r="W377" s="242" t="s">
        <v>80</v>
      </c>
    </row>
    <row r="378" spans="1:23" s="241" customFormat="1" ht="9.75" customHeight="1" x14ac:dyDescent="0.15">
      <c r="A378" s="448" t="s">
        <v>838</v>
      </c>
      <c r="B378" s="241" t="s">
        <v>796</v>
      </c>
      <c r="C378" s="241" t="s">
        <v>796</v>
      </c>
      <c r="D378" s="241" t="s">
        <v>796</v>
      </c>
      <c r="E378" s="241" t="s">
        <v>796</v>
      </c>
      <c r="F378" s="241" t="s">
        <v>796</v>
      </c>
      <c r="G378" s="241">
        <v>56621</v>
      </c>
      <c r="H378" s="241">
        <v>32831</v>
      </c>
      <c r="I378" s="241">
        <v>2385485</v>
      </c>
      <c r="J378" s="241">
        <v>623668</v>
      </c>
      <c r="K378" s="241">
        <v>1761817</v>
      </c>
      <c r="L378" s="241">
        <v>144029</v>
      </c>
      <c r="M378" s="241">
        <v>144029</v>
      </c>
      <c r="N378" s="241">
        <v>402519</v>
      </c>
      <c r="O378" s="241">
        <v>74707</v>
      </c>
      <c r="P378" s="241" t="s">
        <v>796</v>
      </c>
      <c r="Q378" s="241">
        <v>12176</v>
      </c>
      <c r="R378" s="241" t="s">
        <v>796</v>
      </c>
      <c r="S378" s="241" t="s">
        <v>796</v>
      </c>
      <c r="T378" s="241" t="s">
        <v>796</v>
      </c>
      <c r="U378" s="241" t="s">
        <v>796</v>
      </c>
      <c r="V378" s="241">
        <v>35333</v>
      </c>
      <c r="W378" s="242" t="s">
        <v>839</v>
      </c>
    </row>
    <row r="379" spans="1:23" s="241" customFormat="1" ht="6.75" customHeight="1" x14ac:dyDescent="0.15">
      <c r="A379" s="464"/>
      <c r="W379" s="242"/>
    </row>
    <row r="380" spans="1:23" s="241" customFormat="1" ht="9.75" customHeight="1" x14ac:dyDescent="0.15">
      <c r="A380" s="448" t="s">
        <v>840</v>
      </c>
      <c r="B380" s="241" t="s">
        <v>796</v>
      </c>
      <c r="C380" s="241" t="s">
        <v>796</v>
      </c>
      <c r="D380" s="241" t="s">
        <v>796</v>
      </c>
      <c r="E380" s="241" t="s">
        <v>796</v>
      </c>
      <c r="F380" s="241" t="s">
        <v>796</v>
      </c>
      <c r="G380" s="241">
        <v>46623</v>
      </c>
      <c r="H380" s="241" t="s">
        <v>796</v>
      </c>
      <c r="I380" s="241">
        <v>949868</v>
      </c>
      <c r="J380" s="241">
        <v>208321</v>
      </c>
      <c r="K380" s="241">
        <v>741547</v>
      </c>
      <c r="L380" s="241">
        <v>91248</v>
      </c>
      <c r="M380" s="241">
        <v>91248</v>
      </c>
      <c r="N380" s="241">
        <v>192118</v>
      </c>
      <c r="O380" s="241" t="s">
        <v>796</v>
      </c>
      <c r="P380" s="241" t="s">
        <v>796</v>
      </c>
      <c r="Q380" s="241" t="s">
        <v>796</v>
      </c>
      <c r="R380" s="241" t="s">
        <v>796</v>
      </c>
      <c r="S380" s="241" t="s">
        <v>796</v>
      </c>
      <c r="T380" s="241" t="s">
        <v>796</v>
      </c>
      <c r="U380" s="241" t="s">
        <v>796</v>
      </c>
      <c r="V380" s="241" t="s">
        <v>796</v>
      </c>
      <c r="W380" s="242" t="s">
        <v>788</v>
      </c>
    </row>
    <row r="381" spans="1:23" s="241" customFormat="1" ht="9.75" customHeight="1" x14ac:dyDescent="0.15">
      <c r="A381" s="448" t="s">
        <v>562</v>
      </c>
      <c r="B381" s="241" t="s">
        <v>796</v>
      </c>
      <c r="C381" s="241" t="s">
        <v>796</v>
      </c>
      <c r="D381" s="241" t="s">
        <v>796</v>
      </c>
      <c r="E381" s="241" t="s">
        <v>796</v>
      </c>
      <c r="F381" s="241">
        <v>29845</v>
      </c>
      <c r="G381" s="241" t="s">
        <v>796</v>
      </c>
      <c r="H381" s="241" t="s">
        <v>796</v>
      </c>
      <c r="I381" s="241">
        <v>566599</v>
      </c>
      <c r="J381" s="241">
        <v>61081</v>
      </c>
      <c r="K381" s="241">
        <v>505518</v>
      </c>
      <c r="L381" s="241">
        <v>66105</v>
      </c>
      <c r="M381" s="241">
        <v>66105</v>
      </c>
      <c r="N381" s="241">
        <v>184166</v>
      </c>
      <c r="O381" s="241">
        <v>42805</v>
      </c>
      <c r="P381" s="241" t="s">
        <v>796</v>
      </c>
      <c r="Q381" s="241" t="s">
        <v>796</v>
      </c>
      <c r="R381" s="241" t="s">
        <v>796</v>
      </c>
      <c r="S381" s="241" t="s">
        <v>796</v>
      </c>
      <c r="T381" s="241" t="s">
        <v>796</v>
      </c>
      <c r="U381" s="241">
        <v>42805</v>
      </c>
      <c r="V381" s="241" t="s">
        <v>796</v>
      </c>
      <c r="W381" s="242" t="s">
        <v>66</v>
      </c>
    </row>
    <row r="382" spans="1:23" s="241" customFormat="1" ht="9.75" customHeight="1" x14ac:dyDescent="0.15">
      <c r="A382" s="448" t="s">
        <v>563</v>
      </c>
      <c r="B382" s="241" t="s">
        <v>796</v>
      </c>
      <c r="C382" s="241" t="s">
        <v>796</v>
      </c>
      <c r="D382" s="241" t="s">
        <v>796</v>
      </c>
      <c r="E382" s="241">
        <v>22047</v>
      </c>
      <c r="F382" s="241">
        <v>90872</v>
      </c>
      <c r="G382" s="241" t="s">
        <v>796</v>
      </c>
      <c r="H382" s="241" t="s">
        <v>796</v>
      </c>
      <c r="I382" s="241">
        <v>701982</v>
      </c>
      <c r="J382" s="241">
        <v>215868</v>
      </c>
      <c r="K382" s="241">
        <v>486114</v>
      </c>
      <c r="L382" s="241">
        <v>36335</v>
      </c>
      <c r="M382" s="241">
        <v>36335</v>
      </c>
      <c r="N382" s="241">
        <v>93650</v>
      </c>
      <c r="O382" s="241">
        <v>5543</v>
      </c>
      <c r="P382" s="241" t="s">
        <v>796</v>
      </c>
      <c r="Q382" s="241" t="s">
        <v>796</v>
      </c>
      <c r="R382" s="241" t="s">
        <v>796</v>
      </c>
      <c r="S382" s="241" t="s">
        <v>796</v>
      </c>
      <c r="T382" s="241" t="s">
        <v>796</v>
      </c>
      <c r="U382" s="241">
        <v>5543</v>
      </c>
      <c r="V382" s="241" t="s">
        <v>796</v>
      </c>
      <c r="W382" s="242" t="s">
        <v>67</v>
      </c>
    </row>
    <row r="383" spans="1:23" s="241" customFormat="1" ht="9.75" customHeight="1" x14ac:dyDescent="0.15">
      <c r="A383" s="448" t="s">
        <v>564</v>
      </c>
      <c r="B383" s="241" t="s">
        <v>796</v>
      </c>
      <c r="C383" s="241" t="s">
        <v>796</v>
      </c>
      <c r="D383" s="241" t="s">
        <v>796</v>
      </c>
      <c r="E383" s="241" t="s">
        <v>796</v>
      </c>
      <c r="F383" s="241">
        <v>32226</v>
      </c>
      <c r="G383" s="241">
        <v>21376</v>
      </c>
      <c r="H383" s="241" t="s">
        <v>796</v>
      </c>
      <c r="I383" s="241">
        <v>660289</v>
      </c>
      <c r="J383" s="241">
        <v>190990</v>
      </c>
      <c r="K383" s="241">
        <v>469299</v>
      </c>
      <c r="L383" s="241">
        <v>55758</v>
      </c>
      <c r="M383" s="241">
        <v>55758</v>
      </c>
      <c r="N383" s="241">
        <v>179518</v>
      </c>
      <c r="O383" s="241">
        <v>48756</v>
      </c>
      <c r="P383" s="241" t="s">
        <v>796</v>
      </c>
      <c r="Q383" s="241" t="s">
        <v>796</v>
      </c>
      <c r="R383" s="241" t="s">
        <v>796</v>
      </c>
      <c r="S383" s="241" t="s">
        <v>796</v>
      </c>
      <c r="T383" s="241" t="s">
        <v>796</v>
      </c>
      <c r="U383" s="241">
        <v>25362</v>
      </c>
      <c r="V383" s="241">
        <v>23394</v>
      </c>
      <c r="W383" s="242" t="s">
        <v>68</v>
      </c>
    </row>
    <row r="384" spans="1:23" s="241" customFormat="1" ht="9.75" customHeight="1" x14ac:dyDescent="0.15">
      <c r="A384" s="448" t="s">
        <v>565</v>
      </c>
      <c r="B384" s="241" t="s">
        <v>796</v>
      </c>
      <c r="C384" s="241" t="s">
        <v>796</v>
      </c>
      <c r="D384" s="241" t="s">
        <v>796</v>
      </c>
      <c r="E384" s="241" t="s">
        <v>796</v>
      </c>
      <c r="F384" s="241" t="s">
        <v>796</v>
      </c>
      <c r="G384" s="241" t="s">
        <v>796</v>
      </c>
      <c r="H384" s="241" t="s">
        <v>796</v>
      </c>
      <c r="I384" s="241">
        <v>612598</v>
      </c>
      <c r="J384" s="241">
        <v>185661</v>
      </c>
      <c r="K384" s="241">
        <v>426937</v>
      </c>
      <c r="L384" s="241">
        <v>56352</v>
      </c>
      <c r="M384" s="241">
        <v>56352</v>
      </c>
      <c r="N384" s="241">
        <v>190774</v>
      </c>
      <c r="O384" s="241">
        <v>7800</v>
      </c>
      <c r="P384" s="241" t="s">
        <v>796</v>
      </c>
      <c r="Q384" s="241" t="s">
        <v>796</v>
      </c>
      <c r="R384" s="241" t="s">
        <v>796</v>
      </c>
      <c r="S384" s="241" t="s">
        <v>796</v>
      </c>
      <c r="T384" s="241" t="s">
        <v>796</v>
      </c>
      <c r="U384" s="241" t="s">
        <v>796</v>
      </c>
      <c r="V384" s="241">
        <v>7800</v>
      </c>
      <c r="W384" s="242" t="s">
        <v>81</v>
      </c>
    </row>
    <row r="385" spans="1:23" s="241" customFormat="1" ht="9.75" customHeight="1" x14ac:dyDescent="0.15">
      <c r="A385" s="448" t="s">
        <v>566</v>
      </c>
      <c r="B385" s="241">
        <v>215</v>
      </c>
      <c r="C385" s="241" t="s">
        <v>796</v>
      </c>
      <c r="D385" s="241" t="s">
        <v>796</v>
      </c>
      <c r="E385" s="241" t="s">
        <v>796</v>
      </c>
      <c r="F385" s="241">
        <v>46397</v>
      </c>
      <c r="G385" s="241" t="s">
        <v>796</v>
      </c>
      <c r="H385" s="241" t="s">
        <v>796</v>
      </c>
      <c r="I385" s="241">
        <v>462675</v>
      </c>
      <c r="J385" s="241">
        <v>152800</v>
      </c>
      <c r="K385" s="241">
        <v>309875</v>
      </c>
      <c r="L385" s="241">
        <v>33701</v>
      </c>
      <c r="M385" s="241">
        <v>33701</v>
      </c>
      <c r="N385" s="241">
        <v>142330</v>
      </c>
      <c r="O385" s="241">
        <v>58845</v>
      </c>
      <c r="P385" s="241" t="s">
        <v>796</v>
      </c>
      <c r="Q385" s="241" t="s">
        <v>796</v>
      </c>
      <c r="R385" s="241" t="s">
        <v>796</v>
      </c>
      <c r="S385" s="241" t="s">
        <v>796</v>
      </c>
      <c r="T385" s="241" t="s">
        <v>796</v>
      </c>
      <c r="U385" s="241">
        <v>48645</v>
      </c>
      <c r="V385" s="241">
        <v>10200</v>
      </c>
      <c r="W385" s="242" t="s">
        <v>82</v>
      </c>
    </row>
    <row r="386" spans="1:23" s="241" customFormat="1" ht="9.75" customHeight="1" x14ac:dyDescent="0.15">
      <c r="A386" s="448" t="s">
        <v>567</v>
      </c>
      <c r="B386" s="241" t="s">
        <v>796</v>
      </c>
      <c r="C386" s="241" t="s">
        <v>796</v>
      </c>
      <c r="D386" s="241" t="s">
        <v>796</v>
      </c>
      <c r="E386" s="241" t="s">
        <v>796</v>
      </c>
      <c r="F386" s="241" t="s">
        <v>796</v>
      </c>
      <c r="G386" s="241" t="s">
        <v>796</v>
      </c>
      <c r="H386" s="241" t="s">
        <v>796</v>
      </c>
      <c r="I386" s="241">
        <v>556582</v>
      </c>
      <c r="J386" s="241">
        <v>151460</v>
      </c>
      <c r="K386" s="241">
        <v>405122</v>
      </c>
      <c r="L386" s="241">
        <v>54939</v>
      </c>
      <c r="M386" s="241">
        <v>54939</v>
      </c>
      <c r="N386" s="241">
        <v>110504</v>
      </c>
      <c r="O386" s="241" t="s">
        <v>796</v>
      </c>
      <c r="P386" s="241" t="s">
        <v>796</v>
      </c>
      <c r="Q386" s="241" t="s">
        <v>796</v>
      </c>
      <c r="R386" s="241" t="s">
        <v>796</v>
      </c>
      <c r="S386" s="241" t="s">
        <v>796</v>
      </c>
      <c r="T386" s="241" t="s">
        <v>796</v>
      </c>
      <c r="U386" s="241" t="s">
        <v>796</v>
      </c>
      <c r="V386" s="241" t="s">
        <v>796</v>
      </c>
      <c r="W386" s="242" t="s">
        <v>83</v>
      </c>
    </row>
    <row r="387" spans="1:23" s="241" customFormat="1" ht="9.75" customHeight="1" x14ac:dyDescent="0.15">
      <c r="A387" s="448" t="s">
        <v>568</v>
      </c>
      <c r="B387" s="241" t="s">
        <v>796</v>
      </c>
      <c r="C387" s="241" t="s">
        <v>796</v>
      </c>
      <c r="D387" s="241" t="s">
        <v>796</v>
      </c>
      <c r="E387" s="241" t="s">
        <v>796</v>
      </c>
      <c r="F387" s="241" t="s">
        <v>796</v>
      </c>
      <c r="G387" s="241" t="s">
        <v>796</v>
      </c>
      <c r="H387" s="241" t="s">
        <v>796</v>
      </c>
      <c r="I387" s="241">
        <v>477674</v>
      </c>
      <c r="J387" s="241">
        <v>110425</v>
      </c>
      <c r="K387" s="241">
        <v>367249</v>
      </c>
      <c r="L387" s="241">
        <v>44210</v>
      </c>
      <c r="M387" s="241">
        <v>44210</v>
      </c>
      <c r="N387" s="241">
        <v>155636</v>
      </c>
      <c r="O387" s="241" t="s">
        <v>796</v>
      </c>
      <c r="P387" s="241" t="s">
        <v>796</v>
      </c>
      <c r="Q387" s="241" t="s">
        <v>796</v>
      </c>
      <c r="R387" s="241" t="s">
        <v>796</v>
      </c>
      <c r="S387" s="241" t="s">
        <v>796</v>
      </c>
      <c r="T387" s="241" t="s">
        <v>796</v>
      </c>
      <c r="U387" s="241" t="s">
        <v>796</v>
      </c>
      <c r="V387" s="241" t="s">
        <v>796</v>
      </c>
      <c r="W387" s="242" t="s">
        <v>84</v>
      </c>
    </row>
    <row r="388" spans="1:23" s="241" customFormat="1" ht="9.75" customHeight="1" x14ac:dyDescent="0.15">
      <c r="A388" s="448" t="s">
        <v>569</v>
      </c>
      <c r="B388" s="241" t="s">
        <v>796</v>
      </c>
      <c r="C388" s="241" t="s">
        <v>796</v>
      </c>
      <c r="D388" s="241" t="s">
        <v>796</v>
      </c>
      <c r="E388" s="241" t="s">
        <v>796</v>
      </c>
      <c r="F388" s="241" t="s">
        <v>796</v>
      </c>
      <c r="G388" s="241" t="s">
        <v>796</v>
      </c>
      <c r="H388" s="241" t="s">
        <v>796</v>
      </c>
      <c r="I388" s="241">
        <v>520231</v>
      </c>
      <c r="J388" s="241">
        <v>215119</v>
      </c>
      <c r="K388" s="241">
        <v>305112</v>
      </c>
      <c r="L388" s="241">
        <v>21944</v>
      </c>
      <c r="M388" s="241">
        <v>21944</v>
      </c>
      <c r="N388" s="241">
        <v>114706</v>
      </c>
      <c r="O388" s="241">
        <v>6355</v>
      </c>
      <c r="P388" s="241" t="s">
        <v>796</v>
      </c>
      <c r="Q388" s="241" t="s">
        <v>796</v>
      </c>
      <c r="R388" s="241" t="s">
        <v>796</v>
      </c>
      <c r="S388" s="241" t="s">
        <v>796</v>
      </c>
      <c r="T388" s="241" t="s">
        <v>796</v>
      </c>
      <c r="U388" s="241">
        <v>6355</v>
      </c>
      <c r="V388" s="241" t="s">
        <v>796</v>
      </c>
      <c r="W388" s="242" t="s">
        <v>85</v>
      </c>
    </row>
    <row r="389" spans="1:23" s="241" customFormat="1" ht="9.75" customHeight="1" x14ac:dyDescent="0.15">
      <c r="A389" s="448" t="s">
        <v>570</v>
      </c>
      <c r="B389" s="241" t="s">
        <v>796</v>
      </c>
      <c r="C389" s="241" t="s">
        <v>796</v>
      </c>
      <c r="D389" s="241" t="s">
        <v>796</v>
      </c>
      <c r="E389" s="241" t="s">
        <v>796</v>
      </c>
      <c r="F389" s="241" t="s">
        <v>796</v>
      </c>
      <c r="G389" s="241" t="s">
        <v>796</v>
      </c>
      <c r="H389" s="241" t="s">
        <v>796</v>
      </c>
      <c r="I389" s="241">
        <v>552946</v>
      </c>
      <c r="J389" s="241">
        <v>129467</v>
      </c>
      <c r="K389" s="241">
        <v>423479</v>
      </c>
      <c r="L389" s="241">
        <v>43622</v>
      </c>
      <c r="M389" s="241">
        <v>43622</v>
      </c>
      <c r="N389" s="241">
        <v>160449</v>
      </c>
      <c r="O389" s="241">
        <v>645</v>
      </c>
      <c r="P389" s="241" t="s">
        <v>796</v>
      </c>
      <c r="Q389" s="241" t="s">
        <v>796</v>
      </c>
      <c r="R389" s="241" t="s">
        <v>796</v>
      </c>
      <c r="S389" s="241" t="s">
        <v>796</v>
      </c>
      <c r="T389" s="241" t="s">
        <v>796</v>
      </c>
      <c r="U389" s="241">
        <v>645</v>
      </c>
      <c r="V389" s="241" t="s">
        <v>796</v>
      </c>
      <c r="W389" s="242" t="s">
        <v>69</v>
      </c>
    </row>
    <row r="390" spans="1:23" s="241" customFormat="1" ht="9.75" customHeight="1" x14ac:dyDescent="0.15">
      <c r="A390" s="448" t="s">
        <v>571</v>
      </c>
      <c r="B390" s="241" t="s">
        <v>796</v>
      </c>
      <c r="C390" s="241" t="s">
        <v>796</v>
      </c>
      <c r="D390" s="241" t="s">
        <v>796</v>
      </c>
      <c r="E390" s="241" t="s">
        <v>796</v>
      </c>
      <c r="F390" s="241" t="s">
        <v>796</v>
      </c>
      <c r="G390" s="241" t="s">
        <v>796</v>
      </c>
      <c r="H390" s="241" t="s">
        <v>796</v>
      </c>
      <c r="I390" s="241">
        <v>676647</v>
      </c>
      <c r="J390" s="241">
        <v>213759</v>
      </c>
      <c r="K390" s="241">
        <v>462888</v>
      </c>
      <c r="L390" s="241" t="s">
        <v>796</v>
      </c>
      <c r="M390" s="241" t="s">
        <v>796</v>
      </c>
      <c r="N390" s="241">
        <v>127913</v>
      </c>
      <c r="O390" s="241" t="s">
        <v>796</v>
      </c>
      <c r="P390" s="241" t="s">
        <v>796</v>
      </c>
      <c r="Q390" s="241" t="s">
        <v>796</v>
      </c>
      <c r="R390" s="241" t="s">
        <v>796</v>
      </c>
      <c r="S390" s="241" t="s">
        <v>796</v>
      </c>
      <c r="T390" s="241" t="s">
        <v>796</v>
      </c>
      <c r="U390" s="241" t="s">
        <v>796</v>
      </c>
      <c r="V390" s="241" t="s">
        <v>796</v>
      </c>
      <c r="W390" s="242" t="s">
        <v>70</v>
      </c>
    </row>
    <row r="391" spans="1:23" s="241" customFormat="1" ht="9.75" customHeight="1" x14ac:dyDescent="0.15">
      <c r="A391" s="448" t="s">
        <v>572</v>
      </c>
      <c r="B391" s="241">
        <v>204</v>
      </c>
      <c r="C391" s="241" t="s">
        <v>796</v>
      </c>
      <c r="D391" s="241" t="s">
        <v>796</v>
      </c>
      <c r="E391" s="241" t="s">
        <v>796</v>
      </c>
      <c r="F391" s="241" t="s">
        <v>796</v>
      </c>
      <c r="G391" s="241" t="s">
        <v>796</v>
      </c>
      <c r="H391" s="241" t="s">
        <v>796</v>
      </c>
      <c r="I391" s="241">
        <v>940230</v>
      </c>
      <c r="J391" s="241">
        <v>223287</v>
      </c>
      <c r="K391" s="241">
        <v>716943</v>
      </c>
      <c r="L391" s="241">
        <v>60402</v>
      </c>
      <c r="M391" s="241">
        <v>60402</v>
      </c>
      <c r="N391" s="241">
        <v>210009</v>
      </c>
      <c r="O391" s="241" t="s">
        <v>796</v>
      </c>
      <c r="P391" s="241" t="s">
        <v>796</v>
      </c>
      <c r="Q391" s="241" t="s">
        <v>796</v>
      </c>
      <c r="R391" s="241" t="s">
        <v>796</v>
      </c>
      <c r="S391" s="241" t="s">
        <v>796</v>
      </c>
      <c r="T391" s="241" t="s">
        <v>796</v>
      </c>
      <c r="U391" s="241" t="s">
        <v>796</v>
      </c>
      <c r="V391" s="241" t="s">
        <v>796</v>
      </c>
      <c r="W391" s="242" t="s">
        <v>71</v>
      </c>
    </row>
    <row r="392" spans="1:23" s="241" customFormat="1" ht="9.75" customHeight="1" x14ac:dyDescent="0.15">
      <c r="A392" s="448" t="s">
        <v>841</v>
      </c>
      <c r="B392" s="241" t="s">
        <v>796</v>
      </c>
      <c r="C392" s="241" t="s">
        <v>796</v>
      </c>
      <c r="D392" s="241" t="s">
        <v>796</v>
      </c>
      <c r="E392" s="241" t="s">
        <v>796</v>
      </c>
      <c r="F392" s="241" t="s">
        <v>796</v>
      </c>
      <c r="G392" s="241">
        <v>33522</v>
      </c>
      <c r="H392" s="241">
        <v>10451</v>
      </c>
      <c r="I392" s="241">
        <v>782137</v>
      </c>
      <c r="J392" s="241">
        <v>181423</v>
      </c>
      <c r="K392" s="241">
        <v>600714</v>
      </c>
      <c r="L392" s="241">
        <v>53580</v>
      </c>
      <c r="M392" s="241">
        <v>53580</v>
      </c>
      <c r="N392" s="241">
        <v>146106</v>
      </c>
      <c r="O392" s="241">
        <v>22998</v>
      </c>
      <c r="P392" s="241" t="s">
        <v>796</v>
      </c>
      <c r="Q392" s="241" t="s">
        <v>796</v>
      </c>
      <c r="R392" s="241" t="s">
        <v>796</v>
      </c>
      <c r="S392" s="241" t="s">
        <v>796</v>
      </c>
      <c r="T392" s="241" t="s">
        <v>796</v>
      </c>
      <c r="U392" s="241" t="s">
        <v>796</v>
      </c>
      <c r="V392" s="241">
        <v>12412</v>
      </c>
      <c r="W392" s="242" t="s">
        <v>842</v>
      </c>
    </row>
    <row r="393" spans="1:23" s="241" customFormat="1" ht="9.75" customHeight="1" x14ac:dyDescent="0.15">
      <c r="A393" s="448" t="s">
        <v>573</v>
      </c>
      <c r="B393" s="241" t="s">
        <v>796</v>
      </c>
      <c r="C393" s="241" t="s">
        <v>796</v>
      </c>
      <c r="D393" s="241" t="s">
        <v>796</v>
      </c>
      <c r="E393" s="241" t="s">
        <v>796</v>
      </c>
      <c r="F393" s="241" t="s">
        <v>796</v>
      </c>
      <c r="G393" s="241" t="s">
        <v>796</v>
      </c>
      <c r="H393" s="241" t="s">
        <v>796</v>
      </c>
      <c r="I393" s="241">
        <v>615935</v>
      </c>
      <c r="J393" s="241">
        <v>213774</v>
      </c>
      <c r="K393" s="241">
        <v>402161</v>
      </c>
      <c r="L393" s="241">
        <v>69143</v>
      </c>
      <c r="M393" s="241">
        <v>69143</v>
      </c>
      <c r="N393" s="241">
        <v>136275</v>
      </c>
      <c r="O393" s="241">
        <v>12176</v>
      </c>
      <c r="P393" s="241" t="s">
        <v>796</v>
      </c>
      <c r="Q393" s="241">
        <v>12176</v>
      </c>
      <c r="R393" s="241" t="s">
        <v>796</v>
      </c>
      <c r="S393" s="241" t="s">
        <v>796</v>
      </c>
      <c r="T393" s="241" t="s">
        <v>796</v>
      </c>
      <c r="U393" s="241" t="s">
        <v>796</v>
      </c>
      <c r="V393" s="241" t="s">
        <v>796</v>
      </c>
      <c r="W393" s="242" t="s">
        <v>66</v>
      </c>
    </row>
    <row r="394" spans="1:23" s="241" customFormat="1" ht="9.75" customHeight="1" x14ac:dyDescent="0.15">
      <c r="A394" s="795" t="s">
        <v>574</v>
      </c>
      <c r="B394" s="796" t="s">
        <v>796</v>
      </c>
      <c r="C394" s="797" t="s">
        <v>796</v>
      </c>
      <c r="D394" s="797" t="s">
        <v>796</v>
      </c>
      <c r="E394" s="797" t="s">
        <v>796</v>
      </c>
      <c r="F394" s="797" t="s">
        <v>796</v>
      </c>
      <c r="G394" s="797">
        <v>23099</v>
      </c>
      <c r="H394" s="797">
        <v>22380</v>
      </c>
      <c r="I394" s="797">
        <v>987413</v>
      </c>
      <c r="J394" s="797">
        <v>228471</v>
      </c>
      <c r="K394" s="797">
        <v>758942</v>
      </c>
      <c r="L394" s="797">
        <v>21306</v>
      </c>
      <c r="M394" s="797">
        <v>21306</v>
      </c>
      <c r="N394" s="797">
        <v>120138</v>
      </c>
      <c r="O394" s="797">
        <v>39533</v>
      </c>
      <c r="P394" s="797" t="s">
        <v>796</v>
      </c>
      <c r="Q394" s="797" t="s">
        <v>796</v>
      </c>
      <c r="R394" s="797" t="s">
        <v>796</v>
      </c>
      <c r="S394" s="797" t="s">
        <v>796</v>
      </c>
      <c r="T394" s="797" t="s">
        <v>796</v>
      </c>
      <c r="U394" s="797" t="s">
        <v>796</v>
      </c>
      <c r="V394" s="797">
        <v>22921</v>
      </c>
      <c r="W394" s="798" t="s">
        <v>67</v>
      </c>
    </row>
    <row r="395" spans="1:23" ht="12" customHeight="1" x14ac:dyDescent="0.15"/>
    <row r="396" spans="1:23" ht="12" customHeight="1" x14ac:dyDescent="0.15"/>
    <row r="397" spans="1:23" ht="12" customHeight="1" x14ac:dyDescent="0.15"/>
    <row r="398" spans="1:23" s="244" customFormat="1" ht="21" customHeight="1" x14ac:dyDescent="0.15">
      <c r="A398" s="1026" t="s">
        <v>153</v>
      </c>
      <c r="B398" s="799" t="s">
        <v>802</v>
      </c>
      <c r="C398" s="790"/>
      <c r="D398" s="790"/>
      <c r="E398" s="790"/>
      <c r="F398" s="788"/>
      <c r="G398" s="1029" t="s">
        <v>72</v>
      </c>
    </row>
    <row r="399" spans="1:23" s="244" customFormat="1" ht="21" customHeight="1" x14ac:dyDescent="0.15">
      <c r="A399" s="1027"/>
      <c r="B399" s="802" t="s">
        <v>932</v>
      </c>
      <c r="C399" s="789" t="s">
        <v>237</v>
      </c>
      <c r="D399" s="788"/>
      <c r="E399" s="789" t="s">
        <v>220</v>
      </c>
      <c r="F399" s="788"/>
      <c r="G399" s="1030"/>
    </row>
    <row r="400" spans="1:23" s="244" customFormat="1" ht="52.5" customHeight="1" x14ac:dyDescent="0.15">
      <c r="A400" s="1028"/>
      <c r="B400" s="248" t="s">
        <v>925</v>
      </c>
      <c r="C400" s="530" t="s">
        <v>96</v>
      </c>
      <c r="D400" s="245" t="s">
        <v>223</v>
      </c>
      <c r="E400" s="530" t="s">
        <v>45</v>
      </c>
      <c r="F400" s="245" t="s">
        <v>215</v>
      </c>
      <c r="G400" s="1031"/>
    </row>
    <row r="401" spans="1:7" s="241" customFormat="1" ht="9.75" customHeight="1" x14ac:dyDescent="0.15">
      <c r="A401" s="645" t="s">
        <v>831</v>
      </c>
      <c r="B401" s="792">
        <v>218420</v>
      </c>
      <c r="C401" s="793">
        <v>621368</v>
      </c>
      <c r="D401" s="793">
        <v>621368</v>
      </c>
      <c r="E401" s="793">
        <v>370605</v>
      </c>
      <c r="F401" s="803">
        <v>370605</v>
      </c>
      <c r="G401" s="794" t="s">
        <v>517</v>
      </c>
    </row>
    <row r="402" spans="1:7" s="241" customFormat="1" ht="9.75" customHeight="1" x14ac:dyDescent="0.15">
      <c r="A402" s="448" t="s">
        <v>557</v>
      </c>
      <c r="B402" s="241">
        <v>55031</v>
      </c>
      <c r="C402" s="241">
        <v>708992</v>
      </c>
      <c r="D402" s="241">
        <v>708992</v>
      </c>
      <c r="E402" s="241">
        <v>337804</v>
      </c>
      <c r="F402" s="243">
        <v>337804</v>
      </c>
      <c r="G402" s="242" t="s">
        <v>558</v>
      </c>
    </row>
    <row r="403" spans="1:7" s="241" customFormat="1" ht="9.75" customHeight="1" x14ac:dyDescent="0.15">
      <c r="A403" s="448" t="s">
        <v>682</v>
      </c>
      <c r="B403" s="241">
        <v>66208</v>
      </c>
      <c r="C403" s="241">
        <v>761399</v>
      </c>
      <c r="D403" s="241">
        <v>761399</v>
      </c>
      <c r="E403" s="241">
        <v>561474</v>
      </c>
      <c r="F403" s="243">
        <v>561474</v>
      </c>
      <c r="G403" s="242" t="s">
        <v>683</v>
      </c>
    </row>
    <row r="404" spans="1:7" s="241" customFormat="1" ht="9.75" customHeight="1" x14ac:dyDescent="0.15">
      <c r="A404" s="448" t="s">
        <v>784</v>
      </c>
      <c r="B404" s="241">
        <v>35982</v>
      </c>
      <c r="C404" s="241">
        <v>1059660</v>
      </c>
      <c r="D404" s="241">
        <v>1059660</v>
      </c>
      <c r="E404" s="241">
        <v>645873</v>
      </c>
      <c r="F404" s="243">
        <v>645873</v>
      </c>
      <c r="G404" s="242" t="s">
        <v>785</v>
      </c>
    </row>
    <row r="405" spans="1:7" s="241" customFormat="1" ht="9.75" customHeight="1" x14ac:dyDescent="0.15">
      <c r="A405" s="448" t="s">
        <v>832</v>
      </c>
      <c r="B405" s="241" t="s">
        <v>796</v>
      </c>
      <c r="C405" s="241">
        <v>1167599</v>
      </c>
      <c r="D405" s="241">
        <v>1167599</v>
      </c>
      <c r="E405" s="241">
        <v>523425</v>
      </c>
      <c r="F405" s="243">
        <v>523425</v>
      </c>
      <c r="G405" s="242" t="s">
        <v>833</v>
      </c>
    </row>
    <row r="406" spans="1:7" s="241" customFormat="1" ht="6.75" customHeight="1" x14ac:dyDescent="0.15">
      <c r="A406" s="464"/>
      <c r="F406" s="243"/>
      <c r="G406" s="242"/>
    </row>
    <row r="407" spans="1:7" s="241" customFormat="1" ht="9.75" customHeight="1" x14ac:dyDescent="0.15">
      <c r="A407" s="448" t="s">
        <v>834</v>
      </c>
      <c r="B407" s="241">
        <v>35982</v>
      </c>
      <c r="C407" s="241">
        <v>978154</v>
      </c>
      <c r="D407" s="241">
        <v>978154</v>
      </c>
      <c r="E407" s="241">
        <v>708980</v>
      </c>
      <c r="F407" s="243">
        <v>708980</v>
      </c>
      <c r="G407" s="242" t="s">
        <v>786</v>
      </c>
    </row>
    <row r="408" spans="1:7" s="241" customFormat="1" ht="9.75" customHeight="1" x14ac:dyDescent="0.15">
      <c r="A408" s="448" t="s">
        <v>835</v>
      </c>
      <c r="B408" s="241">
        <v>27198</v>
      </c>
      <c r="C408" s="241">
        <v>1147410</v>
      </c>
      <c r="D408" s="241">
        <v>1147410</v>
      </c>
      <c r="E408" s="241">
        <v>449840</v>
      </c>
      <c r="F408" s="243">
        <v>449840</v>
      </c>
      <c r="G408" s="242" t="s">
        <v>836</v>
      </c>
    </row>
    <row r="409" spans="1:7" s="241" customFormat="1" ht="6.75" customHeight="1" x14ac:dyDescent="0.15">
      <c r="A409" s="464"/>
      <c r="F409" s="243"/>
      <c r="G409" s="242"/>
    </row>
    <row r="410" spans="1:7" s="241" customFormat="1" ht="9.75" customHeight="1" x14ac:dyDescent="0.15">
      <c r="A410" s="448" t="s">
        <v>837</v>
      </c>
      <c r="B410" s="241" t="s">
        <v>796</v>
      </c>
      <c r="C410" s="241">
        <v>246459</v>
      </c>
      <c r="D410" s="241">
        <v>246459</v>
      </c>
      <c r="E410" s="241">
        <v>175127</v>
      </c>
      <c r="F410" s="243">
        <v>175127</v>
      </c>
      <c r="G410" s="242" t="s">
        <v>787</v>
      </c>
    </row>
    <row r="411" spans="1:7" s="241" customFormat="1" ht="9.75" customHeight="1" x14ac:dyDescent="0.15">
      <c r="A411" s="448" t="s">
        <v>559</v>
      </c>
      <c r="B411" s="241" t="s">
        <v>796</v>
      </c>
      <c r="C411" s="241">
        <v>299047</v>
      </c>
      <c r="D411" s="241">
        <v>299047</v>
      </c>
      <c r="E411" s="241">
        <v>98174</v>
      </c>
      <c r="F411" s="243">
        <v>98174</v>
      </c>
      <c r="G411" s="242" t="s">
        <v>78</v>
      </c>
    </row>
    <row r="412" spans="1:7" s="241" customFormat="1" ht="9.75" customHeight="1" x14ac:dyDescent="0.15">
      <c r="A412" s="448" t="s">
        <v>560</v>
      </c>
      <c r="B412" s="241" t="s">
        <v>796</v>
      </c>
      <c r="C412" s="241">
        <v>270581</v>
      </c>
      <c r="D412" s="241">
        <v>270581</v>
      </c>
      <c r="E412" s="241">
        <v>103910</v>
      </c>
      <c r="F412" s="243">
        <v>103910</v>
      </c>
      <c r="G412" s="242" t="s">
        <v>79</v>
      </c>
    </row>
    <row r="413" spans="1:7" s="241" customFormat="1" ht="9.75" customHeight="1" x14ac:dyDescent="0.15">
      <c r="A413" s="448" t="s">
        <v>561</v>
      </c>
      <c r="B413" s="241" t="s">
        <v>796</v>
      </c>
      <c r="C413" s="241">
        <v>351512</v>
      </c>
      <c r="D413" s="241">
        <v>351512</v>
      </c>
      <c r="E413" s="241">
        <v>146214</v>
      </c>
      <c r="F413" s="243">
        <v>146214</v>
      </c>
      <c r="G413" s="242" t="s">
        <v>80</v>
      </c>
    </row>
    <row r="414" spans="1:7" s="241" customFormat="1" ht="9.75" customHeight="1" x14ac:dyDescent="0.15">
      <c r="A414" s="448" t="s">
        <v>838</v>
      </c>
      <c r="B414" s="241">
        <v>27198</v>
      </c>
      <c r="C414" s="241">
        <v>226270</v>
      </c>
      <c r="D414" s="241">
        <v>226270</v>
      </c>
      <c r="E414" s="241">
        <v>101542</v>
      </c>
      <c r="F414" s="243">
        <v>101542</v>
      </c>
      <c r="G414" s="242" t="s">
        <v>839</v>
      </c>
    </row>
    <row r="415" spans="1:7" s="241" customFormat="1" ht="6.75" customHeight="1" x14ac:dyDescent="0.15">
      <c r="A415" s="464"/>
      <c r="F415" s="243"/>
      <c r="G415" s="242"/>
    </row>
    <row r="416" spans="1:7" s="241" customFormat="1" ht="9.75" customHeight="1" x14ac:dyDescent="0.15">
      <c r="A416" s="448" t="s">
        <v>840</v>
      </c>
      <c r="B416" s="241" t="s">
        <v>796</v>
      </c>
      <c r="C416" s="241">
        <v>131846</v>
      </c>
      <c r="D416" s="241">
        <v>131846</v>
      </c>
      <c r="E416" s="241">
        <v>60272</v>
      </c>
      <c r="F416" s="243">
        <v>60272</v>
      </c>
      <c r="G416" s="242" t="s">
        <v>788</v>
      </c>
    </row>
    <row r="417" spans="1:7" s="241" customFormat="1" ht="9.75" customHeight="1" x14ac:dyDescent="0.15">
      <c r="A417" s="448" t="s">
        <v>562</v>
      </c>
      <c r="B417" s="241" t="s">
        <v>796</v>
      </c>
      <c r="C417" s="241">
        <v>74405</v>
      </c>
      <c r="D417" s="241">
        <v>74405</v>
      </c>
      <c r="E417" s="241">
        <v>66956</v>
      </c>
      <c r="F417" s="243">
        <v>66956</v>
      </c>
      <c r="G417" s="242" t="s">
        <v>66</v>
      </c>
    </row>
    <row r="418" spans="1:7" s="241" customFormat="1" ht="9.75" customHeight="1" x14ac:dyDescent="0.15">
      <c r="A418" s="448" t="s">
        <v>563</v>
      </c>
      <c r="B418" s="241" t="s">
        <v>796</v>
      </c>
      <c r="C418" s="241">
        <v>40208</v>
      </c>
      <c r="D418" s="241">
        <v>40208</v>
      </c>
      <c r="E418" s="241">
        <v>47899</v>
      </c>
      <c r="F418" s="243">
        <v>47899</v>
      </c>
      <c r="G418" s="242" t="s">
        <v>67</v>
      </c>
    </row>
    <row r="419" spans="1:7" s="241" customFormat="1" ht="9.75" customHeight="1" x14ac:dyDescent="0.15">
      <c r="A419" s="448" t="s">
        <v>564</v>
      </c>
      <c r="B419" s="241" t="s">
        <v>796</v>
      </c>
      <c r="C419" s="241">
        <v>88285</v>
      </c>
      <c r="D419" s="241">
        <v>88285</v>
      </c>
      <c r="E419" s="241">
        <v>42477</v>
      </c>
      <c r="F419" s="243">
        <v>42477</v>
      </c>
      <c r="G419" s="242" t="s">
        <v>68</v>
      </c>
    </row>
    <row r="420" spans="1:7" s="241" customFormat="1" ht="9.75" customHeight="1" x14ac:dyDescent="0.15">
      <c r="A420" s="448" t="s">
        <v>565</v>
      </c>
      <c r="B420" s="241" t="s">
        <v>796</v>
      </c>
      <c r="C420" s="241">
        <v>139285</v>
      </c>
      <c r="D420" s="241">
        <v>139285</v>
      </c>
      <c r="E420" s="241">
        <v>43689</v>
      </c>
      <c r="F420" s="243">
        <v>43689</v>
      </c>
      <c r="G420" s="242" t="s">
        <v>81</v>
      </c>
    </row>
    <row r="421" spans="1:7" s="241" customFormat="1" ht="9.75" customHeight="1" x14ac:dyDescent="0.15">
      <c r="A421" s="448" t="s">
        <v>566</v>
      </c>
      <c r="B421" s="241" t="s">
        <v>796</v>
      </c>
      <c r="C421" s="241">
        <v>71477</v>
      </c>
      <c r="D421" s="241">
        <v>71477</v>
      </c>
      <c r="E421" s="241">
        <v>12008</v>
      </c>
      <c r="F421" s="243">
        <v>12008</v>
      </c>
      <c r="G421" s="242" t="s">
        <v>82</v>
      </c>
    </row>
    <row r="422" spans="1:7" s="241" customFormat="1" ht="9.75" customHeight="1" x14ac:dyDescent="0.15">
      <c r="A422" s="448" t="s">
        <v>567</v>
      </c>
      <c r="B422" s="241" t="s">
        <v>796</v>
      </c>
      <c r="C422" s="241">
        <v>76204</v>
      </c>
      <c r="D422" s="241">
        <v>76204</v>
      </c>
      <c r="E422" s="241">
        <v>34300</v>
      </c>
      <c r="F422" s="243">
        <v>34300</v>
      </c>
      <c r="G422" s="242" t="s">
        <v>83</v>
      </c>
    </row>
    <row r="423" spans="1:7" s="241" customFormat="1" ht="9.75" customHeight="1" x14ac:dyDescent="0.15">
      <c r="A423" s="448" t="s">
        <v>568</v>
      </c>
      <c r="B423" s="241" t="s">
        <v>796</v>
      </c>
      <c r="C423" s="241">
        <v>107910</v>
      </c>
      <c r="D423" s="241">
        <v>107910</v>
      </c>
      <c r="E423" s="241">
        <v>47726</v>
      </c>
      <c r="F423" s="243">
        <v>47726</v>
      </c>
      <c r="G423" s="242" t="s">
        <v>84</v>
      </c>
    </row>
    <row r="424" spans="1:7" s="241" customFormat="1" ht="9.75" customHeight="1" x14ac:dyDescent="0.15">
      <c r="A424" s="448" t="s">
        <v>569</v>
      </c>
      <c r="B424" s="241" t="s">
        <v>796</v>
      </c>
      <c r="C424" s="241">
        <v>86467</v>
      </c>
      <c r="D424" s="241">
        <v>86467</v>
      </c>
      <c r="E424" s="241">
        <v>21884</v>
      </c>
      <c r="F424" s="243">
        <v>21884</v>
      </c>
      <c r="G424" s="242" t="s">
        <v>85</v>
      </c>
    </row>
    <row r="425" spans="1:7" s="241" customFormat="1" ht="9.75" customHeight="1" x14ac:dyDescent="0.15">
      <c r="A425" s="448" t="s">
        <v>570</v>
      </c>
      <c r="B425" s="241" t="s">
        <v>796</v>
      </c>
      <c r="C425" s="241">
        <v>113243</v>
      </c>
      <c r="D425" s="241">
        <v>113243</v>
      </c>
      <c r="E425" s="241">
        <v>46561</v>
      </c>
      <c r="F425" s="243">
        <v>46561</v>
      </c>
      <c r="G425" s="242" t="s">
        <v>69</v>
      </c>
    </row>
    <row r="426" spans="1:7" s="241" customFormat="1" ht="9.75" customHeight="1" x14ac:dyDescent="0.15">
      <c r="A426" s="448" t="s">
        <v>571</v>
      </c>
      <c r="B426" s="241" t="s">
        <v>796</v>
      </c>
      <c r="C426" s="241">
        <v>115815</v>
      </c>
      <c r="D426" s="241">
        <v>115815</v>
      </c>
      <c r="E426" s="241">
        <v>12098</v>
      </c>
      <c r="F426" s="243">
        <v>12098</v>
      </c>
      <c r="G426" s="242" t="s">
        <v>70</v>
      </c>
    </row>
    <row r="427" spans="1:7" s="241" customFormat="1" ht="9.75" customHeight="1" x14ac:dyDescent="0.15">
      <c r="A427" s="448" t="s">
        <v>572</v>
      </c>
      <c r="B427" s="241" t="s">
        <v>796</v>
      </c>
      <c r="C427" s="241">
        <v>122454</v>
      </c>
      <c r="D427" s="241">
        <v>122454</v>
      </c>
      <c r="E427" s="241">
        <v>87555</v>
      </c>
      <c r="F427" s="243">
        <v>87555</v>
      </c>
      <c r="G427" s="242" t="s">
        <v>71</v>
      </c>
    </row>
    <row r="428" spans="1:7" s="241" customFormat="1" ht="9.75" customHeight="1" x14ac:dyDescent="0.15">
      <c r="A428" s="448" t="s">
        <v>841</v>
      </c>
      <c r="B428" s="241">
        <v>10586</v>
      </c>
      <c r="C428" s="241">
        <v>94718</v>
      </c>
      <c r="D428" s="241">
        <v>94718</v>
      </c>
      <c r="E428" s="241">
        <v>28390</v>
      </c>
      <c r="F428" s="243">
        <v>28390</v>
      </c>
      <c r="G428" s="242" t="s">
        <v>842</v>
      </c>
    </row>
    <row r="429" spans="1:7" s="241" customFormat="1" ht="9.75" customHeight="1" x14ac:dyDescent="0.15">
      <c r="A429" s="448" t="s">
        <v>573</v>
      </c>
      <c r="B429" s="241" t="s">
        <v>796</v>
      </c>
      <c r="C429" s="241">
        <v>72194</v>
      </c>
      <c r="D429" s="241">
        <v>72194</v>
      </c>
      <c r="E429" s="241">
        <v>51905</v>
      </c>
      <c r="F429" s="243">
        <v>51905</v>
      </c>
      <c r="G429" s="242" t="s">
        <v>66</v>
      </c>
    </row>
    <row r="430" spans="1:7" s="241" customFormat="1" ht="9.75" customHeight="1" x14ac:dyDescent="0.15">
      <c r="A430" s="795" t="s">
        <v>574</v>
      </c>
      <c r="B430" s="796">
        <v>16612</v>
      </c>
      <c r="C430" s="797">
        <v>59358</v>
      </c>
      <c r="D430" s="797">
        <v>59358</v>
      </c>
      <c r="E430" s="797">
        <v>21247</v>
      </c>
      <c r="F430" s="804">
        <v>21247</v>
      </c>
      <c r="G430" s="798" t="s">
        <v>67</v>
      </c>
    </row>
    <row r="431" spans="1:7" ht="12" customHeight="1" x14ac:dyDescent="0.15"/>
    <row r="432" spans="1:7" ht="12" customHeight="1" x14ac:dyDescent="0.15"/>
    <row r="433" ht="12" customHeight="1" x14ac:dyDescent="0.15"/>
  </sheetData>
  <mergeCells count="39">
    <mergeCell ref="A398:A400"/>
    <mergeCell ref="G398:G400"/>
    <mergeCell ref="A326:A328"/>
    <mergeCell ref="W326:W328"/>
    <mergeCell ref="R327:R328"/>
    <mergeCell ref="A362:A364"/>
    <mergeCell ref="W362:W364"/>
    <mergeCell ref="N363:N364"/>
    <mergeCell ref="A290:A292"/>
    <mergeCell ref="W290:W292"/>
    <mergeCell ref="J291:J292"/>
    <mergeCell ref="V291:V292"/>
    <mergeCell ref="A254:A256"/>
    <mergeCell ref="W254:W256"/>
    <mergeCell ref="O255:O256"/>
    <mergeCell ref="S255:S256"/>
    <mergeCell ref="A110:A112"/>
    <mergeCell ref="W110:W112"/>
    <mergeCell ref="A146:A148"/>
    <mergeCell ref="W146:W148"/>
    <mergeCell ref="U147:U148"/>
    <mergeCell ref="A182:A184"/>
    <mergeCell ref="W182:W184"/>
    <mergeCell ref="G183:G184"/>
    <mergeCell ref="M183:M184"/>
    <mergeCell ref="A218:A220"/>
    <mergeCell ref="W218:W220"/>
    <mergeCell ref="B219:B220"/>
    <mergeCell ref="E219:E220"/>
    <mergeCell ref="O219:O220"/>
    <mergeCell ref="A74:A76"/>
    <mergeCell ref="W74:W76"/>
    <mergeCell ref="G75:G76"/>
    <mergeCell ref="R75:R76"/>
    <mergeCell ref="A2:A4"/>
    <mergeCell ref="W2:W4"/>
    <mergeCell ref="B3:B4"/>
    <mergeCell ref="A38:A40"/>
    <mergeCell ref="W38:W40"/>
  </mergeCells>
  <phoneticPr fontId="34"/>
  <pageMargins left="0.59055118110236227" right="0.59055118110236227" top="0.59055118110236227" bottom="0.59055118110236227" header="0.51181102362204722" footer="0.51181102362204722"/>
  <pageSetup paperSize="9" scale="81" pageOrder="overThenDown" orientation="portrait" r:id="rId1"/>
  <headerFooter alignWithMargins="0"/>
  <rowBreaks count="5" manualBreakCount="5">
    <brk id="72" max="22" man="1"/>
    <brk id="144" max="22" man="1"/>
    <brk id="216" max="22" man="1"/>
    <brk id="288" max="22" man="1"/>
    <brk id="360" max="22" man="1"/>
  </rowBreaks>
  <colBreaks count="1" manualBreakCount="1">
    <brk id="11" max="429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C30D-585D-467F-96EC-E002A5101B2C}">
  <dimension ref="A1:X40"/>
  <sheetViews>
    <sheetView view="pageBreakPreview" zoomScaleNormal="70" zoomScaleSheetLayoutView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B3" sqref="B3"/>
    </sheetView>
  </sheetViews>
  <sheetFormatPr defaultColWidth="8.125" defaultRowHeight="13.5" x14ac:dyDescent="0.15"/>
  <cols>
    <col min="1" max="1" width="2.5" style="123" customWidth="1"/>
    <col min="2" max="2" width="3" style="123" customWidth="1"/>
    <col min="3" max="3" width="2.875" style="123" customWidth="1"/>
    <col min="4" max="4" width="5.5" style="123" customWidth="1"/>
    <col min="5" max="5" width="0.75" style="123" customWidth="1"/>
    <col min="6" max="21" width="9.125" style="123" customWidth="1"/>
    <col min="22" max="22" width="7.375" style="123" customWidth="1"/>
    <col min="23" max="23" width="2.375" style="124" customWidth="1"/>
    <col min="24" max="24" width="6.25" style="123" customWidth="1"/>
    <col min="25" max="16384" width="8.125" style="123"/>
  </cols>
  <sheetData>
    <row r="1" spans="1:24" ht="16.5" customHeight="1" x14ac:dyDescent="0.2">
      <c r="I1" s="183"/>
      <c r="T1" s="416"/>
      <c r="U1" s="175"/>
      <c r="W1" s="123"/>
    </row>
    <row r="2" spans="1:24" s="178" customFormat="1" ht="16.5" customHeight="1" x14ac:dyDescent="0.15">
      <c r="I2" s="175"/>
      <c r="R2" s="182"/>
      <c r="T2" s="181"/>
      <c r="U2" s="181"/>
      <c r="W2" s="180"/>
      <c r="X2" s="179"/>
    </row>
    <row r="3" spans="1:24" s="92" customFormat="1" ht="16.5" customHeight="1" x14ac:dyDescent="0.15">
      <c r="A3" s="423"/>
      <c r="B3" s="760" t="s">
        <v>609</v>
      </c>
      <c r="C3" s="759"/>
      <c r="D3" s="759"/>
      <c r="E3" s="759"/>
      <c r="F3" s="753"/>
      <c r="G3" s="758"/>
      <c r="H3" s="753"/>
      <c r="I3" s="753"/>
      <c r="J3" s="757"/>
      <c r="K3" s="757"/>
      <c r="L3" s="753"/>
      <c r="M3" s="753"/>
      <c r="N3" s="753"/>
      <c r="O3" s="756"/>
      <c r="P3" s="753"/>
      <c r="Q3" s="753"/>
      <c r="R3" s="755"/>
      <c r="S3" s="805"/>
      <c r="T3" s="727"/>
      <c r="U3" s="719" t="s">
        <v>902</v>
      </c>
      <c r="V3" s="753"/>
      <c r="W3" s="93"/>
    </row>
    <row r="4" spans="1:24" s="94" customFormat="1" ht="21.95" customHeight="1" x14ac:dyDescent="0.15">
      <c r="A4" s="177"/>
      <c r="B4" s="510"/>
      <c r="C4" s="510"/>
      <c r="D4" s="510"/>
      <c r="E4" s="511"/>
      <c r="F4" s="806"/>
      <c r="G4" s="119"/>
      <c r="H4" s="119"/>
      <c r="I4" s="119"/>
      <c r="J4" s="119"/>
      <c r="K4" s="119"/>
      <c r="L4" s="119"/>
      <c r="M4" s="119"/>
      <c r="N4" s="118"/>
      <c r="O4" s="117"/>
      <c r="P4" s="116"/>
      <c r="Q4" s="116"/>
      <c r="R4" s="116"/>
      <c r="S4" s="116"/>
      <c r="T4" s="115"/>
      <c r="U4" s="114"/>
      <c r="V4" s="1020" t="s">
        <v>486</v>
      </c>
      <c r="W4" s="165"/>
    </row>
    <row r="5" spans="1:24" s="94" customFormat="1" ht="21.95" customHeight="1" x14ac:dyDescent="0.15">
      <c r="A5" s="510"/>
      <c r="B5" s="1011" t="s">
        <v>290</v>
      </c>
      <c r="C5" s="1011"/>
      <c r="D5" s="1011"/>
      <c r="E5" s="1012"/>
      <c r="F5" s="111" t="s">
        <v>206</v>
      </c>
      <c r="G5" s="107" t="s">
        <v>442</v>
      </c>
      <c r="H5" s="107" t="s">
        <v>443</v>
      </c>
      <c r="I5" s="107" t="s">
        <v>444</v>
      </c>
      <c r="J5" s="107" t="s">
        <v>445</v>
      </c>
      <c r="K5" s="107" t="s">
        <v>446</v>
      </c>
      <c r="L5" s="107" t="s">
        <v>447</v>
      </c>
      <c r="M5" s="700"/>
      <c r="N5" s="701"/>
      <c r="O5" s="109" t="s">
        <v>448</v>
      </c>
      <c r="P5" s="110" t="s">
        <v>449</v>
      </c>
      <c r="Q5" s="110" t="s">
        <v>450</v>
      </c>
      <c r="R5" s="110" t="s">
        <v>451</v>
      </c>
      <c r="S5" s="112" t="s">
        <v>452</v>
      </c>
      <c r="T5" s="702"/>
      <c r="U5" s="703"/>
      <c r="V5" s="1021"/>
      <c r="W5" s="165"/>
      <c r="X5" s="177" t="s">
        <v>203</v>
      </c>
    </row>
    <row r="6" spans="1:24" s="424" customFormat="1" ht="21.95" customHeight="1" x14ac:dyDescent="0.15">
      <c r="A6" s="510"/>
      <c r="B6" s="510"/>
      <c r="C6" s="510"/>
      <c r="D6" s="510"/>
      <c r="E6" s="511"/>
      <c r="F6" s="111"/>
      <c r="G6" s="107" t="s">
        <v>203</v>
      </c>
      <c r="H6" s="107" t="s">
        <v>203</v>
      </c>
      <c r="I6" s="419" t="s">
        <v>204</v>
      </c>
      <c r="J6" s="107"/>
      <c r="K6" s="107"/>
      <c r="L6" s="107" t="s">
        <v>203</v>
      </c>
      <c r="M6" s="107" t="s">
        <v>202</v>
      </c>
      <c r="N6" s="704" t="s">
        <v>201</v>
      </c>
      <c r="O6" s="109"/>
      <c r="P6" s="110"/>
      <c r="Q6" s="110"/>
      <c r="R6" s="110"/>
      <c r="S6" s="110"/>
      <c r="T6" s="110" t="s">
        <v>453</v>
      </c>
      <c r="U6" s="109" t="s">
        <v>454</v>
      </c>
      <c r="V6" s="1021"/>
      <c r="W6" s="165"/>
      <c r="X6" s="177" t="s">
        <v>203</v>
      </c>
    </row>
    <row r="7" spans="1:24" s="94" customFormat="1" ht="33.75" customHeight="1" x14ac:dyDescent="0.15">
      <c r="A7" s="177"/>
      <c r="B7" s="752"/>
      <c r="C7" s="752"/>
      <c r="D7" s="752"/>
      <c r="E7" s="751"/>
      <c r="F7" s="706" t="s">
        <v>691</v>
      </c>
      <c r="G7" s="706" t="s">
        <v>200</v>
      </c>
      <c r="H7" s="706" t="s">
        <v>461</v>
      </c>
      <c r="I7" s="706" t="s">
        <v>462</v>
      </c>
      <c r="J7" s="706" t="s">
        <v>199</v>
      </c>
      <c r="K7" s="706" t="s">
        <v>455</v>
      </c>
      <c r="L7" s="706" t="s">
        <v>692</v>
      </c>
      <c r="M7" s="706" t="s">
        <v>463</v>
      </c>
      <c r="N7" s="572" t="s">
        <v>464</v>
      </c>
      <c r="O7" s="707" t="s">
        <v>208</v>
      </c>
      <c r="P7" s="707" t="s">
        <v>198</v>
      </c>
      <c r="Q7" s="707" t="s">
        <v>197</v>
      </c>
      <c r="R7" s="708" t="s">
        <v>196</v>
      </c>
      <c r="S7" s="513" t="s">
        <v>465</v>
      </c>
      <c r="T7" s="106"/>
      <c r="U7" s="106"/>
      <c r="V7" s="1022"/>
      <c r="W7" s="165"/>
      <c r="X7" s="177" t="s">
        <v>203</v>
      </c>
    </row>
    <row r="8" spans="1:24" s="514" customFormat="1" ht="20.25" customHeight="1" x14ac:dyDescent="0.15">
      <c r="A8" s="89"/>
      <c r="B8" s="807" t="s">
        <v>687</v>
      </c>
      <c r="C8" s="807" t="s">
        <v>875</v>
      </c>
      <c r="D8" s="750"/>
      <c r="E8" s="749"/>
      <c r="F8" s="175">
        <v>21330362</v>
      </c>
      <c r="G8" s="175">
        <v>2322527</v>
      </c>
      <c r="H8" s="175" t="s">
        <v>796</v>
      </c>
      <c r="I8" s="175">
        <v>4781020</v>
      </c>
      <c r="J8" s="175">
        <v>1313743</v>
      </c>
      <c r="K8" s="175">
        <v>3962210</v>
      </c>
      <c r="L8" s="175">
        <v>8950862</v>
      </c>
      <c r="M8" s="175">
        <v>1327820</v>
      </c>
      <c r="N8" s="175">
        <v>7623042</v>
      </c>
      <c r="O8" s="175">
        <v>749232</v>
      </c>
      <c r="P8" s="175">
        <v>23765</v>
      </c>
      <c r="Q8" s="175">
        <v>633</v>
      </c>
      <c r="R8" s="175">
        <v>42715</v>
      </c>
      <c r="S8" s="175">
        <v>133245</v>
      </c>
      <c r="T8" s="175">
        <v>110328</v>
      </c>
      <c r="U8" s="808">
        <v>22917</v>
      </c>
      <c r="V8" s="65" t="s">
        <v>876</v>
      </c>
      <c r="W8" s="52"/>
      <c r="X8" s="528"/>
    </row>
    <row r="9" spans="1:24" s="514" customFormat="1" ht="20.25" customHeight="1" x14ac:dyDescent="0.15">
      <c r="A9" s="89"/>
      <c r="B9" s="169" t="s">
        <v>214</v>
      </c>
      <c r="C9" s="169" t="s">
        <v>705</v>
      </c>
      <c r="D9" s="52"/>
      <c r="E9" s="176"/>
      <c r="F9" s="175">
        <v>22230511</v>
      </c>
      <c r="G9" s="175">
        <v>3344951</v>
      </c>
      <c r="H9" s="175" t="s">
        <v>796</v>
      </c>
      <c r="I9" s="175">
        <v>5327622</v>
      </c>
      <c r="J9" s="175">
        <v>511923</v>
      </c>
      <c r="K9" s="175">
        <v>4886875</v>
      </c>
      <c r="L9" s="175">
        <v>8159140</v>
      </c>
      <c r="M9" s="175">
        <v>775956</v>
      </c>
      <c r="N9" s="175">
        <v>7383184</v>
      </c>
      <c r="O9" s="175">
        <v>766211</v>
      </c>
      <c r="P9" s="175">
        <v>14830</v>
      </c>
      <c r="Q9" s="175">
        <v>831</v>
      </c>
      <c r="R9" s="175">
        <v>44158</v>
      </c>
      <c r="S9" s="175">
        <v>147278</v>
      </c>
      <c r="T9" s="175">
        <v>133767</v>
      </c>
      <c r="U9" s="390">
        <v>13511</v>
      </c>
      <c r="V9" s="65" t="s">
        <v>877</v>
      </c>
      <c r="W9" s="52"/>
      <c r="X9" s="528"/>
    </row>
    <row r="10" spans="1:24" s="514" customFormat="1" ht="20.25" customHeight="1" x14ac:dyDescent="0.15">
      <c r="A10" s="89"/>
      <c r="B10" s="169" t="s">
        <v>214</v>
      </c>
      <c r="C10" s="169" t="s">
        <v>706</v>
      </c>
      <c r="D10" s="52"/>
      <c r="E10" s="176"/>
      <c r="F10" s="175">
        <v>28584890</v>
      </c>
      <c r="G10" s="175">
        <v>4400750</v>
      </c>
      <c r="H10" s="175" t="s">
        <v>796</v>
      </c>
      <c r="I10" s="175">
        <v>6797549</v>
      </c>
      <c r="J10" s="175">
        <v>1033947</v>
      </c>
      <c r="K10" s="175">
        <v>7805554</v>
      </c>
      <c r="L10" s="175">
        <v>8547090</v>
      </c>
      <c r="M10" s="175">
        <v>204144</v>
      </c>
      <c r="N10" s="175">
        <v>8342946</v>
      </c>
      <c r="O10" s="175">
        <v>809205</v>
      </c>
      <c r="P10" s="175">
        <v>11421</v>
      </c>
      <c r="Q10" s="175">
        <v>677</v>
      </c>
      <c r="R10" s="175">
        <v>42975</v>
      </c>
      <c r="S10" s="175">
        <v>236149</v>
      </c>
      <c r="T10" s="175">
        <v>227133</v>
      </c>
      <c r="U10" s="390">
        <v>9016</v>
      </c>
      <c r="V10" s="65" t="s">
        <v>878</v>
      </c>
      <c r="W10" s="52"/>
      <c r="X10" s="528"/>
    </row>
    <row r="11" spans="1:24" s="514" customFormat="1" ht="20.25" customHeight="1" x14ac:dyDescent="0.15">
      <c r="A11" s="89"/>
      <c r="B11" s="169" t="s">
        <v>214</v>
      </c>
      <c r="C11" s="169" t="s">
        <v>798</v>
      </c>
      <c r="D11" s="52"/>
      <c r="E11" s="176"/>
      <c r="F11" s="573">
        <v>27334880</v>
      </c>
      <c r="G11" s="175">
        <v>4161292</v>
      </c>
      <c r="H11" s="175">
        <v>55245</v>
      </c>
      <c r="I11" s="573">
        <v>7969697</v>
      </c>
      <c r="J11" s="175">
        <v>1064996</v>
      </c>
      <c r="K11" s="175">
        <v>6222490</v>
      </c>
      <c r="L11" s="175">
        <v>7861160</v>
      </c>
      <c r="M11" s="175">
        <v>109014</v>
      </c>
      <c r="N11" s="175">
        <v>7752146</v>
      </c>
      <c r="O11" s="175">
        <v>601426</v>
      </c>
      <c r="P11" s="175" t="s">
        <v>796</v>
      </c>
      <c r="Q11" s="175">
        <v>744</v>
      </c>
      <c r="R11" s="175">
        <v>19234</v>
      </c>
      <c r="S11" s="175">
        <v>224841</v>
      </c>
      <c r="T11" s="175">
        <v>218966</v>
      </c>
      <c r="U11" s="390">
        <v>5875</v>
      </c>
      <c r="V11" s="65" t="s">
        <v>809</v>
      </c>
      <c r="W11" s="52"/>
      <c r="X11" s="528"/>
    </row>
    <row r="12" spans="1:24" s="514" customFormat="1" ht="20.25" customHeight="1" x14ac:dyDescent="0.15">
      <c r="A12" s="89"/>
      <c r="B12" s="169" t="s">
        <v>214</v>
      </c>
      <c r="C12" s="169" t="s">
        <v>915</v>
      </c>
      <c r="D12" s="52"/>
      <c r="E12" s="176"/>
      <c r="F12" s="175">
        <v>25165755</v>
      </c>
      <c r="G12" s="175">
        <v>3564883</v>
      </c>
      <c r="H12" s="175">
        <v>60890</v>
      </c>
      <c r="I12" s="175">
        <v>8278656</v>
      </c>
      <c r="J12" s="175">
        <v>968608</v>
      </c>
      <c r="K12" s="175">
        <v>4966476</v>
      </c>
      <c r="L12" s="175">
        <v>7326242</v>
      </c>
      <c r="M12" s="175">
        <v>84451</v>
      </c>
      <c r="N12" s="175">
        <v>7241791</v>
      </c>
      <c r="O12" s="175">
        <v>379514</v>
      </c>
      <c r="P12" s="175" t="s">
        <v>796</v>
      </c>
      <c r="Q12" s="175">
        <v>798</v>
      </c>
      <c r="R12" s="175">
        <v>14725</v>
      </c>
      <c r="S12" s="175">
        <v>153181</v>
      </c>
      <c r="T12" s="175">
        <v>148746</v>
      </c>
      <c r="U12" s="390">
        <v>4435</v>
      </c>
      <c r="V12" s="65" t="s">
        <v>879</v>
      </c>
      <c r="W12" s="52"/>
      <c r="X12" s="52"/>
    </row>
    <row r="13" spans="1:24" s="514" customFormat="1" ht="20.25" customHeight="1" x14ac:dyDescent="0.15">
      <c r="A13" s="89"/>
      <c r="B13" s="169"/>
      <c r="C13" s="169"/>
      <c r="E13" s="172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390"/>
      <c r="V13" s="175"/>
      <c r="W13" s="52"/>
      <c r="X13" s="528"/>
    </row>
    <row r="14" spans="1:24" s="514" customFormat="1" ht="20.25" customHeight="1" x14ac:dyDescent="0.15">
      <c r="A14" s="89"/>
      <c r="B14" s="169" t="s">
        <v>687</v>
      </c>
      <c r="C14" s="169" t="s">
        <v>880</v>
      </c>
      <c r="D14" s="467"/>
      <c r="E14" s="174"/>
      <c r="F14" s="175">
        <v>26284053</v>
      </c>
      <c r="G14" s="175">
        <v>3863550</v>
      </c>
      <c r="H14" s="175">
        <v>77491</v>
      </c>
      <c r="I14" s="175">
        <v>8065724</v>
      </c>
      <c r="J14" s="175">
        <v>818830</v>
      </c>
      <c r="K14" s="175">
        <v>5530672</v>
      </c>
      <c r="L14" s="175">
        <v>7927786</v>
      </c>
      <c r="M14" s="175">
        <v>90893</v>
      </c>
      <c r="N14" s="175">
        <v>7836893</v>
      </c>
      <c r="O14" s="175">
        <v>523212</v>
      </c>
      <c r="P14" s="175" t="s">
        <v>796</v>
      </c>
      <c r="Q14" s="175">
        <v>730</v>
      </c>
      <c r="R14" s="175">
        <v>19930</v>
      </c>
      <c r="S14" s="175">
        <v>196191</v>
      </c>
      <c r="T14" s="175">
        <v>191818</v>
      </c>
      <c r="U14" s="390">
        <v>4373</v>
      </c>
      <c r="V14" s="64" t="s">
        <v>881</v>
      </c>
      <c r="W14" s="52"/>
      <c r="X14" s="166" t="s">
        <v>203</v>
      </c>
    </row>
    <row r="15" spans="1:24" s="514" customFormat="1" ht="20.25" customHeight="1" x14ac:dyDescent="0.15">
      <c r="A15" s="89"/>
      <c r="B15" s="169" t="s">
        <v>214</v>
      </c>
      <c r="C15" s="169" t="s">
        <v>915</v>
      </c>
      <c r="D15" s="467"/>
      <c r="E15" s="174"/>
      <c r="F15" s="175">
        <v>24185427</v>
      </c>
      <c r="G15" s="175">
        <v>3278190</v>
      </c>
      <c r="H15" s="175">
        <v>44144</v>
      </c>
      <c r="I15" s="175">
        <v>8388818</v>
      </c>
      <c r="J15" s="175">
        <v>1021815</v>
      </c>
      <c r="K15" s="175">
        <v>4621754</v>
      </c>
      <c r="L15" s="175">
        <v>6830706</v>
      </c>
      <c r="M15" s="175">
        <v>122610</v>
      </c>
      <c r="N15" s="175">
        <v>6708096</v>
      </c>
      <c r="O15" s="175">
        <v>415978</v>
      </c>
      <c r="P15" s="175" t="s">
        <v>796</v>
      </c>
      <c r="Q15" s="175">
        <v>831</v>
      </c>
      <c r="R15" s="175">
        <v>12222</v>
      </c>
      <c r="S15" s="175">
        <v>149206</v>
      </c>
      <c r="T15" s="175">
        <v>144771</v>
      </c>
      <c r="U15" s="390">
        <v>4435</v>
      </c>
      <c r="V15" s="64" t="s">
        <v>882</v>
      </c>
      <c r="W15" s="52"/>
      <c r="X15" s="166"/>
    </row>
    <row r="16" spans="1:24" s="514" customFormat="1" ht="20.25" customHeight="1" x14ac:dyDescent="0.15">
      <c r="A16" s="89"/>
      <c r="B16" s="169"/>
      <c r="C16" s="169"/>
      <c r="E16" s="172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390"/>
      <c r="V16" s="59"/>
      <c r="W16" s="52"/>
      <c r="X16" s="166"/>
    </row>
    <row r="17" spans="1:24" s="514" customFormat="1" ht="20.25" customHeight="1" x14ac:dyDescent="0.15">
      <c r="A17" s="89"/>
      <c r="B17" s="169" t="s">
        <v>687</v>
      </c>
      <c r="C17" s="169" t="s">
        <v>797</v>
      </c>
      <c r="D17" s="516" t="s">
        <v>604</v>
      </c>
      <c r="E17" s="174"/>
      <c r="F17" s="175">
        <v>7071451</v>
      </c>
      <c r="G17" s="175">
        <v>1454642</v>
      </c>
      <c r="H17" s="175">
        <v>22246</v>
      </c>
      <c r="I17" s="175">
        <v>1859702</v>
      </c>
      <c r="J17" s="175">
        <v>44</v>
      </c>
      <c r="K17" s="175">
        <v>1483533</v>
      </c>
      <c r="L17" s="175">
        <v>2251284</v>
      </c>
      <c r="M17" s="175">
        <v>23819</v>
      </c>
      <c r="N17" s="175">
        <v>2227465</v>
      </c>
      <c r="O17" s="175">
        <v>97488</v>
      </c>
      <c r="P17" s="175" t="s">
        <v>796</v>
      </c>
      <c r="Q17" s="175">
        <v>168</v>
      </c>
      <c r="R17" s="175">
        <v>4590</v>
      </c>
      <c r="S17" s="175">
        <v>30787</v>
      </c>
      <c r="T17" s="175">
        <v>30787</v>
      </c>
      <c r="U17" s="390" t="s">
        <v>796</v>
      </c>
      <c r="V17" s="60" t="s">
        <v>883</v>
      </c>
      <c r="W17" s="52"/>
      <c r="X17" s="166"/>
    </row>
    <row r="18" spans="1:24" s="514" customFormat="1" ht="20.25" customHeight="1" x14ac:dyDescent="0.15">
      <c r="A18" s="89"/>
      <c r="B18" s="169" t="s">
        <v>214</v>
      </c>
      <c r="C18" s="169" t="s">
        <v>214</v>
      </c>
      <c r="D18" s="516" t="s">
        <v>605</v>
      </c>
      <c r="E18" s="174"/>
      <c r="F18" s="175">
        <v>5467080</v>
      </c>
      <c r="G18" s="175">
        <v>804099</v>
      </c>
      <c r="H18" s="175">
        <v>13316</v>
      </c>
      <c r="I18" s="175">
        <v>2082216</v>
      </c>
      <c r="J18" s="175">
        <v>220977</v>
      </c>
      <c r="K18" s="175">
        <v>973799</v>
      </c>
      <c r="L18" s="175">
        <v>1372673</v>
      </c>
      <c r="M18" s="175">
        <v>2324</v>
      </c>
      <c r="N18" s="175">
        <v>1370349</v>
      </c>
      <c r="O18" s="175">
        <v>104589</v>
      </c>
      <c r="P18" s="175" t="s">
        <v>796</v>
      </c>
      <c r="Q18" s="175">
        <v>191</v>
      </c>
      <c r="R18" s="175">
        <v>3900</v>
      </c>
      <c r="S18" s="175">
        <v>30799</v>
      </c>
      <c r="T18" s="175">
        <v>27795</v>
      </c>
      <c r="U18" s="390">
        <v>3004</v>
      </c>
      <c r="V18" s="63" t="s">
        <v>884</v>
      </c>
      <c r="W18" s="52"/>
      <c r="X18" s="166"/>
    </row>
    <row r="19" spans="1:24" s="514" customFormat="1" ht="20.25" customHeight="1" x14ac:dyDescent="0.15">
      <c r="A19" s="89"/>
      <c r="B19" s="169" t="s">
        <v>214</v>
      </c>
      <c r="C19" s="169" t="s">
        <v>214</v>
      </c>
      <c r="D19" s="516" t="s">
        <v>606</v>
      </c>
      <c r="E19" s="174"/>
      <c r="F19" s="175">
        <v>5568202</v>
      </c>
      <c r="G19" s="175">
        <v>411260</v>
      </c>
      <c r="H19" s="175">
        <v>5478</v>
      </c>
      <c r="I19" s="175">
        <v>2133374</v>
      </c>
      <c r="J19" s="175">
        <v>289403</v>
      </c>
      <c r="K19" s="175">
        <v>1134911</v>
      </c>
      <c r="L19" s="175">
        <v>1593776</v>
      </c>
      <c r="M19" s="175">
        <v>10991</v>
      </c>
      <c r="N19" s="175">
        <v>1582785</v>
      </c>
      <c r="O19" s="175">
        <v>90867</v>
      </c>
      <c r="P19" s="175" t="s">
        <v>796</v>
      </c>
      <c r="Q19" s="175">
        <v>280</v>
      </c>
      <c r="R19" s="175">
        <v>3138</v>
      </c>
      <c r="S19" s="175">
        <v>50972</v>
      </c>
      <c r="T19" s="175">
        <v>49541</v>
      </c>
      <c r="U19" s="390">
        <v>1431</v>
      </c>
      <c r="V19" s="62" t="s">
        <v>885</v>
      </c>
      <c r="W19" s="52"/>
      <c r="X19" s="166" t="s">
        <v>203</v>
      </c>
    </row>
    <row r="20" spans="1:24" s="514" customFormat="1" ht="20.25" customHeight="1" x14ac:dyDescent="0.15">
      <c r="A20" s="89"/>
      <c r="B20" s="169" t="s">
        <v>214</v>
      </c>
      <c r="C20" s="169" t="s">
        <v>214</v>
      </c>
      <c r="D20" s="516" t="s">
        <v>524</v>
      </c>
      <c r="E20" s="174"/>
      <c r="F20" s="175">
        <v>7059022</v>
      </c>
      <c r="G20" s="175">
        <v>894882</v>
      </c>
      <c r="H20" s="175">
        <v>19850</v>
      </c>
      <c r="I20" s="175">
        <v>2203364</v>
      </c>
      <c r="J20" s="175">
        <v>458184</v>
      </c>
      <c r="K20" s="175">
        <v>1374233</v>
      </c>
      <c r="L20" s="175">
        <v>2108509</v>
      </c>
      <c r="M20" s="175">
        <v>47317</v>
      </c>
      <c r="N20" s="175">
        <v>2061192</v>
      </c>
      <c r="O20" s="175">
        <v>86570</v>
      </c>
      <c r="P20" s="175" t="s">
        <v>796</v>
      </c>
      <c r="Q20" s="175">
        <v>159</v>
      </c>
      <c r="R20" s="175">
        <v>3097</v>
      </c>
      <c r="S20" s="175">
        <v>40623</v>
      </c>
      <c r="T20" s="175">
        <v>40623</v>
      </c>
      <c r="U20" s="390" t="s">
        <v>796</v>
      </c>
      <c r="V20" s="61" t="s">
        <v>886</v>
      </c>
      <c r="W20" s="52"/>
      <c r="X20" s="166" t="s">
        <v>203</v>
      </c>
    </row>
    <row r="21" spans="1:24" s="514" customFormat="1" ht="20.25" customHeight="1" x14ac:dyDescent="0.15">
      <c r="A21" s="89"/>
      <c r="B21" s="169" t="s">
        <v>687</v>
      </c>
      <c r="C21" s="169" t="s">
        <v>887</v>
      </c>
      <c r="D21" s="516" t="s">
        <v>607</v>
      </c>
      <c r="E21" s="174"/>
      <c r="F21" s="175">
        <v>6091123</v>
      </c>
      <c r="G21" s="175">
        <v>1167949</v>
      </c>
      <c r="H21" s="175">
        <v>5500</v>
      </c>
      <c r="I21" s="175">
        <v>1969864</v>
      </c>
      <c r="J21" s="175">
        <v>53251</v>
      </c>
      <c r="K21" s="175">
        <v>1138811</v>
      </c>
      <c r="L21" s="175">
        <v>1755748</v>
      </c>
      <c r="M21" s="175">
        <v>61978</v>
      </c>
      <c r="N21" s="175">
        <v>1693770</v>
      </c>
      <c r="O21" s="175">
        <v>133952</v>
      </c>
      <c r="P21" s="175" t="s">
        <v>796</v>
      </c>
      <c r="Q21" s="175">
        <v>201</v>
      </c>
      <c r="R21" s="175">
        <v>2087</v>
      </c>
      <c r="S21" s="175">
        <v>26812</v>
      </c>
      <c r="T21" s="175">
        <v>26812</v>
      </c>
      <c r="U21" s="390" t="s">
        <v>796</v>
      </c>
      <c r="V21" s="60" t="s">
        <v>889</v>
      </c>
      <c r="W21" s="52"/>
      <c r="X21" s="166"/>
    </row>
    <row r="22" spans="1:24" s="514" customFormat="1" ht="20.25" customHeight="1" x14ac:dyDescent="0.15">
      <c r="A22" s="89"/>
      <c r="B22" s="169"/>
      <c r="C22" s="169"/>
      <c r="E22" s="172"/>
      <c r="F22" s="257"/>
      <c r="G22" s="257"/>
      <c r="H22" s="257"/>
      <c r="I22" s="257"/>
      <c r="J22" s="257"/>
      <c r="K22" s="257"/>
      <c r="L22" s="257"/>
      <c r="M22" s="257"/>
      <c r="N22" s="257"/>
      <c r="O22" s="258"/>
      <c r="P22" s="258"/>
      <c r="Q22" s="258"/>
      <c r="R22" s="258"/>
      <c r="S22" s="258"/>
      <c r="T22" s="258"/>
      <c r="U22" s="391"/>
      <c r="V22" s="59"/>
      <c r="W22" s="52"/>
      <c r="X22" s="166"/>
    </row>
    <row r="23" spans="1:24" s="514" customFormat="1" ht="20.25" customHeight="1" x14ac:dyDescent="0.15">
      <c r="A23" s="89"/>
      <c r="B23" s="169" t="s">
        <v>687</v>
      </c>
      <c r="C23" s="169" t="s">
        <v>797</v>
      </c>
      <c r="D23" s="169" t="s">
        <v>589</v>
      </c>
      <c r="E23" s="168"/>
      <c r="F23" s="171">
        <v>2132912</v>
      </c>
      <c r="G23" s="171">
        <v>388567</v>
      </c>
      <c r="H23" s="56">
        <v>11624</v>
      </c>
      <c r="I23" s="171">
        <v>633647</v>
      </c>
      <c r="J23" s="171">
        <v>20</v>
      </c>
      <c r="K23" s="171">
        <v>427080</v>
      </c>
      <c r="L23" s="171">
        <v>671974</v>
      </c>
      <c r="M23" s="171">
        <v>687</v>
      </c>
      <c r="N23" s="171">
        <v>671287</v>
      </c>
      <c r="O23" s="171">
        <v>31326</v>
      </c>
      <c r="P23" s="56" t="s">
        <v>796</v>
      </c>
      <c r="Q23" s="171">
        <v>49</v>
      </c>
      <c r="R23" s="171">
        <v>1391</v>
      </c>
      <c r="S23" s="171">
        <v>18478</v>
      </c>
      <c r="T23" s="171">
        <v>18478</v>
      </c>
      <c r="U23" s="173" t="s">
        <v>796</v>
      </c>
      <c r="V23" s="58" t="s">
        <v>890</v>
      </c>
      <c r="W23" s="52"/>
      <c r="X23" s="166" t="s">
        <v>203</v>
      </c>
    </row>
    <row r="24" spans="1:24" s="514" customFormat="1" ht="20.25" customHeight="1" x14ac:dyDescent="0.15">
      <c r="A24" s="89"/>
      <c r="B24" s="169" t="s">
        <v>214</v>
      </c>
      <c r="C24" s="169" t="s">
        <v>214</v>
      </c>
      <c r="D24" s="169" t="s">
        <v>590</v>
      </c>
      <c r="E24" s="168"/>
      <c r="F24" s="175">
        <v>2171706</v>
      </c>
      <c r="G24" s="175">
        <v>487496</v>
      </c>
      <c r="H24" s="175">
        <v>4770</v>
      </c>
      <c r="I24" s="175">
        <v>581056</v>
      </c>
      <c r="J24" s="175">
        <v>16</v>
      </c>
      <c r="K24" s="175">
        <v>360946</v>
      </c>
      <c r="L24" s="175">
        <v>737422</v>
      </c>
      <c r="M24" s="175">
        <v>567</v>
      </c>
      <c r="N24" s="175">
        <v>736855</v>
      </c>
      <c r="O24" s="175">
        <v>28001</v>
      </c>
      <c r="P24" s="175" t="s">
        <v>796</v>
      </c>
      <c r="Q24" s="175">
        <v>76</v>
      </c>
      <c r="R24" s="175">
        <v>1392</v>
      </c>
      <c r="S24" s="175">
        <v>9266</v>
      </c>
      <c r="T24" s="175">
        <v>9266</v>
      </c>
      <c r="U24" s="390" t="s">
        <v>796</v>
      </c>
      <c r="V24" s="53" t="s">
        <v>397</v>
      </c>
      <c r="W24" s="52"/>
      <c r="X24" s="166"/>
    </row>
    <row r="25" spans="1:24" s="514" customFormat="1" ht="20.25" customHeight="1" x14ac:dyDescent="0.15">
      <c r="A25" s="89"/>
      <c r="B25" s="169" t="s">
        <v>214</v>
      </c>
      <c r="C25" s="169" t="s">
        <v>214</v>
      </c>
      <c r="D25" s="169" t="s">
        <v>591</v>
      </c>
      <c r="E25" s="168"/>
      <c r="F25" s="171">
        <v>2766833</v>
      </c>
      <c r="G25" s="171">
        <v>578579</v>
      </c>
      <c r="H25" s="56">
        <v>5852</v>
      </c>
      <c r="I25" s="171">
        <v>644999</v>
      </c>
      <c r="J25" s="171">
        <v>8</v>
      </c>
      <c r="K25" s="171">
        <v>695507</v>
      </c>
      <c r="L25" s="171">
        <v>841888</v>
      </c>
      <c r="M25" s="171">
        <v>22565</v>
      </c>
      <c r="N25" s="171">
        <v>819323</v>
      </c>
      <c r="O25" s="171">
        <v>38161</v>
      </c>
      <c r="P25" s="56" t="s">
        <v>796</v>
      </c>
      <c r="Q25" s="171">
        <v>43</v>
      </c>
      <c r="R25" s="171">
        <v>1807</v>
      </c>
      <c r="S25" s="171">
        <v>3043</v>
      </c>
      <c r="T25" s="171">
        <v>3043</v>
      </c>
      <c r="U25" s="102" t="s">
        <v>796</v>
      </c>
      <c r="V25" s="53" t="s">
        <v>398</v>
      </c>
      <c r="W25" s="52"/>
      <c r="X25" s="166" t="s">
        <v>203</v>
      </c>
    </row>
    <row r="26" spans="1:24" s="514" customFormat="1" ht="20.25" customHeight="1" x14ac:dyDescent="0.15">
      <c r="A26" s="89"/>
      <c r="B26" s="169" t="s">
        <v>214</v>
      </c>
      <c r="C26" s="169" t="s">
        <v>214</v>
      </c>
      <c r="D26" s="169" t="s">
        <v>592</v>
      </c>
      <c r="E26" s="168"/>
      <c r="F26" s="175">
        <v>1831570</v>
      </c>
      <c r="G26" s="175">
        <v>297836</v>
      </c>
      <c r="H26" s="175">
        <v>11917</v>
      </c>
      <c r="I26" s="175">
        <v>698706</v>
      </c>
      <c r="J26" s="175">
        <v>62895</v>
      </c>
      <c r="K26" s="175">
        <v>217835</v>
      </c>
      <c r="L26" s="175">
        <v>542381</v>
      </c>
      <c r="M26" s="175">
        <v>1066</v>
      </c>
      <c r="N26" s="175">
        <v>541315</v>
      </c>
      <c r="O26" s="175">
        <v>38902</v>
      </c>
      <c r="P26" s="175" t="s">
        <v>796</v>
      </c>
      <c r="Q26" s="175">
        <v>72</v>
      </c>
      <c r="R26" s="175">
        <v>1491</v>
      </c>
      <c r="S26" s="175">
        <v>3106</v>
      </c>
      <c r="T26" s="175">
        <v>3106</v>
      </c>
      <c r="U26" s="390" t="s">
        <v>796</v>
      </c>
      <c r="V26" s="53" t="s">
        <v>399</v>
      </c>
      <c r="W26" s="52"/>
      <c r="X26" s="166"/>
    </row>
    <row r="27" spans="1:24" s="514" customFormat="1" ht="20.25" customHeight="1" x14ac:dyDescent="0.15">
      <c r="A27" s="89"/>
      <c r="B27" s="169" t="s">
        <v>214</v>
      </c>
      <c r="C27" s="169" t="s">
        <v>214</v>
      </c>
      <c r="D27" s="169" t="s">
        <v>593</v>
      </c>
      <c r="E27" s="168"/>
      <c r="F27" s="175">
        <v>1764814</v>
      </c>
      <c r="G27" s="175">
        <v>284175</v>
      </c>
      <c r="H27" s="175">
        <v>1399</v>
      </c>
      <c r="I27" s="175">
        <v>708293</v>
      </c>
      <c r="J27" s="175">
        <v>104572</v>
      </c>
      <c r="K27" s="175">
        <v>287002</v>
      </c>
      <c r="L27" s="175">
        <v>379373</v>
      </c>
      <c r="M27" s="175">
        <v>871</v>
      </c>
      <c r="N27" s="175">
        <v>378502</v>
      </c>
      <c r="O27" s="175">
        <v>25206</v>
      </c>
      <c r="P27" s="175" t="s">
        <v>796</v>
      </c>
      <c r="Q27" s="175">
        <v>54</v>
      </c>
      <c r="R27" s="175">
        <v>1397</v>
      </c>
      <c r="S27" s="175">
        <v>6057</v>
      </c>
      <c r="T27" s="175">
        <v>6057</v>
      </c>
      <c r="U27" s="390" t="s">
        <v>796</v>
      </c>
      <c r="V27" s="53" t="s">
        <v>407</v>
      </c>
      <c r="W27" s="52"/>
      <c r="X27" s="166" t="s">
        <v>203</v>
      </c>
    </row>
    <row r="28" spans="1:24" s="514" customFormat="1" ht="20.25" customHeight="1" x14ac:dyDescent="0.15">
      <c r="A28" s="89"/>
      <c r="B28" s="169" t="s">
        <v>214</v>
      </c>
      <c r="C28" s="169" t="s">
        <v>214</v>
      </c>
      <c r="D28" s="169" t="s">
        <v>594</v>
      </c>
      <c r="E28" s="168"/>
      <c r="F28" s="175">
        <v>1870696</v>
      </c>
      <c r="G28" s="175">
        <v>222088</v>
      </c>
      <c r="H28" s="175" t="s">
        <v>796</v>
      </c>
      <c r="I28" s="175">
        <v>675217</v>
      </c>
      <c r="J28" s="175">
        <v>53510</v>
      </c>
      <c r="K28" s="175">
        <v>468962</v>
      </c>
      <c r="L28" s="175">
        <v>450919</v>
      </c>
      <c r="M28" s="175">
        <v>387</v>
      </c>
      <c r="N28" s="175">
        <v>450532</v>
      </c>
      <c r="O28" s="175">
        <v>40481</v>
      </c>
      <c r="P28" s="175" t="s">
        <v>796</v>
      </c>
      <c r="Q28" s="175">
        <v>65</v>
      </c>
      <c r="R28" s="175">
        <v>1012</v>
      </c>
      <c r="S28" s="175">
        <v>21636</v>
      </c>
      <c r="T28" s="175">
        <v>18632</v>
      </c>
      <c r="U28" s="390">
        <v>3004</v>
      </c>
      <c r="V28" s="53" t="s">
        <v>400</v>
      </c>
      <c r="W28" s="52"/>
      <c r="X28" s="166"/>
    </row>
    <row r="29" spans="1:24" s="514" customFormat="1" ht="20.25" customHeight="1" x14ac:dyDescent="0.15">
      <c r="A29" s="89"/>
      <c r="B29" s="169" t="s">
        <v>214</v>
      </c>
      <c r="C29" s="169" t="s">
        <v>214</v>
      </c>
      <c r="D29" s="169" t="s">
        <v>595</v>
      </c>
      <c r="E29" s="168"/>
      <c r="F29" s="175">
        <v>1764616</v>
      </c>
      <c r="G29" s="175">
        <v>169172</v>
      </c>
      <c r="H29" s="175" t="s">
        <v>796</v>
      </c>
      <c r="I29" s="175">
        <v>698817</v>
      </c>
      <c r="J29" s="175">
        <v>52800</v>
      </c>
      <c r="K29" s="175">
        <v>355231</v>
      </c>
      <c r="L29" s="175">
        <v>488596</v>
      </c>
      <c r="M29" s="175">
        <v>946</v>
      </c>
      <c r="N29" s="175">
        <v>487650</v>
      </c>
      <c r="O29" s="175">
        <v>37056</v>
      </c>
      <c r="P29" s="175" t="s">
        <v>796</v>
      </c>
      <c r="Q29" s="175">
        <v>85</v>
      </c>
      <c r="R29" s="175">
        <v>1049</v>
      </c>
      <c r="S29" s="175">
        <v>14532</v>
      </c>
      <c r="T29" s="175">
        <v>14532</v>
      </c>
      <c r="U29" s="390" t="s">
        <v>796</v>
      </c>
      <c r="V29" s="53" t="s">
        <v>401</v>
      </c>
      <c r="W29" s="52"/>
      <c r="X29" s="166" t="s">
        <v>203</v>
      </c>
    </row>
    <row r="30" spans="1:24" s="514" customFormat="1" ht="20.25" customHeight="1" x14ac:dyDescent="0.15">
      <c r="A30" s="89"/>
      <c r="B30" s="169" t="s">
        <v>214</v>
      </c>
      <c r="C30" s="169" t="s">
        <v>214</v>
      </c>
      <c r="D30" s="169" t="s">
        <v>596</v>
      </c>
      <c r="E30" s="168"/>
      <c r="F30" s="175">
        <v>1794433</v>
      </c>
      <c r="G30" s="175">
        <v>90649</v>
      </c>
      <c r="H30" s="175" t="s">
        <v>796</v>
      </c>
      <c r="I30" s="175">
        <v>716646</v>
      </c>
      <c r="J30" s="175">
        <v>129402</v>
      </c>
      <c r="K30" s="175">
        <v>353310</v>
      </c>
      <c r="L30" s="175">
        <v>504426</v>
      </c>
      <c r="M30" s="175">
        <v>225</v>
      </c>
      <c r="N30" s="175">
        <v>504201</v>
      </c>
      <c r="O30" s="175">
        <v>28233</v>
      </c>
      <c r="P30" s="175" t="s">
        <v>796</v>
      </c>
      <c r="Q30" s="175">
        <v>104</v>
      </c>
      <c r="R30" s="175">
        <v>947</v>
      </c>
      <c r="S30" s="175">
        <v>15327</v>
      </c>
      <c r="T30" s="175">
        <v>15327</v>
      </c>
      <c r="U30" s="390" t="s">
        <v>796</v>
      </c>
      <c r="V30" s="53" t="s">
        <v>402</v>
      </c>
      <c r="W30" s="52"/>
      <c r="X30" s="166"/>
    </row>
    <row r="31" spans="1:24" s="514" customFormat="1" ht="20.25" customHeight="1" x14ac:dyDescent="0.15">
      <c r="A31" s="89"/>
      <c r="B31" s="169" t="s">
        <v>214</v>
      </c>
      <c r="C31" s="169" t="s">
        <v>214</v>
      </c>
      <c r="D31" s="169" t="s">
        <v>597</v>
      </c>
      <c r="E31" s="168"/>
      <c r="F31" s="175">
        <v>2009153</v>
      </c>
      <c r="G31" s="175">
        <v>151439</v>
      </c>
      <c r="H31" s="175">
        <v>5478</v>
      </c>
      <c r="I31" s="175">
        <v>717911</v>
      </c>
      <c r="J31" s="175">
        <v>107201</v>
      </c>
      <c r="K31" s="175">
        <v>426370</v>
      </c>
      <c r="L31" s="175">
        <v>600754</v>
      </c>
      <c r="M31" s="175">
        <v>9820</v>
      </c>
      <c r="N31" s="175">
        <v>590934</v>
      </c>
      <c r="O31" s="175">
        <v>25578</v>
      </c>
      <c r="P31" s="175" t="s">
        <v>796</v>
      </c>
      <c r="Q31" s="175">
        <v>91</v>
      </c>
      <c r="R31" s="175">
        <v>1142</v>
      </c>
      <c r="S31" s="175">
        <v>21113</v>
      </c>
      <c r="T31" s="175">
        <v>19682</v>
      </c>
      <c r="U31" s="390">
        <v>1431</v>
      </c>
      <c r="V31" s="53" t="s">
        <v>403</v>
      </c>
      <c r="W31" s="52"/>
      <c r="X31" s="166" t="s">
        <v>203</v>
      </c>
    </row>
    <row r="32" spans="1:24" s="514" customFormat="1" ht="20.25" customHeight="1" x14ac:dyDescent="0.15">
      <c r="A32" s="89"/>
      <c r="B32" s="169" t="s">
        <v>214</v>
      </c>
      <c r="C32" s="169" t="s">
        <v>214</v>
      </c>
      <c r="D32" s="468" t="s">
        <v>688</v>
      </c>
      <c r="E32" s="168"/>
      <c r="F32" s="175">
        <v>2051309</v>
      </c>
      <c r="G32" s="175">
        <v>236799</v>
      </c>
      <c r="H32" s="175">
        <v>5700</v>
      </c>
      <c r="I32" s="175">
        <v>698581</v>
      </c>
      <c r="J32" s="175">
        <v>173966</v>
      </c>
      <c r="K32" s="175">
        <v>372712</v>
      </c>
      <c r="L32" s="175">
        <v>563551</v>
      </c>
      <c r="M32" s="175">
        <v>11174</v>
      </c>
      <c r="N32" s="175">
        <v>552377</v>
      </c>
      <c r="O32" s="175">
        <v>36277</v>
      </c>
      <c r="P32" s="175" t="s">
        <v>796</v>
      </c>
      <c r="Q32" s="175">
        <v>48</v>
      </c>
      <c r="R32" s="175">
        <v>652</v>
      </c>
      <c r="S32" s="175">
        <v>26497</v>
      </c>
      <c r="T32" s="175">
        <v>26497</v>
      </c>
      <c r="U32" s="390" t="s">
        <v>796</v>
      </c>
      <c r="V32" s="53" t="s">
        <v>404</v>
      </c>
      <c r="W32" s="52"/>
      <c r="X32" s="166"/>
    </row>
    <row r="33" spans="1:24" s="514" customFormat="1" ht="20.25" customHeight="1" x14ac:dyDescent="0.15">
      <c r="A33" s="89"/>
      <c r="B33" s="169" t="s">
        <v>214</v>
      </c>
      <c r="C33" s="169" t="s">
        <v>214</v>
      </c>
      <c r="D33" s="468" t="s">
        <v>689</v>
      </c>
      <c r="E33" s="168"/>
      <c r="F33" s="175">
        <v>2327646</v>
      </c>
      <c r="G33" s="175">
        <v>293279</v>
      </c>
      <c r="H33" s="175">
        <v>3626</v>
      </c>
      <c r="I33" s="175">
        <v>778450</v>
      </c>
      <c r="J33" s="175">
        <v>152403</v>
      </c>
      <c r="K33" s="175">
        <v>418534</v>
      </c>
      <c r="L33" s="175">
        <v>681354</v>
      </c>
      <c r="M33" s="175">
        <v>5878</v>
      </c>
      <c r="N33" s="175">
        <v>675476</v>
      </c>
      <c r="O33" s="175">
        <v>23973</v>
      </c>
      <c r="P33" s="175" t="s">
        <v>796</v>
      </c>
      <c r="Q33" s="175">
        <v>36</v>
      </c>
      <c r="R33" s="175">
        <v>1013</v>
      </c>
      <c r="S33" s="175">
        <v>7864</v>
      </c>
      <c r="T33" s="175">
        <v>7864</v>
      </c>
      <c r="U33" s="390" t="s">
        <v>796</v>
      </c>
      <c r="V33" s="53" t="s">
        <v>405</v>
      </c>
      <c r="W33" s="52"/>
      <c r="X33" s="166"/>
    </row>
    <row r="34" spans="1:24" s="514" customFormat="1" ht="20.25" customHeight="1" x14ac:dyDescent="0.15">
      <c r="A34" s="89"/>
      <c r="B34" s="169" t="s">
        <v>214</v>
      </c>
      <c r="C34" s="169" t="s">
        <v>214</v>
      </c>
      <c r="D34" s="468" t="s">
        <v>690</v>
      </c>
      <c r="E34" s="168"/>
      <c r="F34" s="175">
        <v>2680067</v>
      </c>
      <c r="G34" s="175">
        <v>364804</v>
      </c>
      <c r="H34" s="175">
        <v>10524</v>
      </c>
      <c r="I34" s="175">
        <v>726333</v>
      </c>
      <c r="J34" s="175">
        <v>131815</v>
      </c>
      <c r="K34" s="175">
        <v>582987</v>
      </c>
      <c r="L34" s="175">
        <v>863604</v>
      </c>
      <c r="M34" s="175">
        <v>30265</v>
      </c>
      <c r="N34" s="175">
        <v>833339</v>
      </c>
      <c r="O34" s="175">
        <v>26320</v>
      </c>
      <c r="P34" s="175" t="s">
        <v>796</v>
      </c>
      <c r="Q34" s="175">
        <v>75</v>
      </c>
      <c r="R34" s="175">
        <v>1432</v>
      </c>
      <c r="S34" s="175">
        <v>6262</v>
      </c>
      <c r="T34" s="175">
        <v>6262</v>
      </c>
      <c r="U34" s="390" t="s">
        <v>796</v>
      </c>
      <c r="V34" s="53" t="s">
        <v>406</v>
      </c>
      <c r="W34" s="52"/>
      <c r="X34" s="166" t="s">
        <v>203</v>
      </c>
    </row>
    <row r="35" spans="1:24" s="514" customFormat="1" ht="20.25" customHeight="1" x14ac:dyDescent="0.15">
      <c r="A35" s="89"/>
      <c r="B35" s="169"/>
      <c r="C35" s="169"/>
      <c r="D35" s="169"/>
      <c r="E35" s="168"/>
      <c r="F35" s="175"/>
      <c r="G35" s="257"/>
      <c r="H35" s="257"/>
      <c r="I35" s="257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390"/>
      <c r="V35" s="170"/>
      <c r="W35" s="52"/>
      <c r="X35" s="166"/>
    </row>
    <row r="36" spans="1:24" s="514" customFormat="1" ht="20.25" customHeight="1" x14ac:dyDescent="0.15">
      <c r="A36" s="89"/>
      <c r="B36" s="169" t="s">
        <v>687</v>
      </c>
      <c r="C36" s="169" t="s">
        <v>887</v>
      </c>
      <c r="D36" s="169" t="s">
        <v>598</v>
      </c>
      <c r="E36" s="168"/>
      <c r="F36" s="175">
        <v>2226302</v>
      </c>
      <c r="G36" s="175">
        <v>502126</v>
      </c>
      <c r="H36" s="175">
        <v>5500</v>
      </c>
      <c r="I36" s="175">
        <v>643156</v>
      </c>
      <c r="J36" s="175" t="s">
        <v>796</v>
      </c>
      <c r="K36" s="175">
        <v>526883</v>
      </c>
      <c r="L36" s="175">
        <v>548637</v>
      </c>
      <c r="M36" s="175">
        <v>27213</v>
      </c>
      <c r="N36" s="175">
        <v>521424</v>
      </c>
      <c r="O36" s="175">
        <v>44967</v>
      </c>
      <c r="P36" s="175" t="s">
        <v>796</v>
      </c>
      <c r="Q36" s="175">
        <v>61</v>
      </c>
      <c r="R36" s="175">
        <v>514</v>
      </c>
      <c r="S36" s="175">
        <v>4760</v>
      </c>
      <c r="T36" s="175">
        <v>4760</v>
      </c>
      <c r="U36" s="390" t="s">
        <v>796</v>
      </c>
      <c r="V36" s="58" t="s">
        <v>892</v>
      </c>
      <c r="W36" s="52"/>
      <c r="X36" s="166" t="s">
        <v>203</v>
      </c>
    </row>
    <row r="37" spans="1:24" s="514" customFormat="1" ht="20.25" customHeight="1" x14ac:dyDescent="0.15">
      <c r="A37" s="89"/>
      <c r="B37" s="169" t="s">
        <v>214</v>
      </c>
      <c r="C37" s="169" t="s">
        <v>214</v>
      </c>
      <c r="D37" s="169" t="s">
        <v>590</v>
      </c>
      <c r="E37" s="168"/>
      <c r="F37" s="175">
        <v>1921522</v>
      </c>
      <c r="G37" s="175">
        <v>408736</v>
      </c>
      <c r="H37" s="175" t="s">
        <v>796</v>
      </c>
      <c r="I37" s="175">
        <v>620497</v>
      </c>
      <c r="J37" s="175">
        <v>20000</v>
      </c>
      <c r="K37" s="175">
        <v>381946</v>
      </c>
      <c r="L37" s="175">
        <v>490343</v>
      </c>
      <c r="M37" s="175">
        <v>22110</v>
      </c>
      <c r="N37" s="175">
        <v>468233</v>
      </c>
      <c r="O37" s="175">
        <v>33938</v>
      </c>
      <c r="P37" s="175" t="s">
        <v>796</v>
      </c>
      <c r="Q37" s="175">
        <v>51</v>
      </c>
      <c r="R37" s="175">
        <v>748</v>
      </c>
      <c r="S37" s="175">
        <v>10977</v>
      </c>
      <c r="T37" s="175">
        <v>10977</v>
      </c>
      <c r="U37" s="390" t="s">
        <v>796</v>
      </c>
      <c r="V37" s="53" t="s">
        <v>397</v>
      </c>
      <c r="W37" s="52"/>
      <c r="X37" s="166"/>
    </row>
    <row r="38" spans="1:24" s="514" customFormat="1" ht="20.25" customHeight="1" x14ac:dyDescent="0.15">
      <c r="A38" s="89"/>
      <c r="B38" s="744" t="s">
        <v>214</v>
      </c>
      <c r="C38" s="744" t="s">
        <v>214</v>
      </c>
      <c r="D38" s="743" t="s">
        <v>599</v>
      </c>
      <c r="E38" s="742"/>
      <c r="F38" s="809">
        <v>1943299</v>
      </c>
      <c r="G38" s="810">
        <v>257087</v>
      </c>
      <c r="H38" s="810" t="s">
        <v>796</v>
      </c>
      <c r="I38" s="810">
        <v>706211</v>
      </c>
      <c r="J38" s="810">
        <v>33251</v>
      </c>
      <c r="K38" s="810">
        <v>229982</v>
      </c>
      <c r="L38" s="810">
        <v>716768</v>
      </c>
      <c r="M38" s="810">
        <v>12655</v>
      </c>
      <c r="N38" s="810">
        <v>704113</v>
      </c>
      <c r="O38" s="810">
        <v>55047</v>
      </c>
      <c r="P38" s="810" t="s">
        <v>796</v>
      </c>
      <c r="Q38" s="810">
        <v>89</v>
      </c>
      <c r="R38" s="810">
        <v>825</v>
      </c>
      <c r="S38" s="810">
        <v>11075</v>
      </c>
      <c r="T38" s="810">
        <v>11075</v>
      </c>
      <c r="U38" s="811" t="s">
        <v>796</v>
      </c>
      <c r="V38" s="737" t="s">
        <v>398</v>
      </c>
      <c r="W38" s="52"/>
      <c r="X38" s="166" t="s">
        <v>203</v>
      </c>
    </row>
    <row r="39" spans="1:24" s="255" customFormat="1" ht="15" customHeight="1" x14ac:dyDescent="0.15">
      <c r="B39" s="94" t="s">
        <v>907</v>
      </c>
      <c r="C39" s="66"/>
      <c r="D39" s="528"/>
      <c r="E39" s="528"/>
      <c r="F39" s="528"/>
      <c r="G39" s="528"/>
      <c r="H39" s="528"/>
      <c r="I39" s="514"/>
      <c r="O39" s="95" t="s">
        <v>934</v>
      </c>
      <c r="Q39" s="256"/>
      <c r="R39" s="256"/>
    </row>
    <row r="40" spans="1:24" s="164" customFormat="1" ht="15" customHeight="1" x14ac:dyDescent="0.15">
      <c r="A40" s="254"/>
      <c r="B40" s="94" t="s">
        <v>488</v>
      </c>
      <c r="C40" s="123"/>
      <c r="D40" s="253"/>
      <c r="E40" s="253"/>
      <c r="O40" s="252"/>
      <c r="P40" s="252"/>
      <c r="Q40" s="252"/>
      <c r="R40" s="252"/>
      <c r="S40" s="251"/>
      <c r="T40" s="251"/>
      <c r="U40" s="251"/>
      <c r="V40" s="250"/>
      <c r="W40" s="250"/>
      <c r="X40" s="250"/>
    </row>
  </sheetData>
  <mergeCells count="2">
    <mergeCell ref="V4:V7"/>
    <mergeCell ref="B5:E5"/>
  </mergeCells>
  <phoneticPr fontId="34"/>
  <pageMargins left="0.59055118110236227" right="0.59055118110236227" top="0.59055118110236227" bottom="0.59055118110236227" header="0.59055118110236227" footer="0.15748031496062992"/>
  <pageSetup paperSize="9" scale="92" orientation="portrait" r:id="rId1"/>
  <headerFooter alignWithMargins="0"/>
  <colBreaks count="1" manualBreakCount="1">
    <brk id="14" max="39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15CC-2A3C-4CFF-869C-F30C5EF9ADE9}">
  <dimension ref="A1:W577"/>
  <sheetViews>
    <sheetView view="pageBreakPreview" zoomScaleNormal="98" zoomScaleSheetLayoutView="100" workbookViewId="0"/>
  </sheetViews>
  <sheetFormatPr defaultColWidth="6.875" defaultRowHeight="13.5" x14ac:dyDescent="0.15"/>
  <cols>
    <col min="1" max="1" width="16" style="240" customWidth="1"/>
    <col min="2" max="22" width="9.625" style="240" customWidth="1"/>
    <col min="23" max="23" width="6.875" style="240" customWidth="1"/>
    <col min="24" max="16384" width="6.875" style="240"/>
  </cols>
  <sheetData>
    <row r="1" spans="1:23" ht="15" customHeight="1" x14ac:dyDescent="0.15">
      <c r="A1" s="492" t="s">
        <v>537</v>
      </c>
      <c r="C1" s="453"/>
      <c r="D1" s="453"/>
      <c r="E1" s="453"/>
      <c r="F1" s="453"/>
      <c r="G1" s="453"/>
      <c r="H1" s="453"/>
      <c r="I1" s="453"/>
      <c r="J1" s="453"/>
      <c r="K1" s="454" t="s">
        <v>392</v>
      </c>
      <c r="L1" s="453"/>
      <c r="M1" s="453"/>
      <c r="N1" s="453"/>
      <c r="O1" s="453"/>
      <c r="P1" s="455"/>
      <c r="Q1" s="456"/>
      <c r="R1" s="456"/>
      <c r="S1" s="456"/>
      <c r="T1" s="456"/>
      <c r="U1" s="457"/>
      <c r="V1" s="458" t="s">
        <v>919</v>
      </c>
    </row>
    <row r="2" spans="1:23" s="244" customFormat="1" ht="21" customHeight="1" x14ac:dyDescent="0.15">
      <c r="A2" s="1026" t="s">
        <v>153</v>
      </c>
      <c r="B2" s="789" t="s">
        <v>288</v>
      </c>
      <c r="C2" s="790"/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  <c r="S2" s="790"/>
      <c r="T2" s="790"/>
      <c r="U2" s="790"/>
      <c r="V2" s="790"/>
      <c r="W2" s="1029" t="s">
        <v>72</v>
      </c>
    </row>
    <row r="3" spans="1:23" s="244" customFormat="1" ht="21" customHeight="1" x14ac:dyDescent="0.15">
      <c r="A3" s="1027"/>
      <c r="B3" s="1032" t="s">
        <v>707</v>
      </c>
      <c r="C3" s="789" t="s">
        <v>244</v>
      </c>
      <c r="D3" s="790"/>
      <c r="E3" s="790"/>
      <c r="F3" s="790"/>
      <c r="G3" s="790"/>
      <c r="H3" s="790"/>
      <c r="I3" s="790"/>
      <c r="J3" s="790"/>
      <c r="K3" s="790"/>
      <c r="L3" s="790"/>
      <c r="M3" s="790"/>
      <c r="N3" s="790"/>
      <c r="O3" s="790"/>
      <c r="P3" s="790"/>
      <c r="Q3" s="790"/>
      <c r="R3" s="788"/>
      <c r="S3" s="789" t="s">
        <v>238</v>
      </c>
      <c r="T3" s="790"/>
      <c r="U3" s="788"/>
      <c r="V3" s="789" t="s">
        <v>237</v>
      </c>
      <c r="W3" s="1030"/>
    </row>
    <row r="4" spans="1:23" s="244" customFormat="1" ht="52.5" customHeight="1" x14ac:dyDescent="0.15">
      <c r="A4" s="1028"/>
      <c r="B4" s="1033"/>
      <c r="C4" s="530" t="s">
        <v>920</v>
      </c>
      <c r="D4" s="245" t="s">
        <v>235</v>
      </c>
      <c r="E4" s="245" t="s">
        <v>921</v>
      </c>
      <c r="F4" s="245" t="s">
        <v>250</v>
      </c>
      <c r="G4" s="245" t="s">
        <v>256</v>
      </c>
      <c r="H4" s="245" t="s">
        <v>301</v>
      </c>
      <c r="I4" s="245" t="s">
        <v>255</v>
      </c>
      <c r="J4" s="245" t="s">
        <v>234</v>
      </c>
      <c r="K4" s="245" t="s">
        <v>233</v>
      </c>
      <c r="L4" s="245" t="s">
        <v>232</v>
      </c>
      <c r="M4" s="245" t="s">
        <v>282</v>
      </c>
      <c r="N4" s="245" t="s">
        <v>231</v>
      </c>
      <c r="O4" s="245" t="s">
        <v>260</v>
      </c>
      <c r="P4" s="245" t="s">
        <v>279</v>
      </c>
      <c r="Q4" s="245" t="s">
        <v>534</v>
      </c>
      <c r="R4" s="248" t="s">
        <v>925</v>
      </c>
      <c r="S4" s="530" t="s">
        <v>94</v>
      </c>
      <c r="T4" s="248" t="s">
        <v>922</v>
      </c>
      <c r="U4" s="245" t="s">
        <v>227</v>
      </c>
      <c r="V4" s="791" t="s">
        <v>96</v>
      </c>
      <c r="W4" s="1031"/>
    </row>
    <row r="5" spans="1:23" s="241" customFormat="1" ht="9.75" customHeight="1" x14ac:dyDescent="0.15">
      <c r="A5" s="645" t="s">
        <v>831</v>
      </c>
      <c r="B5" s="792">
        <v>21330362</v>
      </c>
      <c r="C5" s="793">
        <v>8516256</v>
      </c>
      <c r="D5" s="793">
        <v>3998102</v>
      </c>
      <c r="E5" s="793">
        <v>851413</v>
      </c>
      <c r="F5" s="793">
        <v>270192</v>
      </c>
      <c r="G5" s="793">
        <v>175441</v>
      </c>
      <c r="H5" s="793" t="s">
        <v>796</v>
      </c>
      <c r="I5" s="793">
        <v>89201</v>
      </c>
      <c r="J5" s="793">
        <v>1602836</v>
      </c>
      <c r="K5" s="793">
        <v>1295482</v>
      </c>
      <c r="L5" s="793">
        <v>45821</v>
      </c>
      <c r="M5" s="793">
        <v>89701</v>
      </c>
      <c r="N5" s="793">
        <v>24190</v>
      </c>
      <c r="O5" s="793" t="s">
        <v>796</v>
      </c>
      <c r="P5" s="793">
        <v>73877</v>
      </c>
      <c r="Q5" s="793" t="s">
        <v>796</v>
      </c>
      <c r="R5" s="793" t="s">
        <v>796</v>
      </c>
      <c r="S5" s="793">
        <v>248968</v>
      </c>
      <c r="T5" s="793">
        <v>248968</v>
      </c>
      <c r="U5" s="793" t="s">
        <v>796</v>
      </c>
      <c r="V5" s="793">
        <v>959780</v>
      </c>
      <c r="W5" s="794" t="s">
        <v>517</v>
      </c>
    </row>
    <row r="6" spans="1:23" s="241" customFormat="1" ht="9.75" customHeight="1" x14ac:dyDescent="0.15">
      <c r="A6" s="448" t="s">
        <v>557</v>
      </c>
      <c r="B6" s="241">
        <v>22230511</v>
      </c>
      <c r="C6" s="241">
        <v>8350695</v>
      </c>
      <c r="D6" s="241">
        <v>3684331</v>
      </c>
      <c r="E6" s="241">
        <v>348813</v>
      </c>
      <c r="F6" s="241" t="s">
        <v>796</v>
      </c>
      <c r="G6" s="241">
        <v>293086</v>
      </c>
      <c r="H6" s="241" t="s">
        <v>796</v>
      </c>
      <c r="I6" s="241" t="s">
        <v>796</v>
      </c>
      <c r="J6" s="241">
        <v>2219347</v>
      </c>
      <c r="K6" s="241">
        <v>1148968</v>
      </c>
      <c r="L6" s="241" t="s">
        <v>796</v>
      </c>
      <c r="M6" s="241">
        <v>405831</v>
      </c>
      <c r="N6" s="241">
        <v>151942</v>
      </c>
      <c r="O6" s="241" t="s">
        <v>796</v>
      </c>
      <c r="P6" s="241">
        <v>98377</v>
      </c>
      <c r="Q6" s="241" t="s">
        <v>796</v>
      </c>
      <c r="R6" s="241" t="s">
        <v>796</v>
      </c>
      <c r="S6" s="241" t="s">
        <v>796</v>
      </c>
      <c r="T6" s="241" t="s">
        <v>796</v>
      </c>
      <c r="U6" s="241" t="s">
        <v>796</v>
      </c>
      <c r="V6" s="241">
        <v>934572</v>
      </c>
      <c r="W6" s="242" t="s">
        <v>558</v>
      </c>
    </row>
    <row r="7" spans="1:23" s="241" customFormat="1" ht="9.75" customHeight="1" x14ac:dyDescent="0.15">
      <c r="A7" s="448" t="s">
        <v>682</v>
      </c>
      <c r="B7" s="241">
        <v>28584890</v>
      </c>
      <c r="C7" s="241">
        <v>11225061</v>
      </c>
      <c r="D7" s="241">
        <v>3780521</v>
      </c>
      <c r="E7" s="241">
        <v>429688</v>
      </c>
      <c r="F7" s="241">
        <v>115626</v>
      </c>
      <c r="G7" s="241">
        <v>346799</v>
      </c>
      <c r="H7" s="241">
        <v>122280</v>
      </c>
      <c r="I7" s="241">
        <v>97751</v>
      </c>
      <c r="J7" s="241">
        <v>3303852</v>
      </c>
      <c r="K7" s="241">
        <v>1053722</v>
      </c>
      <c r="L7" s="241" t="s">
        <v>796</v>
      </c>
      <c r="M7" s="241">
        <v>1340867</v>
      </c>
      <c r="N7" s="241">
        <v>1697</v>
      </c>
      <c r="O7" s="241">
        <v>23850</v>
      </c>
      <c r="P7" s="241">
        <v>559108</v>
      </c>
      <c r="Q7" s="241">
        <v>49300</v>
      </c>
      <c r="R7" s="241" t="s">
        <v>796</v>
      </c>
      <c r="S7" s="241">
        <v>196108</v>
      </c>
      <c r="T7" s="241">
        <v>72400</v>
      </c>
      <c r="U7" s="241">
        <v>123708</v>
      </c>
      <c r="V7" s="241">
        <v>2153160</v>
      </c>
      <c r="W7" s="242" t="s">
        <v>683</v>
      </c>
    </row>
    <row r="8" spans="1:23" s="241" customFormat="1" ht="9.75" customHeight="1" x14ac:dyDescent="0.15">
      <c r="A8" s="448" t="s">
        <v>784</v>
      </c>
      <c r="B8" s="574">
        <v>27334880</v>
      </c>
      <c r="C8" s="241">
        <v>9509832</v>
      </c>
      <c r="D8" s="241">
        <v>3936600</v>
      </c>
      <c r="E8" s="241">
        <v>1913893</v>
      </c>
      <c r="F8" s="241">
        <v>122830</v>
      </c>
      <c r="G8" s="241">
        <v>161351</v>
      </c>
      <c r="H8" s="241">
        <v>40000</v>
      </c>
      <c r="I8" s="241" t="s">
        <v>796</v>
      </c>
      <c r="J8" s="241">
        <v>1751453</v>
      </c>
      <c r="K8" s="241">
        <v>444836</v>
      </c>
      <c r="L8" s="241" t="s">
        <v>796</v>
      </c>
      <c r="M8" s="241">
        <v>650159</v>
      </c>
      <c r="N8" s="241">
        <v>1697</v>
      </c>
      <c r="O8" s="241" t="s">
        <v>796</v>
      </c>
      <c r="P8" s="241">
        <v>486935</v>
      </c>
      <c r="Q8" s="241" t="s">
        <v>796</v>
      </c>
      <c r="R8" s="241">
        <v>78</v>
      </c>
      <c r="S8" s="241">
        <v>50050</v>
      </c>
      <c r="T8" s="241">
        <v>50050</v>
      </c>
      <c r="U8" s="241" t="s">
        <v>796</v>
      </c>
      <c r="V8" s="241">
        <v>1682584</v>
      </c>
      <c r="W8" s="242" t="s">
        <v>785</v>
      </c>
    </row>
    <row r="9" spans="1:23" s="241" customFormat="1" ht="9.75" customHeight="1" x14ac:dyDescent="0.15">
      <c r="A9" s="448" t="s">
        <v>832</v>
      </c>
      <c r="B9" s="241">
        <v>25165755</v>
      </c>
      <c r="C9" s="241">
        <v>9664635</v>
      </c>
      <c r="D9" s="241">
        <v>4672208</v>
      </c>
      <c r="E9" s="241">
        <v>1797826</v>
      </c>
      <c r="F9" s="241">
        <v>127595</v>
      </c>
      <c r="G9" s="241">
        <v>130005</v>
      </c>
      <c r="H9" s="241">
        <v>41457</v>
      </c>
      <c r="I9" s="241" t="s">
        <v>796</v>
      </c>
      <c r="J9" s="241">
        <v>1481985</v>
      </c>
      <c r="K9" s="241">
        <v>409717</v>
      </c>
      <c r="L9" s="241" t="s">
        <v>796</v>
      </c>
      <c r="M9" s="241">
        <v>664530</v>
      </c>
      <c r="N9" s="241">
        <v>100000</v>
      </c>
      <c r="O9" s="241" t="s">
        <v>796</v>
      </c>
      <c r="P9" s="241">
        <v>239312</v>
      </c>
      <c r="Q9" s="241" t="s">
        <v>796</v>
      </c>
      <c r="R9" s="241" t="s">
        <v>796</v>
      </c>
      <c r="S9" s="241" t="s">
        <v>796</v>
      </c>
      <c r="T9" s="241" t="s">
        <v>796</v>
      </c>
      <c r="U9" s="241" t="s">
        <v>796</v>
      </c>
      <c r="V9" s="241">
        <v>208177</v>
      </c>
      <c r="W9" s="242" t="s">
        <v>833</v>
      </c>
    </row>
    <row r="10" spans="1:23" s="241" customFormat="1" ht="6.75" customHeight="1" x14ac:dyDescent="0.15">
      <c r="A10" s="464"/>
      <c r="W10" s="242"/>
    </row>
    <row r="11" spans="1:23" s="241" customFormat="1" ht="9.75" customHeight="1" x14ac:dyDescent="0.15">
      <c r="A11" s="448" t="s">
        <v>834</v>
      </c>
      <c r="B11" s="241">
        <v>26284053</v>
      </c>
      <c r="C11" s="241">
        <v>9379539</v>
      </c>
      <c r="D11" s="241">
        <v>3760323</v>
      </c>
      <c r="E11" s="241">
        <v>2268306</v>
      </c>
      <c r="F11" s="241">
        <v>140303</v>
      </c>
      <c r="G11" s="241">
        <v>139994</v>
      </c>
      <c r="H11" s="241" t="s">
        <v>796</v>
      </c>
      <c r="I11" s="241" t="s">
        <v>796</v>
      </c>
      <c r="J11" s="241">
        <v>1415130</v>
      </c>
      <c r="K11" s="241">
        <v>552122</v>
      </c>
      <c r="L11" s="241" t="s">
        <v>796</v>
      </c>
      <c r="M11" s="241">
        <v>720372</v>
      </c>
      <c r="N11" s="241">
        <v>101697</v>
      </c>
      <c r="O11" s="241" t="s">
        <v>796</v>
      </c>
      <c r="P11" s="241">
        <v>281292</v>
      </c>
      <c r="Q11" s="241" t="s">
        <v>796</v>
      </c>
      <c r="R11" s="241" t="s">
        <v>796</v>
      </c>
      <c r="S11" s="241">
        <v>50050</v>
      </c>
      <c r="T11" s="241">
        <v>50050</v>
      </c>
      <c r="U11" s="241" t="s">
        <v>796</v>
      </c>
      <c r="V11" s="241">
        <v>997328</v>
      </c>
      <c r="W11" s="242" t="s">
        <v>786</v>
      </c>
    </row>
    <row r="12" spans="1:23" s="241" customFormat="1" ht="9.75" customHeight="1" x14ac:dyDescent="0.15">
      <c r="A12" s="448" t="s">
        <v>835</v>
      </c>
      <c r="B12" s="241">
        <v>24185427</v>
      </c>
      <c r="C12" s="241">
        <v>9179596</v>
      </c>
      <c r="D12" s="241">
        <v>4821786</v>
      </c>
      <c r="E12" s="241">
        <v>1740376</v>
      </c>
      <c r="F12" s="241">
        <v>92449</v>
      </c>
      <c r="G12" s="241">
        <v>175804</v>
      </c>
      <c r="H12" s="241">
        <v>108049</v>
      </c>
      <c r="I12" s="241" t="s">
        <v>796</v>
      </c>
      <c r="J12" s="241">
        <v>1195490</v>
      </c>
      <c r="K12" s="241">
        <v>173514</v>
      </c>
      <c r="L12" s="241" t="s">
        <v>796</v>
      </c>
      <c r="M12" s="241">
        <v>637252</v>
      </c>
      <c r="N12" s="241" t="s">
        <v>796</v>
      </c>
      <c r="O12" s="241" t="s">
        <v>796</v>
      </c>
      <c r="P12" s="241">
        <v>234876</v>
      </c>
      <c r="Q12" s="241" t="s">
        <v>796</v>
      </c>
      <c r="R12" s="241" t="s">
        <v>796</v>
      </c>
      <c r="S12" s="241" t="s">
        <v>796</v>
      </c>
      <c r="T12" s="241" t="s">
        <v>796</v>
      </c>
      <c r="U12" s="241" t="s">
        <v>796</v>
      </c>
      <c r="V12" s="241">
        <v>96194</v>
      </c>
      <c r="W12" s="242" t="s">
        <v>836</v>
      </c>
    </row>
    <row r="13" spans="1:23" s="241" customFormat="1" ht="6.75" customHeight="1" x14ac:dyDescent="0.15">
      <c r="A13" s="464"/>
      <c r="W13" s="242"/>
    </row>
    <row r="14" spans="1:23" s="241" customFormat="1" ht="9.75" customHeight="1" x14ac:dyDescent="0.15">
      <c r="A14" s="448" t="s">
        <v>837</v>
      </c>
      <c r="B14" s="241">
        <v>7071451</v>
      </c>
      <c r="C14" s="241">
        <v>3012063</v>
      </c>
      <c r="D14" s="241">
        <v>982787</v>
      </c>
      <c r="E14" s="241">
        <v>713628</v>
      </c>
      <c r="F14" s="241">
        <v>35146</v>
      </c>
      <c r="G14" s="241">
        <v>48801</v>
      </c>
      <c r="H14" s="241" t="s">
        <v>796</v>
      </c>
      <c r="I14" s="241" t="s">
        <v>796</v>
      </c>
      <c r="J14" s="241">
        <v>480818</v>
      </c>
      <c r="K14" s="241">
        <v>310991</v>
      </c>
      <c r="L14" s="241" t="s">
        <v>796</v>
      </c>
      <c r="M14" s="241">
        <v>239901</v>
      </c>
      <c r="N14" s="241">
        <v>100000</v>
      </c>
      <c r="O14" s="241" t="s">
        <v>796</v>
      </c>
      <c r="P14" s="241">
        <v>99991</v>
      </c>
      <c r="Q14" s="241" t="s">
        <v>796</v>
      </c>
      <c r="R14" s="241" t="s">
        <v>796</v>
      </c>
      <c r="S14" s="241" t="s">
        <v>796</v>
      </c>
      <c r="T14" s="241" t="s">
        <v>796</v>
      </c>
      <c r="U14" s="241" t="s">
        <v>796</v>
      </c>
      <c r="V14" s="241">
        <v>125331</v>
      </c>
      <c r="W14" s="242" t="s">
        <v>787</v>
      </c>
    </row>
    <row r="15" spans="1:23" s="241" customFormat="1" ht="9.75" customHeight="1" x14ac:dyDescent="0.15">
      <c r="A15" s="448" t="s">
        <v>559</v>
      </c>
      <c r="B15" s="241">
        <v>5467080</v>
      </c>
      <c r="C15" s="241">
        <v>1693873</v>
      </c>
      <c r="D15" s="241">
        <v>821325</v>
      </c>
      <c r="E15" s="241">
        <v>168028</v>
      </c>
      <c r="F15" s="241">
        <v>10000</v>
      </c>
      <c r="G15" s="241">
        <v>37071</v>
      </c>
      <c r="H15" s="241">
        <v>31300</v>
      </c>
      <c r="I15" s="241" t="s">
        <v>796</v>
      </c>
      <c r="J15" s="241">
        <v>408062</v>
      </c>
      <c r="K15" s="241">
        <v>93424</v>
      </c>
      <c r="L15" s="241" t="s">
        <v>796</v>
      </c>
      <c r="M15" s="241">
        <v>74683</v>
      </c>
      <c r="N15" s="241" t="s">
        <v>796</v>
      </c>
      <c r="O15" s="241" t="s">
        <v>796</v>
      </c>
      <c r="P15" s="241">
        <v>49980</v>
      </c>
      <c r="Q15" s="241" t="s">
        <v>796</v>
      </c>
      <c r="R15" s="241" t="s">
        <v>796</v>
      </c>
      <c r="S15" s="241" t="s">
        <v>796</v>
      </c>
      <c r="T15" s="241" t="s">
        <v>796</v>
      </c>
      <c r="U15" s="241" t="s">
        <v>796</v>
      </c>
      <c r="V15" s="241">
        <v>64696</v>
      </c>
      <c r="W15" s="242" t="s">
        <v>78</v>
      </c>
    </row>
    <row r="16" spans="1:23" s="241" customFormat="1" ht="9.75" customHeight="1" x14ac:dyDescent="0.15">
      <c r="A16" s="448" t="s">
        <v>560</v>
      </c>
      <c r="B16" s="241">
        <v>5568202</v>
      </c>
      <c r="C16" s="241">
        <v>1952837</v>
      </c>
      <c r="D16" s="241">
        <v>1392367</v>
      </c>
      <c r="E16" s="241">
        <v>314842</v>
      </c>
      <c r="F16" s="241">
        <v>33365</v>
      </c>
      <c r="G16" s="241" t="s">
        <v>796</v>
      </c>
      <c r="H16" s="241" t="s">
        <v>796</v>
      </c>
      <c r="I16" s="241" t="s">
        <v>796</v>
      </c>
      <c r="J16" s="241">
        <v>212263</v>
      </c>
      <c r="K16" s="241" t="s">
        <v>796</v>
      </c>
      <c r="L16" s="241" t="s">
        <v>796</v>
      </c>
      <c r="M16" s="241" t="s">
        <v>796</v>
      </c>
      <c r="N16" s="241" t="s">
        <v>796</v>
      </c>
      <c r="O16" s="241" t="s">
        <v>796</v>
      </c>
      <c r="P16" s="241" t="s">
        <v>796</v>
      </c>
      <c r="Q16" s="241" t="s">
        <v>796</v>
      </c>
      <c r="R16" s="241" t="s">
        <v>796</v>
      </c>
      <c r="S16" s="241" t="s">
        <v>796</v>
      </c>
      <c r="T16" s="241" t="s">
        <v>796</v>
      </c>
      <c r="U16" s="241" t="s">
        <v>796</v>
      </c>
      <c r="V16" s="241">
        <v>18150</v>
      </c>
      <c r="W16" s="242" t="s">
        <v>79</v>
      </c>
    </row>
    <row r="17" spans="1:23" s="241" customFormat="1" ht="9.75" customHeight="1" x14ac:dyDescent="0.15">
      <c r="A17" s="448" t="s">
        <v>561</v>
      </c>
      <c r="B17" s="241">
        <v>7059022</v>
      </c>
      <c r="C17" s="241">
        <v>3005862</v>
      </c>
      <c r="D17" s="241">
        <v>1475729</v>
      </c>
      <c r="E17" s="241">
        <v>601328</v>
      </c>
      <c r="F17" s="241">
        <v>49084</v>
      </c>
      <c r="G17" s="241">
        <v>44133</v>
      </c>
      <c r="H17" s="241">
        <v>10157</v>
      </c>
      <c r="I17" s="241" t="s">
        <v>796</v>
      </c>
      <c r="J17" s="241">
        <v>380842</v>
      </c>
      <c r="K17" s="241">
        <v>5302</v>
      </c>
      <c r="L17" s="241" t="s">
        <v>796</v>
      </c>
      <c r="M17" s="241">
        <v>349946</v>
      </c>
      <c r="N17" s="241" t="s">
        <v>796</v>
      </c>
      <c r="O17" s="241" t="s">
        <v>796</v>
      </c>
      <c r="P17" s="241">
        <v>89341</v>
      </c>
      <c r="Q17" s="241" t="s">
        <v>796</v>
      </c>
      <c r="R17" s="241" t="s">
        <v>796</v>
      </c>
      <c r="S17" s="241" t="s">
        <v>796</v>
      </c>
      <c r="T17" s="241" t="s">
        <v>796</v>
      </c>
      <c r="U17" s="241" t="s">
        <v>796</v>
      </c>
      <c r="V17" s="241" t="s">
        <v>796</v>
      </c>
      <c r="W17" s="242" t="s">
        <v>80</v>
      </c>
    </row>
    <row r="18" spans="1:23" s="241" customFormat="1" ht="9.75" customHeight="1" x14ac:dyDescent="0.15">
      <c r="A18" s="448" t="s">
        <v>838</v>
      </c>
      <c r="B18" s="241">
        <v>6091123</v>
      </c>
      <c r="C18" s="241">
        <v>2527024</v>
      </c>
      <c r="D18" s="241">
        <v>1132365</v>
      </c>
      <c r="E18" s="241">
        <v>656178</v>
      </c>
      <c r="F18" s="241" t="s">
        <v>796</v>
      </c>
      <c r="G18" s="241">
        <v>94600</v>
      </c>
      <c r="H18" s="241">
        <v>66592</v>
      </c>
      <c r="I18" s="241" t="s">
        <v>796</v>
      </c>
      <c r="J18" s="241">
        <v>194323</v>
      </c>
      <c r="K18" s="241">
        <v>74788</v>
      </c>
      <c r="L18" s="241" t="s">
        <v>796</v>
      </c>
      <c r="M18" s="241">
        <v>212623</v>
      </c>
      <c r="N18" s="241" t="s">
        <v>796</v>
      </c>
      <c r="O18" s="241" t="s">
        <v>796</v>
      </c>
      <c r="P18" s="241">
        <v>95555</v>
      </c>
      <c r="Q18" s="241" t="s">
        <v>796</v>
      </c>
      <c r="R18" s="241" t="s">
        <v>796</v>
      </c>
      <c r="S18" s="241" t="s">
        <v>796</v>
      </c>
      <c r="T18" s="241" t="s">
        <v>796</v>
      </c>
      <c r="U18" s="241" t="s">
        <v>796</v>
      </c>
      <c r="V18" s="241">
        <v>13348</v>
      </c>
      <c r="W18" s="242" t="s">
        <v>839</v>
      </c>
    </row>
    <row r="19" spans="1:23" s="241" customFormat="1" ht="6.75" customHeight="1" x14ac:dyDescent="0.15">
      <c r="A19" s="464"/>
      <c r="W19" s="242"/>
    </row>
    <row r="20" spans="1:23" s="241" customFormat="1" ht="9.75" customHeight="1" x14ac:dyDescent="0.15">
      <c r="A20" s="448" t="s">
        <v>840</v>
      </c>
      <c r="B20" s="241">
        <v>2132912</v>
      </c>
      <c r="C20" s="241">
        <v>845941</v>
      </c>
      <c r="D20" s="241">
        <v>323335</v>
      </c>
      <c r="E20" s="241">
        <v>208881</v>
      </c>
      <c r="F20" s="241" t="s">
        <v>796</v>
      </c>
      <c r="G20" s="241" t="s">
        <v>796</v>
      </c>
      <c r="H20" s="241" t="s">
        <v>796</v>
      </c>
      <c r="I20" s="241" t="s">
        <v>796</v>
      </c>
      <c r="J20" s="241">
        <v>143246</v>
      </c>
      <c r="K20" s="241">
        <v>70478</v>
      </c>
      <c r="L20" s="241" t="s">
        <v>796</v>
      </c>
      <c r="M20" s="241">
        <v>50010</v>
      </c>
      <c r="N20" s="241" t="s">
        <v>796</v>
      </c>
      <c r="O20" s="241" t="s">
        <v>796</v>
      </c>
      <c r="P20" s="241">
        <v>49991</v>
      </c>
      <c r="Q20" s="241" t="s">
        <v>796</v>
      </c>
      <c r="R20" s="241" t="s">
        <v>796</v>
      </c>
      <c r="S20" s="241" t="s">
        <v>796</v>
      </c>
      <c r="T20" s="241" t="s">
        <v>796</v>
      </c>
      <c r="U20" s="241" t="s">
        <v>796</v>
      </c>
      <c r="V20" s="241">
        <v>23685</v>
      </c>
      <c r="W20" s="242" t="s">
        <v>788</v>
      </c>
    </row>
    <row r="21" spans="1:23" s="241" customFormat="1" ht="9.75" customHeight="1" x14ac:dyDescent="0.15">
      <c r="A21" s="448" t="s">
        <v>562</v>
      </c>
      <c r="B21" s="241">
        <v>2171706</v>
      </c>
      <c r="C21" s="241">
        <v>832511</v>
      </c>
      <c r="D21" s="241">
        <v>324946</v>
      </c>
      <c r="E21" s="241">
        <v>173140</v>
      </c>
      <c r="F21" s="241">
        <v>17625</v>
      </c>
      <c r="G21" s="241" t="s">
        <v>796</v>
      </c>
      <c r="H21" s="241" t="s">
        <v>796</v>
      </c>
      <c r="I21" s="241" t="s">
        <v>796</v>
      </c>
      <c r="J21" s="241">
        <v>188239</v>
      </c>
      <c r="K21" s="241">
        <v>79260</v>
      </c>
      <c r="L21" s="241" t="s">
        <v>796</v>
      </c>
      <c r="M21" s="241">
        <v>49301</v>
      </c>
      <c r="N21" s="241" t="s">
        <v>796</v>
      </c>
      <c r="O21" s="241" t="s">
        <v>796</v>
      </c>
      <c r="P21" s="241" t="s">
        <v>796</v>
      </c>
      <c r="Q21" s="241" t="s">
        <v>796</v>
      </c>
      <c r="R21" s="241" t="s">
        <v>796</v>
      </c>
      <c r="S21" s="241" t="s">
        <v>796</v>
      </c>
      <c r="T21" s="241" t="s">
        <v>796</v>
      </c>
      <c r="U21" s="241" t="s">
        <v>796</v>
      </c>
      <c r="V21" s="241">
        <v>73491</v>
      </c>
      <c r="W21" s="242" t="s">
        <v>66</v>
      </c>
    </row>
    <row r="22" spans="1:23" s="241" customFormat="1" ht="9.75" customHeight="1" x14ac:dyDescent="0.15">
      <c r="A22" s="448" t="s">
        <v>563</v>
      </c>
      <c r="B22" s="241">
        <v>2766833</v>
      </c>
      <c r="C22" s="241">
        <v>1333611</v>
      </c>
      <c r="D22" s="241">
        <v>334506</v>
      </c>
      <c r="E22" s="241">
        <v>331607</v>
      </c>
      <c r="F22" s="241">
        <v>17521</v>
      </c>
      <c r="G22" s="241">
        <v>48801</v>
      </c>
      <c r="H22" s="241" t="s">
        <v>796</v>
      </c>
      <c r="I22" s="241" t="s">
        <v>796</v>
      </c>
      <c r="J22" s="241">
        <v>149333</v>
      </c>
      <c r="K22" s="241">
        <v>161253</v>
      </c>
      <c r="L22" s="241" t="s">
        <v>796</v>
      </c>
      <c r="M22" s="241">
        <v>140590</v>
      </c>
      <c r="N22" s="241">
        <v>100000</v>
      </c>
      <c r="O22" s="241" t="s">
        <v>796</v>
      </c>
      <c r="P22" s="241">
        <v>50000</v>
      </c>
      <c r="Q22" s="241" t="s">
        <v>796</v>
      </c>
      <c r="R22" s="241" t="s">
        <v>796</v>
      </c>
      <c r="S22" s="241" t="s">
        <v>796</v>
      </c>
      <c r="T22" s="241" t="s">
        <v>796</v>
      </c>
      <c r="U22" s="241" t="s">
        <v>796</v>
      </c>
      <c r="V22" s="241">
        <v>28155</v>
      </c>
      <c r="W22" s="242" t="s">
        <v>67</v>
      </c>
    </row>
    <row r="23" spans="1:23" s="241" customFormat="1" ht="9.75" customHeight="1" x14ac:dyDescent="0.15">
      <c r="A23" s="448" t="s">
        <v>564</v>
      </c>
      <c r="B23" s="241">
        <v>1831570</v>
      </c>
      <c r="C23" s="241">
        <v>651063</v>
      </c>
      <c r="D23" s="241">
        <v>203238</v>
      </c>
      <c r="E23" s="241">
        <v>23968</v>
      </c>
      <c r="F23" s="241">
        <v>10000</v>
      </c>
      <c r="G23" s="241" t="s">
        <v>796</v>
      </c>
      <c r="H23" s="241" t="s">
        <v>796</v>
      </c>
      <c r="I23" s="241" t="s">
        <v>796</v>
      </c>
      <c r="J23" s="241">
        <v>320324</v>
      </c>
      <c r="K23" s="241">
        <v>43539</v>
      </c>
      <c r="L23" s="241" t="s">
        <v>796</v>
      </c>
      <c r="M23" s="241">
        <v>49994</v>
      </c>
      <c r="N23" s="241" t="s">
        <v>796</v>
      </c>
      <c r="O23" s="241" t="s">
        <v>796</v>
      </c>
      <c r="P23" s="241" t="s">
        <v>796</v>
      </c>
      <c r="Q23" s="241" t="s">
        <v>796</v>
      </c>
      <c r="R23" s="241" t="s">
        <v>796</v>
      </c>
      <c r="S23" s="241" t="s">
        <v>796</v>
      </c>
      <c r="T23" s="241" t="s">
        <v>796</v>
      </c>
      <c r="U23" s="241" t="s">
        <v>796</v>
      </c>
      <c r="V23" s="241" t="s">
        <v>796</v>
      </c>
      <c r="W23" s="242" t="s">
        <v>68</v>
      </c>
    </row>
    <row r="24" spans="1:23" s="241" customFormat="1" ht="9.75" customHeight="1" x14ac:dyDescent="0.15">
      <c r="A24" s="448" t="s">
        <v>565</v>
      </c>
      <c r="B24" s="241">
        <v>1764814</v>
      </c>
      <c r="C24" s="241">
        <v>492928</v>
      </c>
      <c r="D24" s="241">
        <v>350584</v>
      </c>
      <c r="E24" s="241">
        <v>42479</v>
      </c>
      <c r="F24" s="241" t="s">
        <v>796</v>
      </c>
      <c r="G24" s="241" t="s">
        <v>796</v>
      </c>
      <c r="H24" s="241" t="s">
        <v>796</v>
      </c>
      <c r="I24" s="241" t="s">
        <v>796</v>
      </c>
      <c r="J24" s="241" t="s">
        <v>796</v>
      </c>
      <c r="K24" s="241">
        <v>49885</v>
      </c>
      <c r="L24" s="241" t="s">
        <v>796</v>
      </c>
      <c r="M24" s="241" t="s">
        <v>796</v>
      </c>
      <c r="N24" s="241" t="s">
        <v>796</v>
      </c>
      <c r="O24" s="241" t="s">
        <v>796</v>
      </c>
      <c r="P24" s="241">
        <v>49980</v>
      </c>
      <c r="Q24" s="241" t="s">
        <v>796</v>
      </c>
      <c r="R24" s="241" t="s">
        <v>796</v>
      </c>
      <c r="S24" s="241" t="s">
        <v>796</v>
      </c>
      <c r="T24" s="241" t="s">
        <v>796</v>
      </c>
      <c r="U24" s="241" t="s">
        <v>796</v>
      </c>
      <c r="V24" s="241">
        <v>46106</v>
      </c>
      <c r="W24" s="242" t="s">
        <v>81</v>
      </c>
    </row>
    <row r="25" spans="1:23" s="241" customFormat="1" ht="9.75" customHeight="1" x14ac:dyDescent="0.15">
      <c r="A25" s="448" t="s">
        <v>566</v>
      </c>
      <c r="B25" s="241">
        <v>1870696</v>
      </c>
      <c r="C25" s="241">
        <v>549882</v>
      </c>
      <c r="D25" s="241">
        <v>267503</v>
      </c>
      <c r="E25" s="241">
        <v>101581</v>
      </c>
      <c r="F25" s="241" t="s">
        <v>796</v>
      </c>
      <c r="G25" s="241">
        <v>37071</v>
      </c>
      <c r="H25" s="241">
        <v>31300</v>
      </c>
      <c r="I25" s="241" t="s">
        <v>796</v>
      </c>
      <c r="J25" s="241">
        <v>87738</v>
      </c>
      <c r="K25" s="241" t="s">
        <v>796</v>
      </c>
      <c r="L25" s="241" t="s">
        <v>796</v>
      </c>
      <c r="M25" s="241">
        <v>24689</v>
      </c>
      <c r="N25" s="241" t="s">
        <v>796</v>
      </c>
      <c r="O25" s="241" t="s">
        <v>796</v>
      </c>
      <c r="P25" s="241" t="s">
        <v>796</v>
      </c>
      <c r="Q25" s="241" t="s">
        <v>796</v>
      </c>
      <c r="R25" s="241" t="s">
        <v>796</v>
      </c>
      <c r="S25" s="241" t="s">
        <v>796</v>
      </c>
      <c r="T25" s="241" t="s">
        <v>796</v>
      </c>
      <c r="U25" s="241" t="s">
        <v>796</v>
      </c>
      <c r="V25" s="241">
        <v>18590</v>
      </c>
      <c r="W25" s="242" t="s">
        <v>82</v>
      </c>
    </row>
    <row r="26" spans="1:23" s="241" customFormat="1" ht="9.75" customHeight="1" x14ac:dyDescent="0.15">
      <c r="A26" s="448" t="s">
        <v>567</v>
      </c>
      <c r="B26" s="241">
        <v>1764616</v>
      </c>
      <c r="C26" s="241">
        <v>529631</v>
      </c>
      <c r="D26" s="241">
        <v>319368</v>
      </c>
      <c r="E26" s="241">
        <v>47760</v>
      </c>
      <c r="F26" s="241" t="s">
        <v>796</v>
      </c>
      <c r="G26" s="241" t="s">
        <v>796</v>
      </c>
      <c r="H26" s="241" t="s">
        <v>796</v>
      </c>
      <c r="I26" s="241" t="s">
        <v>796</v>
      </c>
      <c r="J26" s="241">
        <v>162503</v>
      </c>
      <c r="K26" s="241" t="s">
        <v>796</v>
      </c>
      <c r="L26" s="241" t="s">
        <v>796</v>
      </c>
      <c r="M26" s="241" t="s">
        <v>796</v>
      </c>
      <c r="N26" s="241" t="s">
        <v>796</v>
      </c>
      <c r="O26" s="241" t="s">
        <v>796</v>
      </c>
      <c r="P26" s="241" t="s">
        <v>796</v>
      </c>
      <c r="Q26" s="241" t="s">
        <v>796</v>
      </c>
      <c r="R26" s="241" t="s">
        <v>796</v>
      </c>
      <c r="S26" s="241" t="s">
        <v>796</v>
      </c>
      <c r="T26" s="241" t="s">
        <v>796</v>
      </c>
      <c r="U26" s="241" t="s">
        <v>796</v>
      </c>
      <c r="V26" s="241">
        <v>18150</v>
      </c>
      <c r="W26" s="242" t="s">
        <v>83</v>
      </c>
    </row>
    <row r="27" spans="1:23" s="241" customFormat="1" ht="9.75" customHeight="1" x14ac:dyDescent="0.15">
      <c r="A27" s="448" t="s">
        <v>568</v>
      </c>
      <c r="B27" s="241">
        <v>1794433</v>
      </c>
      <c r="C27" s="241">
        <v>751934</v>
      </c>
      <c r="D27" s="241">
        <v>596517</v>
      </c>
      <c r="E27" s="241">
        <v>122052</v>
      </c>
      <c r="F27" s="241">
        <v>33365</v>
      </c>
      <c r="G27" s="241" t="s">
        <v>796</v>
      </c>
      <c r="H27" s="241" t="s">
        <v>796</v>
      </c>
      <c r="I27" s="241" t="s">
        <v>796</v>
      </c>
      <c r="J27" s="241" t="s">
        <v>796</v>
      </c>
      <c r="K27" s="241" t="s">
        <v>796</v>
      </c>
      <c r="L27" s="241" t="s">
        <v>796</v>
      </c>
      <c r="M27" s="241" t="s">
        <v>796</v>
      </c>
      <c r="N27" s="241" t="s">
        <v>796</v>
      </c>
      <c r="O27" s="241" t="s">
        <v>796</v>
      </c>
      <c r="P27" s="241" t="s">
        <v>796</v>
      </c>
      <c r="Q27" s="241" t="s">
        <v>796</v>
      </c>
      <c r="R27" s="241" t="s">
        <v>796</v>
      </c>
      <c r="S27" s="241" t="s">
        <v>796</v>
      </c>
      <c r="T27" s="241" t="s">
        <v>796</v>
      </c>
      <c r="U27" s="241" t="s">
        <v>796</v>
      </c>
      <c r="V27" s="241" t="s">
        <v>796</v>
      </c>
      <c r="W27" s="242" t="s">
        <v>84</v>
      </c>
    </row>
    <row r="28" spans="1:23" s="241" customFormat="1" ht="9.75" customHeight="1" x14ac:dyDescent="0.15">
      <c r="A28" s="448" t="s">
        <v>569</v>
      </c>
      <c r="B28" s="241">
        <v>2009153</v>
      </c>
      <c r="C28" s="241">
        <v>671272</v>
      </c>
      <c r="D28" s="241">
        <v>476482</v>
      </c>
      <c r="E28" s="241">
        <v>145030</v>
      </c>
      <c r="F28" s="241" t="s">
        <v>796</v>
      </c>
      <c r="G28" s="241" t="s">
        <v>796</v>
      </c>
      <c r="H28" s="241" t="s">
        <v>796</v>
      </c>
      <c r="I28" s="241" t="s">
        <v>796</v>
      </c>
      <c r="J28" s="241">
        <v>49760</v>
      </c>
      <c r="K28" s="241" t="s">
        <v>796</v>
      </c>
      <c r="L28" s="241" t="s">
        <v>796</v>
      </c>
      <c r="M28" s="241" t="s">
        <v>796</v>
      </c>
      <c r="N28" s="241" t="s">
        <v>796</v>
      </c>
      <c r="O28" s="241" t="s">
        <v>796</v>
      </c>
      <c r="P28" s="241" t="s">
        <v>796</v>
      </c>
      <c r="Q28" s="241" t="s">
        <v>796</v>
      </c>
      <c r="R28" s="241" t="s">
        <v>796</v>
      </c>
      <c r="S28" s="241" t="s">
        <v>796</v>
      </c>
      <c r="T28" s="241" t="s">
        <v>796</v>
      </c>
      <c r="U28" s="241" t="s">
        <v>796</v>
      </c>
      <c r="V28" s="241" t="s">
        <v>796</v>
      </c>
      <c r="W28" s="242" t="s">
        <v>85</v>
      </c>
    </row>
    <row r="29" spans="1:23" s="241" customFormat="1" ht="9.75" customHeight="1" x14ac:dyDescent="0.15">
      <c r="A29" s="448" t="s">
        <v>570</v>
      </c>
      <c r="B29" s="241">
        <v>2051309</v>
      </c>
      <c r="C29" s="241">
        <v>708482</v>
      </c>
      <c r="D29" s="241">
        <v>472316</v>
      </c>
      <c r="E29" s="241">
        <v>143475</v>
      </c>
      <c r="F29" s="241">
        <v>15088</v>
      </c>
      <c r="G29" s="241" t="s">
        <v>796</v>
      </c>
      <c r="H29" s="241" t="s">
        <v>796</v>
      </c>
      <c r="I29" s="241" t="s">
        <v>796</v>
      </c>
      <c r="J29" s="241">
        <v>50000</v>
      </c>
      <c r="K29" s="241">
        <v>5302</v>
      </c>
      <c r="L29" s="241" t="s">
        <v>796</v>
      </c>
      <c r="M29" s="241">
        <v>22301</v>
      </c>
      <c r="N29" s="241" t="s">
        <v>796</v>
      </c>
      <c r="O29" s="241" t="s">
        <v>796</v>
      </c>
      <c r="P29" s="241" t="s">
        <v>796</v>
      </c>
      <c r="Q29" s="241" t="s">
        <v>796</v>
      </c>
      <c r="R29" s="241" t="s">
        <v>796</v>
      </c>
      <c r="S29" s="241" t="s">
        <v>796</v>
      </c>
      <c r="T29" s="241" t="s">
        <v>796</v>
      </c>
      <c r="U29" s="241" t="s">
        <v>796</v>
      </c>
      <c r="V29" s="241" t="s">
        <v>796</v>
      </c>
      <c r="W29" s="242" t="s">
        <v>69</v>
      </c>
    </row>
    <row r="30" spans="1:23" s="241" customFormat="1" ht="9.75" customHeight="1" x14ac:dyDescent="0.15">
      <c r="A30" s="448" t="s">
        <v>571</v>
      </c>
      <c r="B30" s="241">
        <v>2327646</v>
      </c>
      <c r="C30" s="241">
        <v>1003494</v>
      </c>
      <c r="D30" s="241">
        <v>424970</v>
      </c>
      <c r="E30" s="241">
        <v>207850</v>
      </c>
      <c r="F30" s="241" t="s">
        <v>796</v>
      </c>
      <c r="G30" s="241" t="s">
        <v>796</v>
      </c>
      <c r="H30" s="241">
        <v>10157</v>
      </c>
      <c r="I30" s="241" t="s">
        <v>796</v>
      </c>
      <c r="J30" s="241">
        <v>199572</v>
      </c>
      <c r="K30" s="241" t="s">
        <v>796</v>
      </c>
      <c r="L30" s="241" t="s">
        <v>796</v>
      </c>
      <c r="M30" s="241">
        <v>121251</v>
      </c>
      <c r="N30" s="241" t="s">
        <v>796</v>
      </c>
      <c r="O30" s="241" t="s">
        <v>796</v>
      </c>
      <c r="P30" s="241">
        <v>39694</v>
      </c>
      <c r="Q30" s="241" t="s">
        <v>796</v>
      </c>
      <c r="R30" s="241" t="s">
        <v>796</v>
      </c>
      <c r="S30" s="241" t="s">
        <v>796</v>
      </c>
      <c r="T30" s="241" t="s">
        <v>796</v>
      </c>
      <c r="U30" s="241" t="s">
        <v>796</v>
      </c>
      <c r="V30" s="241" t="s">
        <v>796</v>
      </c>
      <c r="W30" s="242" t="s">
        <v>70</v>
      </c>
    </row>
    <row r="31" spans="1:23" s="241" customFormat="1" ht="9.75" customHeight="1" x14ac:dyDescent="0.15">
      <c r="A31" s="448" t="s">
        <v>572</v>
      </c>
      <c r="B31" s="241">
        <v>2680067</v>
      </c>
      <c r="C31" s="241">
        <v>1293886</v>
      </c>
      <c r="D31" s="241">
        <v>578443</v>
      </c>
      <c r="E31" s="241">
        <v>250003</v>
      </c>
      <c r="F31" s="241">
        <v>33996</v>
      </c>
      <c r="G31" s="241">
        <v>44133</v>
      </c>
      <c r="H31" s="241" t="s">
        <v>796</v>
      </c>
      <c r="I31" s="241" t="s">
        <v>796</v>
      </c>
      <c r="J31" s="241">
        <v>131270</v>
      </c>
      <c r="K31" s="241" t="s">
        <v>796</v>
      </c>
      <c r="L31" s="241" t="s">
        <v>796</v>
      </c>
      <c r="M31" s="241">
        <v>206394</v>
      </c>
      <c r="N31" s="241" t="s">
        <v>796</v>
      </c>
      <c r="O31" s="241" t="s">
        <v>796</v>
      </c>
      <c r="P31" s="241">
        <v>49647</v>
      </c>
      <c r="Q31" s="241" t="s">
        <v>796</v>
      </c>
      <c r="R31" s="241" t="s">
        <v>796</v>
      </c>
      <c r="S31" s="241" t="s">
        <v>796</v>
      </c>
      <c r="T31" s="241" t="s">
        <v>796</v>
      </c>
      <c r="U31" s="241" t="s">
        <v>796</v>
      </c>
      <c r="V31" s="241" t="s">
        <v>796</v>
      </c>
      <c r="W31" s="242" t="s">
        <v>71</v>
      </c>
    </row>
    <row r="32" spans="1:23" s="241" customFormat="1" ht="9.75" customHeight="1" x14ac:dyDescent="0.15">
      <c r="A32" s="448" t="s">
        <v>841</v>
      </c>
      <c r="B32" s="241">
        <v>2226302</v>
      </c>
      <c r="C32" s="241">
        <v>878038</v>
      </c>
      <c r="D32" s="241">
        <v>328548</v>
      </c>
      <c r="E32" s="241">
        <v>235458</v>
      </c>
      <c r="F32" s="241" t="s">
        <v>796</v>
      </c>
      <c r="G32" s="241" t="s">
        <v>796</v>
      </c>
      <c r="H32" s="241">
        <v>22422</v>
      </c>
      <c r="I32" s="241" t="s">
        <v>796</v>
      </c>
      <c r="J32" s="241">
        <v>96532</v>
      </c>
      <c r="K32" s="241">
        <v>74788</v>
      </c>
      <c r="L32" s="241" t="s">
        <v>796</v>
      </c>
      <c r="M32" s="241">
        <v>74790</v>
      </c>
      <c r="N32" s="241" t="s">
        <v>796</v>
      </c>
      <c r="O32" s="241" t="s">
        <v>796</v>
      </c>
      <c r="P32" s="241">
        <v>45500</v>
      </c>
      <c r="Q32" s="241" t="s">
        <v>796</v>
      </c>
      <c r="R32" s="241" t="s">
        <v>796</v>
      </c>
      <c r="S32" s="241" t="s">
        <v>796</v>
      </c>
      <c r="T32" s="241" t="s">
        <v>796</v>
      </c>
      <c r="U32" s="241" t="s">
        <v>796</v>
      </c>
      <c r="V32" s="241">
        <v>6674</v>
      </c>
      <c r="W32" s="242" t="s">
        <v>842</v>
      </c>
    </row>
    <row r="33" spans="1:23" s="241" customFormat="1" ht="9.75" customHeight="1" x14ac:dyDescent="0.15">
      <c r="A33" s="448" t="s">
        <v>573</v>
      </c>
      <c r="B33" s="241">
        <v>1921522</v>
      </c>
      <c r="C33" s="241">
        <v>848322</v>
      </c>
      <c r="D33" s="241">
        <v>430880</v>
      </c>
      <c r="E33" s="241">
        <v>157003</v>
      </c>
      <c r="F33" s="241" t="s">
        <v>796</v>
      </c>
      <c r="G33" s="241">
        <v>24700</v>
      </c>
      <c r="H33" s="241" t="s">
        <v>796</v>
      </c>
      <c r="I33" s="241" t="s">
        <v>796</v>
      </c>
      <c r="J33" s="241">
        <v>47851</v>
      </c>
      <c r="K33" s="241" t="s">
        <v>796</v>
      </c>
      <c r="L33" s="241" t="s">
        <v>796</v>
      </c>
      <c r="M33" s="241">
        <v>137833</v>
      </c>
      <c r="N33" s="241" t="s">
        <v>796</v>
      </c>
      <c r="O33" s="241" t="s">
        <v>796</v>
      </c>
      <c r="P33" s="241">
        <v>50055</v>
      </c>
      <c r="Q33" s="241" t="s">
        <v>796</v>
      </c>
      <c r="R33" s="241" t="s">
        <v>796</v>
      </c>
      <c r="S33" s="241" t="s">
        <v>796</v>
      </c>
      <c r="T33" s="241" t="s">
        <v>796</v>
      </c>
      <c r="U33" s="241" t="s">
        <v>796</v>
      </c>
      <c r="V33" s="241">
        <v>6674</v>
      </c>
      <c r="W33" s="242" t="s">
        <v>66</v>
      </c>
    </row>
    <row r="34" spans="1:23" s="241" customFormat="1" ht="9.75" customHeight="1" x14ac:dyDescent="0.15">
      <c r="A34" s="795" t="s">
        <v>574</v>
      </c>
      <c r="B34" s="796">
        <v>1943299</v>
      </c>
      <c r="C34" s="797">
        <v>800664</v>
      </c>
      <c r="D34" s="797">
        <v>372937</v>
      </c>
      <c r="E34" s="797">
        <v>263717</v>
      </c>
      <c r="F34" s="797" t="s">
        <v>796</v>
      </c>
      <c r="G34" s="797">
        <v>69900</v>
      </c>
      <c r="H34" s="797">
        <v>44170</v>
      </c>
      <c r="I34" s="797" t="s">
        <v>796</v>
      </c>
      <c r="J34" s="797">
        <v>49940</v>
      </c>
      <c r="K34" s="797" t="s">
        <v>796</v>
      </c>
      <c r="L34" s="797" t="s">
        <v>796</v>
      </c>
      <c r="M34" s="797" t="s">
        <v>796</v>
      </c>
      <c r="N34" s="797" t="s">
        <v>796</v>
      </c>
      <c r="O34" s="797" t="s">
        <v>796</v>
      </c>
      <c r="P34" s="797" t="s">
        <v>796</v>
      </c>
      <c r="Q34" s="797" t="s">
        <v>796</v>
      </c>
      <c r="R34" s="797" t="s">
        <v>796</v>
      </c>
      <c r="S34" s="797" t="s">
        <v>796</v>
      </c>
      <c r="T34" s="797" t="s">
        <v>796</v>
      </c>
      <c r="U34" s="797" t="s">
        <v>796</v>
      </c>
      <c r="V34" s="797" t="s">
        <v>796</v>
      </c>
      <c r="W34" s="798" t="s">
        <v>67</v>
      </c>
    </row>
    <row r="35" spans="1:23" ht="12" customHeight="1" x14ac:dyDescent="0.15"/>
    <row r="36" spans="1:23" ht="12" customHeight="1" x14ac:dyDescent="0.15"/>
    <row r="37" spans="1:23" ht="12" customHeight="1" x14ac:dyDescent="0.15">
      <c r="K37" s="246" t="s">
        <v>86</v>
      </c>
    </row>
    <row r="38" spans="1:23" s="244" customFormat="1" ht="21" customHeight="1" x14ac:dyDescent="0.15">
      <c r="A38" s="1026" t="s">
        <v>153</v>
      </c>
      <c r="B38" s="799" t="s">
        <v>287</v>
      </c>
      <c r="C38" s="790"/>
      <c r="D38" s="790"/>
      <c r="E38" s="790"/>
      <c r="F38" s="790"/>
      <c r="G38" s="790"/>
      <c r="H38" s="790"/>
      <c r="I38" s="790"/>
      <c r="J38" s="790"/>
      <c r="K38" s="790"/>
      <c r="L38" s="790"/>
      <c r="M38" s="790"/>
      <c r="N38" s="790"/>
      <c r="O38" s="790"/>
      <c r="P38" s="790"/>
      <c r="Q38" s="790"/>
      <c r="R38" s="790"/>
      <c r="S38" s="790"/>
      <c r="T38" s="790"/>
      <c r="U38" s="790"/>
      <c r="V38" s="790"/>
      <c r="W38" s="1029" t="s">
        <v>72</v>
      </c>
    </row>
    <row r="39" spans="1:23" s="244" customFormat="1" ht="21" customHeight="1" x14ac:dyDescent="0.15">
      <c r="A39" s="1027"/>
      <c r="B39" s="799" t="s">
        <v>715</v>
      </c>
      <c r="C39" s="790"/>
      <c r="D39" s="790"/>
      <c r="E39" s="788"/>
      <c r="F39" s="789" t="s">
        <v>236</v>
      </c>
      <c r="G39" s="790"/>
      <c r="H39" s="790"/>
      <c r="I39" s="788"/>
      <c r="J39" s="789" t="s">
        <v>221</v>
      </c>
      <c r="K39" s="790"/>
      <c r="L39" s="788"/>
      <c r="M39" s="789" t="s">
        <v>220</v>
      </c>
      <c r="N39" s="790"/>
      <c r="O39" s="790"/>
      <c r="P39" s="790"/>
      <c r="Q39" s="790"/>
      <c r="R39" s="790"/>
      <c r="S39" s="790"/>
      <c r="T39" s="788"/>
      <c r="U39" s="789" t="s">
        <v>716</v>
      </c>
      <c r="V39" s="790"/>
      <c r="W39" s="1030"/>
    </row>
    <row r="40" spans="1:23" s="244" customFormat="1" ht="52.5" customHeight="1" x14ac:dyDescent="0.15">
      <c r="A40" s="1028"/>
      <c r="B40" s="245" t="s">
        <v>252</v>
      </c>
      <c r="C40" s="245" t="s">
        <v>223</v>
      </c>
      <c r="D40" s="245" t="s">
        <v>276</v>
      </c>
      <c r="E40" s="245" t="s">
        <v>935</v>
      </c>
      <c r="F40" s="530" t="s">
        <v>923</v>
      </c>
      <c r="G40" s="245" t="s">
        <v>295</v>
      </c>
      <c r="H40" s="245" t="s">
        <v>222</v>
      </c>
      <c r="I40" s="245" t="s">
        <v>294</v>
      </c>
      <c r="J40" s="530" t="s">
        <v>21</v>
      </c>
      <c r="K40" s="248" t="s">
        <v>936</v>
      </c>
      <c r="L40" s="245" t="s">
        <v>937</v>
      </c>
      <c r="M40" s="530" t="s">
        <v>45</v>
      </c>
      <c r="N40" s="245" t="s">
        <v>215</v>
      </c>
      <c r="O40" s="245" t="s">
        <v>709</v>
      </c>
      <c r="P40" s="245" t="s">
        <v>938</v>
      </c>
      <c r="Q40" s="245" t="s">
        <v>310</v>
      </c>
      <c r="R40" s="245" t="s">
        <v>391</v>
      </c>
      <c r="S40" s="248" t="s">
        <v>803</v>
      </c>
      <c r="T40" s="245" t="s">
        <v>309</v>
      </c>
      <c r="U40" s="530" t="s">
        <v>292</v>
      </c>
      <c r="V40" s="247" t="s">
        <v>308</v>
      </c>
      <c r="W40" s="1031"/>
    </row>
    <row r="41" spans="1:23" s="241" customFormat="1" ht="9.75" customHeight="1" x14ac:dyDescent="0.15">
      <c r="A41" s="645" t="s">
        <v>831</v>
      </c>
      <c r="B41" s="792" t="s">
        <v>796</v>
      </c>
      <c r="C41" s="793">
        <v>959780</v>
      </c>
      <c r="D41" s="793" t="s">
        <v>796</v>
      </c>
      <c r="E41" s="793" t="s">
        <v>796</v>
      </c>
      <c r="F41" s="793">
        <v>83186</v>
      </c>
      <c r="G41" s="793" t="s">
        <v>796</v>
      </c>
      <c r="H41" s="793" t="s">
        <v>796</v>
      </c>
      <c r="I41" s="793">
        <v>83186</v>
      </c>
      <c r="J41" s="793">
        <v>163865</v>
      </c>
      <c r="K41" s="793">
        <v>114000</v>
      </c>
      <c r="L41" s="793">
        <v>49865</v>
      </c>
      <c r="M41" s="793">
        <v>2585353</v>
      </c>
      <c r="N41" s="793">
        <v>2240733</v>
      </c>
      <c r="O41" s="793" t="s">
        <v>796</v>
      </c>
      <c r="P41" s="793">
        <v>205720</v>
      </c>
      <c r="Q41" s="793">
        <v>131885</v>
      </c>
      <c r="R41" s="793" t="s">
        <v>796</v>
      </c>
      <c r="S41" s="793" t="s">
        <v>796</v>
      </c>
      <c r="T41" s="793">
        <v>7015</v>
      </c>
      <c r="U41" s="793">
        <v>8772954</v>
      </c>
      <c r="V41" s="793">
        <v>100927</v>
      </c>
      <c r="W41" s="794" t="s">
        <v>517</v>
      </c>
    </row>
    <row r="42" spans="1:23" s="241" customFormat="1" ht="9.75" customHeight="1" x14ac:dyDescent="0.15">
      <c r="A42" s="448" t="s">
        <v>557</v>
      </c>
      <c r="B42" s="241" t="s">
        <v>796</v>
      </c>
      <c r="C42" s="241">
        <v>885368</v>
      </c>
      <c r="D42" s="241">
        <v>49204</v>
      </c>
      <c r="E42" s="241" t="s">
        <v>796</v>
      </c>
      <c r="F42" s="241">
        <v>833501</v>
      </c>
      <c r="G42" s="241">
        <v>136060</v>
      </c>
      <c r="H42" s="241">
        <v>97652</v>
      </c>
      <c r="I42" s="241">
        <v>599789</v>
      </c>
      <c r="J42" s="241">
        <v>122631</v>
      </c>
      <c r="K42" s="241" t="s">
        <v>796</v>
      </c>
      <c r="L42" s="241">
        <v>122631</v>
      </c>
      <c r="M42" s="241">
        <v>2561014</v>
      </c>
      <c r="N42" s="241">
        <v>2229139</v>
      </c>
      <c r="O42" s="241" t="s">
        <v>796</v>
      </c>
      <c r="P42" s="241">
        <v>141069</v>
      </c>
      <c r="Q42" s="241">
        <v>180476</v>
      </c>
      <c r="R42" s="241">
        <v>10330</v>
      </c>
      <c r="S42" s="241" t="s">
        <v>796</v>
      </c>
      <c r="T42" s="241" t="s">
        <v>796</v>
      </c>
      <c r="U42" s="241">
        <v>9428098</v>
      </c>
      <c r="V42" s="241">
        <v>154626</v>
      </c>
      <c r="W42" s="242" t="s">
        <v>558</v>
      </c>
    </row>
    <row r="43" spans="1:23" s="241" customFormat="1" ht="9.75" customHeight="1" x14ac:dyDescent="0.15">
      <c r="A43" s="448" t="s">
        <v>682</v>
      </c>
      <c r="B43" s="241">
        <v>11502</v>
      </c>
      <c r="C43" s="241">
        <v>1744114</v>
      </c>
      <c r="D43" s="241">
        <v>347559</v>
      </c>
      <c r="E43" s="241">
        <v>49985</v>
      </c>
      <c r="F43" s="241">
        <v>999279</v>
      </c>
      <c r="G43" s="241">
        <v>90681</v>
      </c>
      <c r="H43" s="241" t="s">
        <v>796</v>
      </c>
      <c r="I43" s="241">
        <v>908598</v>
      </c>
      <c r="J43" s="241">
        <v>47468</v>
      </c>
      <c r="K43" s="241" t="s">
        <v>796</v>
      </c>
      <c r="L43" s="241">
        <v>47468</v>
      </c>
      <c r="M43" s="241">
        <v>4048827</v>
      </c>
      <c r="N43" s="241">
        <v>3457245</v>
      </c>
      <c r="O43" s="241" t="s">
        <v>796</v>
      </c>
      <c r="P43" s="241">
        <v>518570</v>
      </c>
      <c r="Q43" s="241">
        <v>73012</v>
      </c>
      <c r="R43" s="241" t="s">
        <v>796</v>
      </c>
      <c r="S43" s="241" t="s">
        <v>796</v>
      </c>
      <c r="T43" s="241" t="s">
        <v>796</v>
      </c>
      <c r="U43" s="241">
        <v>9914987</v>
      </c>
      <c r="V43" s="241">
        <v>79756</v>
      </c>
      <c r="W43" s="242" t="s">
        <v>683</v>
      </c>
    </row>
    <row r="44" spans="1:23" s="241" customFormat="1" ht="9.75" customHeight="1" x14ac:dyDescent="0.15">
      <c r="A44" s="448" t="s">
        <v>784</v>
      </c>
      <c r="B44" s="241">
        <v>235250</v>
      </c>
      <c r="C44" s="241">
        <v>841627</v>
      </c>
      <c r="D44" s="241">
        <v>605707</v>
      </c>
      <c r="E44" s="241" t="s">
        <v>796</v>
      </c>
      <c r="F44" s="241">
        <v>1127052</v>
      </c>
      <c r="G44" s="241">
        <v>90366</v>
      </c>
      <c r="H44" s="241">
        <v>97541</v>
      </c>
      <c r="I44" s="241">
        <v>939145</v>
      </c>
      <c r="J44" s="241">
        <v>47600</v>
      </c>
      <c r="K44" s="241" t="s">
        <v>796</v>
      </c>
      <c r="L44" s="241">
        <v>47600</v>
      </c>
      <c r="M44" s="241">
        <v>2992559</v>
      </c>
      <c r="N44" s="241">
        <v>2362551</v>
      </c>
      <c r="O44" s="241" t="s">
        <v>796</v>
      </c>
      <c r="P44" s="241">
        <v>582027</v>
      </c>
      <c r="Q44" s="241">
        <v>42737</v>
      </c>
      <c r="R44" s="241" t="s">
        <v>796</v>
      </c>
      <c r="S44" s="241">
        <v>5244</v>
      </c>
      <c r="T44" s="241" t="s">
        <v>796</v>
      </c>
      <c r="U44" s="574">
        <v>11925203</v>
      </c>
      <c r="V44" s="574">
        <v>66837</v>
      </c>
      <c r="W44" s="242" t="s">
        <v>785</v>
      </c>
    </row>
    <row r="45" spans="1:23" s="241" customFormat="1" ht="9.75" customHeight="1" x14ac:dyDescent="0.15">
      <c r="A45" s="448" t="s">
        <v>832</v>
      </c>
      <c r="B45" s="241" t="s">
        <v>796</v>
      </c>
      <c r="C45" s="241">
        <v>208177</v>
      </c>
      <c r="D45" s="241" t="s">
        <v>796</v>
      </c>
      <c r="E45" s="241" t="s">
        <v>796</v>
      </c>
      <c r="F45" s="241">
        <v>498100</v>
      </c>
      <c r="G45" s="241" t="s">
        <v>796</v>
      </c>
      <c r="H45" s="241">
        <v>99922</v>
      </c>
      <c r="I45" s="241">
        <v>398178</v>
      </c>
      <c r="J45" s="241" t="s">
        <v>796</v>
      </c>
      <c r="K45" s="241" t="s">
        <v>796</v>
      </c>
      <c r="L45" s="241" t="s">
        <v>796</v>
      </c>
      <c r="M45" s="241">
        <v>2459772</v>
      </c>
      <c r="N45" s="241">
        <v>1966666</v>
      </c>
      <c r="O45" s="241">
        <v>25663</v>
      </c>
      <c r="P45" s="241">
        <v>467443</v>
      </c>
      <c r="Q45" s="241" t="s">
        <v>796</v>
      </c>
      <c r="R45" s="241" t="s">
        <v>796</v>
      </c>
      <c r="S45" s="241" t="s">
        <v>796</v>
      </c>
      <c r="T45" s="241" t="s">
        <v>796</v>
      </c>
      <c r="U45" s="241">
        <v>12335071</v>
      </c>
      <c r="V45" s="241">
        <v>56388</v>
      </c>
      <c r="W45" s="242" t="s">
        <v>833</v>
      </c>
    </row>
    <row r="46" spans="1:23" s="241" customFormat="1" ht="6.75" customHeight="1" x14ac:dyDescent="0.15">
      <c r="A46" s="464"/>
      <c r="W46" s="242"/>
    </row>
    <row r="47" spans="1:23" s="241" customFormat="1" ht="9.75" customHeight="1" x14ac:dyDescent="0.15">
      <c r="A47" s="448" t="s">
        <v>834</v>
      </c>
      <c r="B47" s="241">
        <v>185324</v>
      </c>
      <c r="C47" s="241">
        <v>614818</v>
      </c>
      <c r="D47" s="241">
        <v>197186</v>
      </c>
      <c r="E47" s="241" t="s">
        <v>796</v>
      </c>
      <c r="F47" s="241">
        <v>1077809</v>
      </c>
      <c r="G47" s="241">
        <v>90366</v>
      </c>
      <c r="H47" s="241">
        <v>148363</v>
      </c>
      <c r="I47" s="241">
        <v>839080</v>
      </c>
      <c r="J47" s="241" t="s">
        <v>796</v>
      </c>
      <c r="K47" s="241" t="s">
        <v>796</v>
      </c>
      <c r="L47" s="241" t="s">
        <v>796</v>
      </c>
      <c r="M47" s="241">
        <v>2646110</v>
      </c>
      <c r="N47" s="241">
        <v>1855607</v>
      </c>
      <c r="O47" s="241">
        <v>12315</v>
      </c>
      <c r="P47" s="241">
        <v>730207</v>
      </c>
      <c r="Q47" s="241">
        <v>42737</v>
      </c>
      <c r="R47" s="241" t="s">
        <v>796</v>
      </c>
      <c r="S47" s="241">
        <v>5244</v>
      </c>
      <c r="T47" s="241" t="s">
        <v>796</v>
      </c>
      <c r="U47" s="241">
        <v>12133217</v>
      </c>
      <c r="V47" s="241">
        <v>62620</v>
      </c>
      <c r="W47" s="242" t="s">
        <v>786</v>
      </c>
    </row>
    <row r="48" spans="1:23" s="241" customFormat="1" ht="9.75" customHeight="1" x14ac:dyDescent="0.15">
      <c r="A48" s="448" t="s">
        <v>835</v>
      </c>
      <c r="B48" s="241" t="s">
        <v>796</v>
      </c>
      <c r="C48" s="241">
        <v>96194</v>
      </c>
      <c r="D48" s="241" t="s">
        <v>796</v>
      </c>
      <c r="E48" s="241" t="s">
        <v>796</v>
      </c>
      <c r="F48" s="241">
        <v>297373</v>
      </c>
      <c r="G48" s="241" t="s">
        <v>796</v>
      </c>
      <c r="H48" s="241" t="s">
        <v>796</v>
      </c>
      <c r="I48" s="241">
        <v>297373</v>
      </c>
      <c r="J48" s="241" t="s">
        <v>796</v>
      </c>
      <c r="K48" s="241" t="s">
        <v>796</v>
      </c>
      <c r="L48" s="241" t="s">
        <v>796</v>
      </c>
      <c r="M48" s="241">
        <v>2298957</v>
      </c>
      <c r="N48" s="241">
        <v>2007066</v>
      </c>
      <c r="O48" s="241">
        <v>13348</v>
      </c>
      <c r="P48" s="241">
        <v>278543</v>
      </c>
      <c r="Q48" s="241" t="s">
        <v>796</v>
      </c>
      <c r="R48" s="241" t="s">
        <v>796</v>
      </c>
      <c r="S48" s="241" t="s">
        <v>796</v>
      </c>
      <c r="T48" s="241" t="s">
        <v>796</v>
      </c>
      <c r="U48" s="241">
        <v>12313307</v>
      </c>
      <c r="V48" s="241">
        <v>48751</v>
      </c>
      <c r="W48" s="242" t="s">
        <v>836</v>
      </c>
    </row>
    <row r="49" spans="1:23" s="241" customFormat="1" ht="6.75" customHeight="1" x14ac:dyDescent="0.15">
      <c r="A49" s="464"/>
      <c r="W49" s="242"/>
    </row>
    <row r="50" spans="1:23" s="241" customFormat="1" ht="9.75" customHeight="1" x14ac:dyDescent="0.15">
      <c r="A50" s="448" t="s">
        <v>837</v>
      </c>
      <c r="B50" s="241" t="s">
        <v>796</v>
      </c>
      <c r="C50" s="241">
        <v>125331</v>
      </c>
      <c r="D50" s="241" t="s">
        <v>796</v>
      </c>
      <c r="E50" s="241" t="s">
        <v>796</v>
      </c>
      <c r="F50" s="241">
        <v>200727</v>
      </c>
      <c r="G50" s="241" t="s">
        <v>796</v>
      </c>
      <c r="H50" s="241">
        <v>99922</v>
      </c>
      <c r="I50" s="241">
        <v>100805</v>
      </c>
      <c r="J50" s="241" t="s">
        <v>796</v>
      </c>
      <c r="K50" s="241" t="s">
        <v>796</v>
      </c>
      <c r="L50" s="241" t="s">
        <v>796</v>
      </c>
      <c r="M50" s="241">
        <v>735191</v>
      </c>
      <c r="N50" s="241">
        <v>460463</v>
      </c>
      <c r="O50" s="241">
        <v>12315</v>
      </c>
      <c r="P50" s="241">
        <v>262413</v>
      </c>
      <c r="Q50" s="241" t="s">
        <v>796</v>
      </c>
      <c r="R50" s="241" t="s">
        <v>796</v>
      </c>
      <c r="S50" s="241" t="s">
        <v>796</v>
      </c>
      <c r="T50" s="241" t="s">
        <v>796</v>
      </c>
      <c r="U50" s="241">
        <v>2998139</v>
      </c>
      <c r="V50" s="241">
        <v>18256</v>
      </c>
      <c r="W50" s="242" t="s">
        <v>787</v>
      </c>
    </row>
    <row r="51" spans="1:23" s="241" customFormat="1" ht="9.75" customHeight="1" x14ac:dyDescent="0.15">
      <c r="A51" s="448" t="s">
        <v>559</v>
      </c>
      <c r="B51" s="241" t="s">
        <v>796</v>
      </c>
      <c r="C51" s="241">
        <v>64696</v>
      </c>
      <c r="D51" s="241" t="s">
        <v>796</v>
      </c>
      <c r="E51" s="241" t="s">
        <v>796</v>
      </c>
      <c r="F51" s="241">
        <v>50004</v>
      </c>
      <c r="G51" s="241" t="s">
        <v>796</v>
      </c>
      <c r="H51" s="241" t="s">
        <v>796</v>
      </c>
      <c r="I51" s="241">
        <v>50004</v>
      </c>
      <c r="J51" s="241" t="s">
        <v>796</v>
      </c>
      <c r="K51" s="241" t="s">
        <v>796</v>
      </c>
      <c r="L51" s="241" t="s">
        <v>796</v>
      </c>
      <c r="M51" s="241">
        <v>609115</v>
      </c>
      <c r="N51" s="241">
        <v>595767</v>
      </c>
      <c r="O51" s="241">
        <v>13348</v>
      </c>
      <c r="P51" s="241" t="s">
        <v>796</v>
      </c>
      <c r="Q51" s="241" t="s">
        <v>796</v>
      </c>
      <c r="R51" s="241" t="s">
        <v>796</v>
      </c>
      <c r="S51" s="241" t="s">
        <v>796</v>
      </c>
      <c r="T51" s="241" t="s">
        <v>796</v>
      </c>
      <c r="U51" s="241">
        <v>3049392</v>
      </c>
      <c r="V51" s="241">
        <v>10978</v>
      </c>
      <c r="W51" s="242" t="s">
        <v>78</v>
      </c>
    </row>
    <row r="52" spans="1:23" s="241" customFormat="1" ht="9.75" customHeight="1" x14ac:dyDescent="0.15">
      <c r="A52" s="448" t="s">
        <v>560</v>
      </c>
      <c r="B52" s="241" t="s">
        <v>796</v>
      </c>
      <c r="C52" s="241">
        <v>18150</v>
      </c>
      <c r="D52" s="241" t="s">
        <v>796</v>
      </c>
      <c r="E52" s="241" t="s">
        <v>796</v>
      </c>
      <c r="F52" s="241">
        <v>99997</v>
      </c>
      <c r="G52" s="241" t="s">
        <v>796</v>
      </c>
      <c r="H52" s="241" t="s">
        <v>796</v>
      </c>
      <c r="I52" s="241">
        <v>99997</v>
      </c>
      <c r="J52" s="241" t="s">
        <v>796</v>
      </c>
      <c r="K52" s="241" t="s">
        <v>796</v>
      </c>
      <c r="L52" s="241" t="s">
        <v>796</v>
      </c>
      <c r="M52" s="241">
        <v>475967</v>
      </c>
      <c r="N52" s="241">
        <v>428364</v>
      </c>
      <c r="O52" s="241" t="s">
        <v>796</v>
      </c>
      <c r="P52" s="241">
        <v>47603</v>
      </c>
      <c r="Q52" s="241" t="s">
        <v>796</v>
      </c>
      <c r="R52" s="241" t="s">
        <v>796</v>
      </c>
      <c r="S52" s="241" t="s">
        <v>796</v>
      </c>
      <c r="T52" s="241" t="s">
        <v>796</v>
      </c>
      <c r="U52" s="241">
        <v>3021251</v>
      </c>
      <c r="V52" s="241">
        <v>12246</v>
      </c>
      <c r="W52" s="242" t="s">
        <v>79</v>
      </c>
    </row>
    <row r="53" spans="1:23" s="241" customFormat="1" ht="9.75" customHeight="1" x14ac:dyDescent="0.15">
      <c r="A53" s="448" t="s">
        <v>561</v>
      </c>
      <c r="B53" s="241" t="s">
        <v>796</v>
      </c>
      <c r="C53" s="241" t="s">
        <v>796</v>
      </c>
      <c r="D53" s="241" t="s">
        <v>796</v>
      </c>
      <c r="E53" s="241" t="s">
        <v>796</v>
      </c>
      <c r="F53" s="241">
        <v>147372</v>
      </c>
      <c r="G53" s="241" t="s">
        <v>796</v>
      </c>
      <c r="H53" s="241" t="s">
        <v>796</v>
      </c>
      <c r="I53" s="241">
        <v>147372</v>
      </c>
      <c r="J53" s="241" t="s">
        <v>796</v>
      </c>
      <c r="K53" s="241" t="s">
        <v>796</v>
      </c>
      <c r="L53" s="241" t="s">
        <v>796</v>
      </c>
      <c r="M53" s="241">
        <v>639499</v>
      </c>
      <c r="N53" s="241">
        <v>482072</v>
      </c>
      <c r="O53" s="241" t="s">
        <v>796</v>
      </c>
      <c r="P53" s="241">
        <v>157427</v>
      </c>
      <c r="Q53" s="241" t="s">
        <v>796</v>
      </c>
      <c r="R53" s="241" t="s">
        <v>796</v>
      </c>
      <c r="S53" s="241" t="s">
        <v>796</v>
      </c>
      <c r="T53" s="241" t="s">
        <v>796</v>
      </c>
      <c r="U53" s="241">
        <v>3266289</v>
      </c>
      <c r="V53" s="241">
        <v>14908</v>
      </c>
      <c r="W53" s="242" t="s">
        <v>80</v>
      </c>
    </row>
    <row r="54" spans="1:23" s="241" customFormat="1" ht="9.75" customHeight="1" x14ac:dyDescent="0.15">
      <c r="A54" s="448" t="s">
        <v>838</v>
      </c>
      <c r="B54" s="241" t="s">
        <v>796</v>
      </c>
      <c r="C54" s="241">
        <v>13348</v>
      </c>
      <c r="D54" s="241" t="s">
        <v>796</v>
      </c>
      <c r="E54" s="241" t="s">
        <v>796</v>
      </c>
      <c r="F54" s="241" t="s">
        <v>796</v>
      </c>
      <c r="G54" s="241" t="s">
        <v>796</v>
      </c>
      <c r="H54" s="241" t="s">
        <v>796</v>
      </c>
      <c r="I54" s="241" t="s">
        <v>796</v>
      </c>
      <c r="J54" s="241" t="s">
        <v>796</v>
      </c>
      <c r="K54" s="241" t="s">
        <v>796</v>
      </c>
      <c r="L54" s="241" t="s">
        <v>796</v>
      </c>
      <c r="M54" s="241">
        <v>574376</v>
      </c>
      <c r="N54" s="241">
        <v>500863</v>
      </c>
      <c r="O54" s="241" t="s">
        <v>796</v>
      </c>
      <c r="P54" s="241">
        <v>73513</v>
      </c>
      <c r="Q54" s="241" t="s">
        <v>796</v>
      </c>
      <c r="R54" s="241" t="s">
        <v>796</v>
      </c>
      <c r="S54" s="241" t="s">
        <v>796</v>
      </c>
      <c r="T54" s="241" t="s">
        <v>796</v>
      </c>
      <c r="U54" s="241">
        <v>2976375</v>
      </c>
      <c r="V54" s="241">
        <v>10619</v>
      </c>
      <c r="W54" s="242" t="s">
        <v>839</v>
      </c>
    </row>
    <row r="55" spans="1:23" s="241" customFormat="1" ht="6.75" customHeight="1" x14ac:dyDescent="0.15">
      <c r="A55" s="464"/>
      <c r="W55" s="242"/>
    </row>
    <row r="56" spans="1:23" s="241" customFormat="1" ht="9.75" customHeight="1" x14ac:dyDescent="0.15">
      <c r="A56" s="448" t="s">
        <v>840</v>
      </c>
      <c r="B56" s="241" t="s">
        <v>796</v>
      </c>
      <c r="C56" s="241">
        <v>23685</v>
      </c>
      <c r="D56" s="241" t="s">
        <v>796</v>
      </c>
      <c r="E56" s="241" t="s">
        <v>796</v>
      </c>
      <c r="F56" s="241">
        <v>100805</v>
      </c>
      <c r="G56" s="241" t="s">
        <v>796</v>
      </c>
      <c r="H56" s="241" t="s">
        <v>796</v>
      </c>
      <c r="I56" s="241">
        <v>100805</v>
      </c>
      <c r="J56" s="241" t="s">
        <v>796</v>
      </c>
      <c r="K56" s="241" t="s">
        <v>796</v>
      </c>
      <c r="L56" s="241" t="s">
        <v>796</v>
      </c>
      <c r="M56" s="241">
        <v>157417</v>
      </c>
      <c r="N56" s="241">
        <v>95344</v>
      </c>
      <c r="O56" s="241" t="s">
        <v>796</v>
      </c>
      <c r="P56" s="241">
        <v>62073</v>
      </c>
      <c r="Q56" s="241" t="s">
        <v>796</v>
      </c>
      <c r="R56" s="241" t="s">
        <v>796</v>
      </c>
      <c r="S56" s="241" t="s">
        <v>796</v>
      </c>
      <c r="T56" s="241" t="s">
        <v>796</v>
      </c>
      <c r="U56" s="241">
        <v>1005064</v>
      </c>
      <c r="V56" s="241">
        <v>6687</v>
      </c>
      <c r="W56" s="242" t="s">
        <v>788</v>
      </c>
    </row>
    <row r="57" spans="1:23" s="241" customFormat="1" ht="9.75" customHeight="1" x14ac:dyDescent="0.15">
      <c r="A57" s="448" t="s">
        <v>562</v>
      </c>
      <c r="B57" s="241" t="s">
        <v>796</v>
      </c>
      <c r="C57" s="241">
        <v>73491</v>
      </c>
      <c r="D57" s="241" t="s">
        <v>796</v>
      </c>
      <c r="E57" s="241" t="s">
        <v>796</v>
      </c>
      <c r="F57" s="241" t="s">
        <v>796</v>
      </c>
      <c r="G57" s="241" t="s">
        <v>796</v>
      </c>
      <c r="H57" s="241" t="s">
        <v>796</v>
      </c>
      <c r="I57" s="241" t="s">
        <v>796</v>
      </c>
      <c r="J57" s="241" t="s">
        <v>796</v>
      </c>
      <c r="K57" s="241" t="s">
        <v>796</v>
      </c>
      <c r="L57" s="241" t="s">
        <v>796</v>
      </c>
      <c r="M57" s="241">
        <v>305618</v>
      </c>
      <c r="N57" s="241">
        <v>200129</v>
      </c>
      <c r="O57" s="241">
        <v>12315</v>
      </c>
      <c r="P57" s="241">
        <v>93174</v>
      </c>
      <c r="Q57" s="241" t="s">
        <v>796</v>
      </c>
      <c r="R57" s="241" t="s">
        <v>796</v>
      </c>
      <c r="S57" s="241" t="s">
        <v>796</v>
      </c>
      <c r="T57" s="241" t="s">
        <v>796</v>
      </c>
      <c r="U57" s="241">
        <v>960086</v>
      </c>
      <c r="V57" s="241">
        <v>5882</v>
      </c>
      <c r="W57" s="242" t="s">
        <v>66</v>
      </c>
    </row>
    <row r="58" spans="1:23" s="241" customFormat="1" ht="9.75" customHeight="1" x14ac:dyDescent="0.15">
      <c r="A58" s="448" t="s">
        <v>563</v>
      </c>
      <c r="B58" s="241" t="s">
        <v>796</v>
      </c>
      <c r="C58" s="241">
        <v>28155</v>
      </c>
      <c r="D58" s="241" t="s">
        <v>796</v>
      </c>
      <c r="E58" s="241" t="s">
        <v>796</v>
      </c>
      <c r="F58" s="241">
        <v>99922</v>
      </c>
      <c r="G58" s="241" t="s">
        <v>796</v>
      </c>
      <c r="H58" s="241">
        <v>99922</v>
      </c>
      <c r="I58" s="241" t="s">
        <v>796</v>
      </c>
      <c r="J58" s="241" t="s">
        <v>796</v>
      </c>
      <c r="K58" s="241" t="s">
        <v>796</v>
      </c>
      <c r="L58" s="241" t="s">
        <v>796</v>
      </c>
      <c r="M58" s="241">
        <v>272156</v>
      </c>
      <c r="N58" s="241">
        <v>164990</v>
      </c>
      <c r="O58" s="241" t="s">
        <v>796</v>
      </c>
      <c r="P58" s="241">
        <v>107166</v>
      </c>
      <c r="Q58" s="241" t="s">
        <v>796</v>
      </c>
      <c r="R58" s="241" t="s">
        <v>796</v>
      </c>
      <c r="S58" s="241" t="s">
        <v>796</v>
      </c>
      <c r="T58" s="241" t="s">
        <v>796</v>
      </c>
      <c r="U58" s="241">
        <v>1032989</v>
      </c>
      <c r="V58" s="241">
        <v>5687</v>
      </c>
      <c r="W58" s="242" t="s">
        <v>67</v>
      </c>
    </row>
    <row r="59" spans="1:23" s="241" customFormat="1" ht="9.75" customHeight="1" x14ac:dyDescent="0.15">
      <c r="A59" s="448" t="s">
        <v>564</v>
      </c>
      <c r="B59" s="241" t="s">
        <v>796</v>
      </c>
      <c r="C59" s="241" t="s">
        <v>796</v>
      </c>
      <c r="D59" s="241" t="s">
        <v>796</v>
      </c>
      <c r="E59" s="241" t="s">
        <v>796</v>
      </c>
      <c r="F59" s="241" t="s">
        <v>796</v>
      </c>
      <c r="G59" s="241" t="s">
        <v>796</v>
      </c>
      <c r="H59" s="241" t="s">
        <v>796</v>
      </c>
      <c r="I59" s="241" t="s">
        <v>796</v>
      </c>
      <c r="J59" s="241" t="s">
        <v>796</v>
      </c>
      <c r="K59" s="241" t="s">
        <v>796</v>
      </c>
      <c r="L59" s="241" t="s">
        <v>796</v>
      </c>
      <c r="M59" s="241">
        <v>142537</v>
      </c>
      <c r="N59" s="241">
        <v>142537</v>
      </c>
      <c r="O59" s="241" t="s">
        <v>796</v>
      </c>
      <c r="P59" s="241" t="s">
        <v>796</v>
      </c>
      <c r="Q59" s="241" t="s">
        <v>796</v>
      </c>
      <c r="R59" s="241" t="s">
        <v>796</v>
      </c>
      <c r="S59" s="241" t="s">
        <v>796</v>
      </c>
      <c r="T59" s="241" t="s">
        <v>796</v>
      </c>
      <c r="U59" s="241">
        <v>1037970</v>
      </c>
      <c r="V59" s="241">
        <v>4291</v>
      </c>
      <c r="W59" s="242" t="s">
        <v>68</v>
      </c>
    </row>
    <row r="60" spans="1:23" s="241" customFormat="1" ht="9.75" customHeight="1" x14ac:dyDescent="0.15">
      <c r="A60" s="448" t="s">
        <v>565</v>
      </c>
      <c r="B60" s="241" t="s">
        <v>796</v>
      </c>
      <c r="C60" s="241">
        <v>46106</v>
      </c>
      <c r="D60" s="241" t="s">
        <v>796</v>
      </c>
      <c r="E60" s="241" t="s">
        <v>796</v>
      </c>
      <c r="F60" s="241">
        <v>50004</v>
      </c>
      <c r="G60" s="241" t="s">
        <v>796</v>
      </c>
      <c r="H60" s="241" t="s">
        <v>796</v>
      </c>
      <c r="I60" s="241">
        <v>50004</v>
      </c>
      <c r="J60" s="241" t="s">
        <v>796</v>
      </c>
      <c r="K60" s="241" t="s">
        <v>796</v>
      </c>
      <c r="L60" s="241" t="s">
        <v>796</v>
      </c>
      <c r="M60" s="241">
        <v>142560</v>
      </c>
      <c r="N60" s="241">
        <v>129212</v>
      </c>
      <c r="O60" s="241">
        <v>13348</v>
      </c>
      <c r="P60" s="241" t="s">
        <v>796</v>
      </c>
      <c r="Q60" s="241" t="s">
        <v>796</v>
      </c>
      <c r="R60" s="241" t="s">
        <v>796</v>
      </c>
      <c r="S60" s="241" t="s">
        <v>796</v>
      </c>
      <c r="T60" s="241" t="s">
        <v>796</v>
      </c>
      <c r="U60" s="241">
        <v>1033216</v>
      </c>
      <c r="V60" s="241">
        <v>3517</v>
      </c>
      <c r="W60" s="242" t="s">
        <v>81</v>
      </c>
    </row>
    <row r="61" spans="1:23" s="241" customFormat="1" ht="9.75" customHeight="1" x14ac:dyDescent="0.15">
      <c r="A61" s="448" t="s">
        <v>566</v>
      </c>
      <c r="B61" s="241" t="s">
        <v>796</v>
      </c>
      <c r="C61" s="241">
        <v>18590</v>
      </c>
      <c r="D61" s="241" t="s">
        <v>796</v>
      </c>
      <c r="E61" s="241" t="s">
        <v>796</v>
      </c>
      <c r="F61" s="241" t="s">
        <v>796</v>
      </c>
      <c r="G61" s="241" t="s">
        <v>796</v>
      </c>
      <c r="H61" s="241" t="s">
        <v>796</v>
      </c>
      <c r="I61" s="241" t="s">
        <v>796</v>
      </c>
      <c r="J61" s="241" t="s">
        <v>796</v>
      </c>
      <c r="K61" s="241" t="s">
        <v>796</v>
      </c>
      <c r="L61" s="241" t="s">
        <v>796</v>
      </c>
      <c r="M61" s="241">
        <v>324018</v>
      </c>
      <c r="N61" s="241">
        <v>324018</v>
      </c>
      <c r="O61" s="241" t="s">
        <v>796</v>
      </c>
      <c r="P61" s="241" t="s">
        <v>796</v>
      </c>
      <c r="Q61" s="241" t="s">
        <v>796</v>
      </c>
      <c r="R61" s="241" t="s">
        <v>796</v>
      </c>
      <c r="S61" s="241" t="s">
        <v>796</v>
      </c>
      <c r="T61" s="241" t="s">
        <v>796</v>
      </c>
      <c r="U61" s="241">
        <v>978206</v>
      </c>
      <c r="V61" s="241">
        <v>3170</v>
      </c>
      <c r="W61" s="242" t="s">
        <v>82</v>
      </c>
    </row>
    <row r="62" spans="1:23" s="241" customFormat="1" ht="9.75" customHeight="1" x14ac:dyDescent="0.15">
      <c r="A62" s="448" t="s">
        <v>567</v>
      </c>
      <c r="B62" s="241" t="s">
        <v>796</v>
      </c>
      <c r="C62" s="241">
        <v>18150</v>
      </c>
      <c r="D62" s="241" t="s">
        <v>796</v>
      </c>
      <c r="E62" s="241" t="s">
        <v>796</v>
      </c>
      <c r="F62" s="241" t="s">
        <v>796</v>
      </c>
      <c r="G62" s="241" t="s">
        <v>796</v>
      </c>
      <c r="H62" s="241" t="s">
        <v>796</v>
      </c>
      <c r="I62" s="241" t="s">
        <v>796</v>
      </c>
      <c r="J62" s="241" t="s">
        <v>796</v>
      </c>
      <c r="K62" s="241" t="s">
        <v>796</v>
      </c>
      <c r="L62" s="241" t="s">
        <v>796</v>
      </c>
      <c r="M62" s="241">
        <v>190709</v>
      </c>
      <c r="N62" s="241">
        <v>190709</v>
      </c>
      <c r="O62" s="241" t="s">
        <v>796</v>
      </c>
      <c r="P62" s="241" t="s">
        <v>796</v>
      </c>
      <c r="Q62" s="241" t="s">
        <v>796</v>
      </c>
      <c r="R62" s="241" t="s">
        <v>796</v>
      </c>
      <c r="S62" s="241" t="s">
        <v>796</v>
      </c>
      <c r="T62" s="241" t="s">
        <v>796</v>
      </c>
      <c r="U62" s="241">
        <v>1026126</v>
      </c>
      <c r="V62" s="241">
        <v>3953</v>
      </c>
      <c r="W62" s="242" t="s">
        <v>83</v>
      </c>
    </row>
    <row r="63" spans="1:23" s="241" customFormat="1" ht="9.75" customHeight="1" x14ac:dyDescent="0.15">
      <c r="A63" s="448" t="s">
        <v>568</v>
      </c>
      <c r="B63" s="241" t="s">
        <v>796</v>
      </c>
      <c r="C63" s="241" t="s">
        <v>796</v>
      </c>
      <c r="D63" s="241" t="s">
        <v>796</v>
      </c>
      <c r="E63" s="241" t="s">
        <v>796</v>
      </c>
      <c r="F63" s="241" t="s">
        <v>796</v>
      </c>
      <c r="G63" s="241" t="s">
        <v>796</v>
      </c>
      <c r="H63" s="241" t="s">
        <v>796</v>
      </c>
      <c r="I63" s="241" t="s">
        <v>796</v>
      </c>
      <c r="J63" s="241" t="s">
        <v>796</v>
      </c>
      <c r="K63" s="241" t="s">
        <v>796</v>
      </c>
      <c r="L63" s="241" t="s">
        <v>796</v>
      </c>
      <c r="M63" s="241">
        <v>92954</v>
      </c>
      <c r="N63" s="241">
        <v>45351</v>
      </c>
      <c r="O63" s="241" t="s">
        <v>796</v>
      </c>
      <c r="P63" s="241">
        <v>47603</v>
      </c>
      <c r="Q63" s="241" t="s">
        <v>796</v>
      </c>
      <c r="R63" s="241" t="s">
        <v>796</v>
      </c>
      <c r="S63" s="241" t="s">
        <v>796</v>
      </c>
      <c r="T63" s="241" t="s">
        <v>796</v>
      </c>
      <c r="U63" s="241">
        <v>949545</v>
      </c>
      <c r="V63" s="241">
        <v>3226</v>
      </c>
      <c r="W63" s="242" t="s">
        <v>84</v>
      </c>
    </row>
    <row r="64" spans="1:23" s="241" customFormat="1" ht="9.75" customHeight="1" x14ac:dyDescent="0.15">
      <c r="A64" s="448" t="s">
        <v>569</v>
      </c>
      <c r="B64" s="241" t="s">
        <v>796</v>
      </c>
      <c r="C64" s="241" t="s">
        <v>796</v>
      </c>
      <c r="D64" s="241" t="s">
        <v>796</v>
      </c>
      <c r="E64" s="241" t="s">
        <v>796</v>
      </c>
      <c r="F64" s="241">
        <v>99997</v>
      </c>
      <c r="G64" s="241" t="s">
        <v>796</v>
      </c>
      <c r="H64" s="241" t="s">
        <v>796</v>
      </c>
      <c r="I64" s="241">
        <v>99997</v>
      </c>
      <c r="J64" s="241" t="s">
        <v>796</v>
      </c>
      <c r="K64" s="241" t="s">
        <v>796</v>
      </c>
      <c r="L64" s="241" t="s">
        <v>796</v>
      </c>
      <c r="M64" s="241">
        <v>192304</v>
      </c>
      <c r="N64" s="241">
        <v>192304</v>
      </c>
      <c r="O64" s="241" t="s">
        <v>796</v>
      </c>
      <c r="P64" s="241" t="s">
        <v>796</v>
      </c>
      <c r="Q64" s="241" t="s">
        <v>796</v>
      </c>
      <c r="R64" s="241" t="s">
        <v>796</v>
      </c>
      <c r="S64" s="241" t="s">
        <v>796</v>
      </c>
      <c r="T64" s="241" t="s">
        <v>796</v>
      </c>
      <c r="U64" s="241">
        <v>1045580</v>
      </c>
      <c r="V64" s="241">
        <v>5067</v>
      </c>
      <c r="W64" s="242" t="s">
        <v>85</v>
      </c>
    </row>
    <row r="65" spans="1:23" s="241" customFormat="1" ht="9.75" customHeight="1" x14ac:dyDescent="0.15">
      <c r="A65" s="448" t="s">
        <v>570</v>
      </c>
      <c r="B65" s="241" t="s">
        <v>796</v>
      </c>
      <c r="C65" s="241" t="s">
        <v>796</v>
      </c>
      <c r="D65" s="241" t="s">
        <v>796</v>
      </c>
      <c r="E65" s="241" t="s">
        <v>796</v>
      </c>
      <c r="F65" s="241">
        <v>99953</v>
      </c>
      <c r="G65" s="241" t="s">
        <v>796</v>
      </c>
      <c r="H65" s="241" t="s">
        <v>796</v>
      </c>
      <c r="I65" s="241">
        <v>99953</v>
      </c>
      <c r="J65" s="241" t="s">
        <v>796</v>
      </c>
      <c r="K65" s="241" t="s">
        <v>796</v>
      </c>
      <c r="L65" s="241" t="s">
        <v>796</v>
      </c>
      <c r="M65" s="241">
        <v>202279</v>
      </c>
      <c r="N65" s="241">
        <v>92455</v>
      </c>
      <c r="O65" s="241" t="s">
        <v>796</v>
      </c>
      <c r="P65" s="241">
        <v>109824</v>
      </c>
      <c r="Q65" s="241" t="s">
        <v>796</v>
      </c>
      <c r="R65" s="241" t="s">
        <v>796</v>
      </c>
      <c r="S65" s="241" t="s">
        <v>796</v>
      </c>
      <c r="T65" s="241" t="s">
        <v>796</v>
      </c>
      <c r="U65" s="241">
        <v>1040595</v>
      </c>
      <c r="V65" s="241">
        <v>5045</v>
      </c>
      <c r="W65" s="242" t="s">
        <v>69</v>
      </c>
    </row>
    <row r="66" spans="1:23" s="241" customFormat="1" ht="9.75" customHeight="1" x14ac:dyDescent="0.15">
      <c r="A66" s="448" t="s">
        <v>571</v>
      </c>
      <c r="B66" s="241" t="s">
        <v>796</v>
      </c>
      <c r="C66" s="241" t="s">
        <v>796</v>
      </c>
      <c r="D66" s="241" t="s">
        <v>796</v>
      </c>
      <c r="E66" s="241" t="s">
        <v>796</v>
      </c>
      <c r="F66" s="241" t="s">
        <v>796</v>
      </c>
      <c r="G66" s="241" t="s">
        <v>796</v>
      </c>
      <c r="H66" s="241" t="s">
        <v>796</v>
      </c>
      <c r="I66" s="241" t="s">
        <v>796</v>
      </c>
      <c r="J66" s="241" t="s">
        <v>796</v>
      </c>
      <c r="K66" s="241" t="s">
        <v>796</v>
      </c>
      <c r="L66" s="241" t="s">
        <v>796</v>
      </c>
      <c r="M66" s="241">
        <v>224962</v>
      </c>
      <c r="N66" s="241">
        <v>177359</v>
      </c>
      <c r="O66" s="241" t="s">
        <v>796</v>
      </c>
      <c r="P66" s="241">
        <v>47603</v>
      </c>
      <c r="Q66" s="241" t="s">
        <v>796</v>
      </c>
      <c r="R66" s="241" t="s">
        <v>796</v>
      </c>
      <c r="S66" s="241" t="s">
        <v>796</v>
      </c>
      <c r="T66" s="241" t="s">
        <v>796</v>
      </c>
      <c r="U66" s="241">
        <v>1099190</v>
      </c>
      <c r="V66" s="241">
        <v>5725</v>
      </c>
      <c r="W66" s="242" t="s">
        <v>70</v>
      </c>
    </row>
    <row r="67" spans="1:23" s="241" customFormat="1" ht="9.75" customHeight="1" x14ac:dyDescent="0.15">
      <c r="A67" s="448" t="s">
        <v>572</v>
      </c>
      <c r="B67" s="241" t="s">
        <v>796</v>
      </c>
      <c r="C67" s="241" t="s">
        <v>796</v>
      </c>
      <c r="D67" s="241" t="s">
        <v>796</v>
      </c>
      <c r="E67" s="241" t="s">
        <v>796</v>
      </c>
      <c r="F67" s="241">
        <v>47419</v>
      </c>
      <c r="G67" s="241" t="s">
        <v>796</v>
      </c>
      <c r="H67" s="241" t="s">
        <v>796</v>
      </c>
      <c r="I67" s="241">
        <v>47419</v>
      </c>
      <c r="J67" s="241" t="s">
        <v>796</v>
      </c>
      <c r="K67" s="241" t="s">
        <v>796</v>
      </c>
      <c r="L67" s="241" t="s">
        <v>796</v>
      </c>
      <c r="M67" s="241">
        <v>212258</v>
      </c>
      <c r="N67" s="241">
        <v>212258</v>
      </c>
      <c r="O67" s="241" t="s">
        <v>796</v>
      </c>
      <c r="P67" s="241" t="s">
        <v>796</v>
      </c>
      <c r="Q67" s="241" t="s">
        <v>796</v>
      </c>
      <c r="R67" s="241" t="s">
        <v>796</v>
      </c>
      <c r="S67" s="241" t="s">
        <v>796</v>
      </c>
      <c r="T67" s="241" t="s">
        <v>796</v>
      </c>
      <c r="U67" s="241">
        <v>1126504</v>
      </c>
      <c r="V67" s="241">
        <v>4138</v>
      </c>
      <c r="W67" s="242" t="s">
        <v>71</v>
      </c>
    </row>
    <row r="68" spans="1:23" s="241" customFormat="1" ht="9.75" customHeight="1" x14ac:dyDescent="0.15">
      <c r="A68" s="448" t="s">
        <v>841</v>
      </c>
      <c r="B68" s="241" t="s">
        <v>796</v>
      </c>
      <c r="C68" s="241">
        <v>6674</v>
      </c>
      <c r="D68" s="241" t="s">
        <v>796</v>
      </c>
      <c r="E68" s="241" t="s">
        <v>796</v>
      </c>
      <c r="F68" s="241" t="s">
        <v>796</v>
      </c>
      <c r="G68" s="241" t="s">
        <v>796</v>
      </c>
      <c r="H68" s="241" t="s">
        <v>796</v>
      </c>
      <c r="I68" s="241" t="s">
        <v>796</v>
      </c>
      <c r="J68" s="241" t="s">
        <v>796</v>
      </c>
      <c r="K68" s="241" t="s">
        <v>796</v>
      </c>
      <c r="L68" s="241" t="s">
        <v>796</v>
      </c>
      <c r="M68" s="241">
        <v>354570</v>
      </c>
      <c r="N68" s="241">
        <v>354570</v>
      </c>
      <c r="O68" s="241" t="s">
        <v>796</v>
      </c>
      <c r="P68" s="241" t="s">
        <v>796</v>
      </c>
      <c r="Q68" s="241" t="s">
        <v>796</v>
      </c>
      <c r="R68" s="241" t="s">
        <v>796</v>
      </c>
      <c r="S68" s="241" t="s">
        <v>796</v>
      </c>
      <c r="T68" s="241" t="s">
        <v>796</v>
      </c>
      <c r="U68" s="241">
        <v>987020</v>
      </c>
      <c r="V68" s="241">
        <v>4432</v>
      </c>
      <c r="W68" s="242" t="s">
        <v>842</v>
      </c>
    </row>
    <row r="69" spans="1:23" s="241" customFormat="1" ht="9.75" customHeight="1" x14ac:dyDescent="0.15">
      <c r="A69" s="448" t="s">
        <v>573</v>
      </c>
      <c r="B69" s="241" t="s">
        <v>796</v>
      </c>
      <c r="C69" s="241">
        <v>6674</v>
      </c>
      <c r="D69" s="241" t="s">
        <v>796</v>
      </c>
      <c r="E69" s="241" t="s">
        <v>796</v>
      </c>
      <c r="F69" s="241" t="s">
        <v>796</v>
      </c>
      <c r="G69" s="241" t="s">
        <v>796</v>
      </c>
      <c r="H69" s="241" t="s">
        <v>796</v>
      </c>
      <c r="I69" s="241" t="s">
        <v>796</v>
      </c>
      <c r="J69" s="241" t="s">
        <v>796</v>
      </c>
      <c r="K69" s="241" t="s">
        <v>796</v>
      </c>
      <c r="L69" s="241" t="s">
        <v>796</v>
      </c>
      <c r="M69" s="241">
        <v>121927</v>
      </c>
      <c r="N69" s="241">
        <v>97943</v>
      </c>
      <c r="O69" s="241" t="s">
        <v>796</v>
      </c>
      <c r="P69" s="241">
        <v>23984</v>
      </c>
      <c r="Q69" s="241" t="s">
        <v>796</v>
      </c>
      <c r="R69" s="241" t="s">
        <v>796</v>
      </c>
      <c r="S69" s="241" t="s">
        <v>796</v>
      </c>
      <c r="T69" s="241" t="s">
        <v>796</v>
      </c>
      <c r="U69" s="241">
        <v>944599</v>
      </c>
      <c r="V69" s="241">
        <v>3039</v>
      </c>
      <c r="W69" s="242" t="s">
        <v>66</v>
      </c>
    </row>
    <row r="70" spans="1:23" s="241" customFormat="1" ht="9.75" customHeight="1" x14ac:dyDescent="0.15">
      <c r="A70" s="795" t="s">
        <v>574</v>
      </c>
      <c r="B70" s="796" t="s">
        <v>796</v>
      </c>
      <c r="C70" s="797" t="s">
        <v>796</v>
      </c>
      <c r="D70" s="797" t="s">
        <v>796</v>
      </c>
      <c r="E70" s="797" t="s">
        <v>796</v>
      </c>
      <c r="F70" s="797" t="s">
        <v>796</v>
      </c>
      <c r="G70" s="797" t="s">
        <v>796</v>
      </c>
      <c r="H70" s="797" t="s">
        <v>796</v>
      </c>
      <c r="I70" s="797" t="s">
        <v>796</v>
      </c>
      <c r="J70" s="797" t="s">
        <v>796</v>
      </c>
      <c r="K70" s="797" t="s">
        <v>796</v>
      </c>
      <c r="L70" s="797" t="s">
        <v>796</v>
      </c>
      <c r="M70" s="797">
        <v>97879</v>
      </c>
      <c r="N70" s="797">
        <v>48350</v>
      </c>
      <c r="O70" s="797" t="s">
        <v>796</v>
      </c>
      <c r="P70" s="797">
        <v>49529</v>
      </c>
      <c r="Q70" s="797" t="s">
        <v>796</v>
      </c>
      <c r="R70" s="797" t="s">
        <v>796</v>
      </c>
      <c r="S70" s="797" t="s">
        <v>796</v>
      </c>
      <c r="T70" s="797" t="s">
        <v>796</v>
      </c>
      <c r="U70" s="797">
        <v>1044756</v>
      </c>
      <c r="V70" s="797">
        <v>3148</v>
      </c>
      <c r="W70" s="798" t="s">
        <v>67</v>
      </c>
    </row>
    <row r="71" spans="1:23" ht="12" customHeight="1" x14ac:dyDescent="0.15"/>
    <row r="72" spans="1:23" ht="12" customHeight="1" x14ac:dyDescent="0.15"/>
    <row r="73" spans="1:23" ht="12" customHeight="1" x14ac:dyDescent="0.15">
      <c r="K73" s="246" t="s">
        <v>86</v>
      </c>
      <c r="V73" s="249" t="s">
        <v>924</v>
      </c>
    </row>
    <row r="74" spans="1:23" s="244" customFormat="1" ht="21" customHeight="1" x14ac:dyDescent="0.15">
      <c r="A74" s="1026" t="s">
        <v>153</v>
      </c>
      <c r="B74" s="802" t="s">
        <v>939</v>
      </c>
      <c r="C74" s="789" t="s">
        <v>286</v>
      </c>
      <c r="D74" s="790"/>
      <c r="E74" s="790"/>
      <c r="F74" s="790"/>
      <c r="G74" s="790"/>
      <c r="H74" s="790"/>
      <c r="I74" s="790"/>
      <c r="J74" s="790"/>
      <c r="K74" s="790"/>
      <c r="L74" s="790"/>
      <c r="M74" s="790"/>
      <c r="N74" s="790"/>
      <c r="O74" s="790"/>
      <c r="P74" s="790"/>
      <c r="Q74" s="790"/>
      <c r="R74" s="790"/>
      <c r="S74" s="790"/>
      <c r="T74" s="790"/>
      <c r="U74" s="790"/>
      <c r="V74" s="790"/>
      <c r="W74" s="1029" t="s">
        <v>72</v>
      </c>
    </row>
    <row r="75" spans="1:23" s="244" customFormat="1" ht="21" customHeight="1" x14ac:dyDescent="0.15">
      <c r="A75" s="1027"/>
      <c r="B75" s="802" t="s">
        <v>940</v>
      </c>
      <c r="C75" s="1032" t="s">
        <v>284</v>
      </c>
      <c r="D75" s="789" t="s">
        <v>244</v>
      </c>
      <c r="E75" s="790"/>
      <c r="F75" s="790"/>
      <c r="G75" s="790"/>
      <c r="H75" s="790"/>
      <c r="I75" s="790"/>
      <c r="J75" s="790"/>
      <c r="K75" s="790"/>
      <c r="L75" s="790"/>
      <c r="M75" s="790"/>
      <c r="N75" s="790"/>
      <c r="O75" s="790"/>
      <c r="P75" s="790"/>
      <c r="Q75" s="788"/>
      <c r="R75" s="789" t="s">
        <v>237</v>
      </c>
      <c r="S75" s="790"/>
      <c r="T75" s="788"/>
      <c r="U75" s="789" t="s">
        <v>236</v>
      </c>
      <c r="V75" s="790"/>
      <c r="W75" s="1030"/>
    </row>
    <row r="76" spans="1:23" s="244" customFormat="1" ht="52.5" customHeight="1" x14ac:dyDescent="0.15">
      <c r="A76" s="1028"/>
      <c r="B76" s="245" t="s">
        <v>291</v>
      </c>
      <c r="C76" s="1033"/>
      <c r="D76" s="530" t="s">
        <v>920</v>
      </c>
      <c r="E76" s="245" t="s">
        <v>235</v>
      </c>
      <c r="F76" s="245" t="s">
        <v>921</v>
      </c>
      <c r="G76" s="245" t="s">
        <v>250</v>
      </c>
      <c r="H76" s="245" t="s">
        <v>301</v>
      </c>
      <c r="I76" s="245" t="s">
        <v>255</v>
      </c>
      <c r="J76" s="245" t="s">
        <v>234</v>
      </c>
      <c r="K76" s="245" t="s">
        <v>233</v>
      </c>
      <c r="L76" s="245" t="s">
        <v>232</v>
      </c>
      <c r="M76" s="245" t="s">
        <v>282</v>
      </c>
      <c r="N76" s="245" t="s">
        <v>231</v>
      </c>
      <c r="O76" s="245" t="s">
        <v>260</v>
      </c>
      <c r="P76" s="245" t="s">
        <v>279</v>
      </c>
      <c r="Q76" s="245" t="s">
        <v>534</v>
      </c>
      <c r="R76" s="530" t="s">
        <v>96</v>
      </c>
      <c r="S76" s="245" t="s">
        <v>223</v>
      </c>
      <c r="T76" s="245" t="s">
        <v>276</v>
      </c>
      <c r="U76" s="530" t="s">
        <v>923</v>
      </c>
      <c r="V76" s="247" t="s">
        <v>222</v>
      </c>
      <c r="W76" s="1031"/>
    </row>
    <row r="77" spans="1:23" s="241" customFormat="1" ht="9.75" customHeight="1" x14ac:dyDescent="0.15">
      <c r="A77" s="645" t="s">
        <v>831</v>
      </c>
      <c r="B77" s="792">
        <v>8672027</v>
      </c>
      <c r="C77" s="793">
        <v>2322527</v>
      </c>
      <c r="D77" s="793">
        <v>1803767</v>
      </c>
      <c r="E77" s="793">
        <v>871366</v>
      </c>
      <c r="F77" s="793">
        <v>91869</v>
      </c>
      <c r="G77" s="793">
        <v>220192</v>
      </c>
      <c r="H77" s="793" t="s">
        <v>796</v>
      </c>
      <c r="I77" s="793">
        <v>45300</v>
      </c>
      <c r="J77" s="793">
        <v>470409</v>
      </c>
      <c r="K77" s="793">
        <v>58810</v>
      </c>
      <c r="L77" s="793">
        <v>45821</v>
      </c>
      <c r="M77" s="793" t="s">
        <v>796</v>
      </c>
      <c r="N77" s="793" t="s">
        <v>796</v>
      </c>
      <c r="O77" s="793" t="s">
        <v>796</v>
      </c>
      <c r="P77" s="793" t="s">
        <v>796</v>
      </c>
      <c r="Q77" s="793" t="s">
        <v>796</v>
      </c>
      <c r="R77" s="793">
        <v>76060</v>
      </c>
      <c r="S77" s="793">
        <v>76060</v>
      </c>
      <c r="T77" s="793" t="s">
        <v>796</v>
      </c>
      <c r="U77" s="793" t="s">
        <v>796</v>
      </c>
      <c r="V77" s="793" t="s">
        <v>796</v>
      </c>
      <c r="W77" s="794" t="s">
        <v>517</v>
      </c>
    </row>
    <row r="78" spans="1:23" s="241" customFormat="1" ht="9.75" customHeight="1" x14ac:dyDescent="0.15">
      <c r="A78" s="448" t="s">
        <v>557</v>
      </c>
      <c r="B78" s="241">
        <v>9273472</v>
      </c>
      <c r="C78" s="241">
        <v>3344951</v>
      </c>
      <c r="D78" s="241">
        <v>2782497</v>
      </c>
      <c r="E78" s="241">
        <v>1528548</v>
      </c>
      <c r="F78" s="241">
        <v>33364</v>
      </c>
      <c r="G78" s="241" t="s">
        <v>796</v>
      </c>
      <c r="H78" s="241" t="s">
        <v>796</v>
      </c>
      <c r="I78" s="241" t="s">
        <v>796</v>
      </c>
      <c r="J78" s="241">
        <v>819445</v>
      </c>
      <c r="K78" s="241">
        <v>401140</v>
      </c>
      <c r="L78" s="241" t="s">
        <v>796</v>
      </c>
      <c r="M78" s="241" t="s">
        <v>796</v>
      </c>
      <c r="N78" s="241" t="s">
        <v>796</v>
      </c>
      <c r="O78" s="241" t="s">
        <v>796</v>
      </c>
      <c r="P78" s="241" t="s">
        <v>796</v>
      </c>
      <c r="Q78" s="241" t="s">
        <v>796</v>
      </c>
      <c r="R78" s="241">
        <v>184359</v>
      </c>
      <c r="S78" s="241">
        <v>184359</v>
      </c>
      <c r="T78" s="241" t="s">
        <v>796</v>
      </c>
      <c r="U78" s="241" t="s">
        <v>796</v>
      </c>
      <c r="V78" s="241" t="s">
        <v>796</v>
      </c>
      <c r="W78" s="242" t="s">
        <v>558</v>
      </c>
    </row>
    <row r="79" spans="1:23" s="241" customFormat="1" ht="9.75" customHeight="1" x14ac:dyDescent="0.15">
      <c r="A79" s="448" t="s">
        <v>682</v>
      </c>
      <c r="B79" s="241">
        <v>9835231</v>
      </c>
      <c r="C79" s="241">
        <v>4400750</v>
      </c>
      <c r="D79" s="241">
        <v>3767249</v>
      </c>
      <c r="E79" s="241">
        <v>2031958</v>
      </c>
      <c r="F79" s="241" t="s">
        <v>796</v>
      </c>
      <c r="G79" s="241">
        <v>59726</v>
      </c>
      <c r="H79" s="241">
        <v>122280</v>
      </c>
      <c r="I79" s="241" t="s">
        <v>796</v>
      </c>
      <c r="J79" s="241">
        <v>694676</v>
      </c>
      <c r="K79" s="241">
        <v>615608</v>
      </c>
      <c r="L79" s="241" t="s">
        <v>796</v>
      </c>
      <c r="M79" s="241">
        <v>122211</v>
      </c>
      <c r="N79" s="241" t="s">
        <v>796</v>
      </c>
      <c r="O79" s="241">
        <v>23850</v>
      </c>
      <c r="P79" s="241">
        <v>47640</v>
      </c>
      <c r="Q79" s="241">
        <v>49300</v>
      </c>
      <c r="R79" s="241">
        <v>336009</v>
      </c>
      <c r="S79" s="241">
        <v>336009</v>
      </c>
      <c r="T79" s="241" t="s">
        <v>796</v>
      </c>
      <c r="U79" s="241" t="s">
        <v>796</v>
      </c>
      <c r="V79" s="241" t="s">
        <v>796</v>
      </c>
      <c r="W79" s="242" t="s">
        <v>683</v>
      </c>
    </row>
    <row r="80" spans="1:23" s="241" customFormat="1" ht="9.75" customHeight="1" x14ac:dyDescent="0.15">
      <c r="A80" s="448" t="s">
        <v>784</v>
      </c>
      <c r="B80" s="574">
        <v>11858366</v>
      </c>
      <c r="C80" s="241">
        <v>4161292</v>
      </c>
      <c r="D80" s="241">
        <v>3670648</v>
      </c>
      <c r="E80" s="241">
        <v>1972693</v>
      </c>
      <c r="F80" s="241" t="s">
        <v>796</v>
      </c>
      <c r="G80" s="241">
        <v>122830</v>
      </c>
      <c r="H80" s="241">
        <v>40000</v>
      </c>
      <c r="I80" s="241" t="s">
        <v>796</v>
      </c>
      <c r="J80" s="241">
        <v>1090715</v>
      </c>
      <c r="K80" s="241">
        <v>213642</v>
      </c>
      <c r="L80" s="241" t="s">
        <v>796</v>
      </c>
      <c r="M80" s="241">
        <v>57134</v>
      </c>
      <c r="N80" s="241" t="s">
        <v>796</v>
      </c>
      <c r="O80" s="241" t="s">
        <v>796</v>
      </c>
      <c r="P80" s="241">
        <v>173634</v>
      </c>
      <c r="Q80" s="241" t="s">
        <v>796</v>
      </c>
      <c r="R80" s="241">
        <v>255752</v>
      </c>
      <c r="S80" s="241">
        <v>217252</v>
      </c>
      <c r="T80" s="241">
        <v>38500</v>
      </c>
      <c r="U80" s="241" t="s">
        <v>796</v>
      </c>
      <c r="V80" s="241" t="s">
        <v>796</v>
      </c>
      <c r="W80" s="242" t="s">
        <v>785</v>
      </c>
    </row>
    <row r="81" spans="1:23" s="241" customFormat="1" ht="9.75" customHeight="1" x14ac:dyDescent="0.15">
      <c r="A81" s="448" t="s">
        <v>832</v>
      </c>
      <c r="B81" s="241">
        <v>12278683</v>
      </c>
      <c r="C81" s="241">
        <v>3564883</v>
      </c>
      <c r="D81" s="241">
        <v>3279777</v>
      </c>
      <c r="E81" s="241">
        <v>1846851</v>
      </c>
      <c r="F81" s="241" t="s">
        <v>796</v>
      </c>
      <c r="G81" s="241">
        <v>117595</v>
      </c>
      <c r="H81" s="241" t="s">
        <v>796</v>
      </c>
      <c r="I81" s="241" t="s">
        <v>796</v>
      </c>
      <c r="J81" s="241">
        <v>868069</v>
      </c>
      <c r="K81" s="241">
        <v>347262</v>
      </c>
      <c r="L81" s="241" t="s">
        <v>796</v>
      </c>
      <c r="M81" s="241" t="s">
        <v>796</v>
      </c>
      <c r="N81" s="241">
        <v>100000</v>
      </c>
      <c r="O81" s="241" t="s">
        <v>796</v>
      </c>
      <c r="P81" s="241" t="s">
        <v>796</v>
      </c>
      <c r="Q81" s="241" t="s">
        <v>796</v>
      </c>
      <c r="R81" s="241">
        <v>107102</v>
      </c>
      <c r="S81" s="241">
        <v>107102</v>
      </c>
      <c r="T81" s="241" t="s">
        <v>796</v>
      </c>
      <c r="U81" s="241">
        <v>49872</v>
      </c>
      <c r="V81" s="241">
        <v>49872</v>
      </c>
      <c r="W81" s="242" t="s">
        <v>833</v>
      </c>
    </row>
    <row r="82" spans="1:23" s="241" customFormat="1" ht="6.75" customHeight="1" x14ac:dyDescent="0.15">
      <c r="A82" s="464"/>
      <c r="W82" s="242"/>
    </row>
    <row r="83" spans="1:23" s="241" customFormat="1" ht="9.75" customHeight="1" x14ac:dyDescent="0.15">
      <c r="A83" s="448" t="s">
        <v>834</v>
      </c>
      <c r="B83" s="241">
        <v>12070597</v>
      </c>
      <c r="C83" s="241">
        <v>3863550</v>
      </c>
      <c r="D83" s="241">
        <v>3500742</v>
      </c>
      <c r="E83" s="241">
        <v>1943144</v>
      </c>
      <c r="F83" s="241" t="s">
        <v>796</v>
      </c>
      <c r="G83" s="241">
        <v>140303</v>
      </c>
      <c r="H83" s="241" t="s">
        <v>796</v>
      </c>
      <c r="I83" s="241" t="s">
        <v>796</v>
      </c>
      <c r="J83" s="241">
        <v>872374</v>
      </c>
      <c r="K83" s="241">
        <v>413706</v>
      </c>
      <c r="L83" s="241" t="s">
        <v>796</v>
      </c>
      <c r="M83" s="241">
        <v>31215</v>
      </c>
      <c r="N83" s="241">
        <v>100000</v>
      </c>
      <c r="O83" s="241" t="s">
        <v>796</v>
      </c>
      <c r="P83" s="241" t="s">
        <v>796</v>
      </c>
      <c r="Q83" s="241" t="s">
        <v>796</v>
      </c>
      <c r="R83" s="241">
        <v>221718</v>
      </c>
      <c r="S83" s="241">
        <v>221718</v>
      </c>
      <c r="T83" s="241" t="s">
        <v>796</v>
      </c>
      <c r="U83" s="241">
        <v>49872</v>
      </c>
      <c r="V83" s="241">
        <v>49872</v>
      </c>
      <c r="W83" s="242" t="s">
        <v>786</v>
      </c>
    </row>
    <row r="84" spans="1:23" s="241" customFormat="1" ht="9.75" customHeight="1" x14ac:dyDescent="0.15">
      <c r="A84" s="448" t="s">
        <v>835</v>
      </c>
      <c r="B84" s="241">
        <v>12264556</v>
      </c>
      <c r="C84" s="241">
        <v>3278190</v>
      </c>
      <c r="D84" s="241">
        <v>3068564</v>
      </c>
      <c r="E84" s="241">
        <v>1996822</v>
      </c>
      <c r="F84" s="241">
        <v>49900</v>
      </c>
      <c r="G84" s="241">
        <v>82449</v>
      </c>
      <c r="H84" s="241" t="s">
        <v>796</v>
      </c>
      <c r="I84" s="241" t="s">
        <v>796</v>
      </c>
      <c r="J84" s="241">
        <v>814720</v>
      </c>
      <c r="K84" s="241">
        <v>124673</v>
      </c>
      <c r="L84" s="241" t="s">
        <v>796</v>
      </c>
      <c r="M84" s="241" t="s">
        <v>796</v>
      </c>
      <c r="N84" s="241" t="s">
        <v>796</v>
      </c>
      <c r="O84" s="241" t="s">
        <v>796</v>
      </c>
      <c r="P84" s="241" t="s">
        <v>796</v>
      </c>
      <c r="Q84" s="241" t="s">
        <v>796</v>
      </c>
      <c r="R84" s="241">
        <v>31776</v>
      </c>
      <c r="S84" s="241">
        <v>31776</v>
      </c>
      <c r="T84" s="241" t="s">
        <v>796</v>
      </c>
      <c r="U84" s="241" t="s">
        <v>796</v>
      </c>
      <c r="V84" s="241" t="s">
        <v>796</v>
      </c>
      <c r="W84" s="242" t="s">
        <v>836</v>
      </c>
    </row>
    <row r="85" spans="1:23" s="241" customFormat="1" ht="6.75" customHeight="1" x14ac:dyDescent="0.15">
      <c r="A85" s="464"/>
      <c r="W85" s="242"/>
    </row>
    <row r="86" spans="1:23" s="241" customFormat="1" ht="9.75" customHeight="1" x14ac:dyDescent="0.15">
      <c r="A86" s="448" t="s">
        <v>837</v>
      </c>
      <c r="B86" s="241">
        <v>2979883</v>
      </c>
      <c r="C86" s="241">
        <v>1454642</v>
      </c>
      <c r="D86" s="241">
        <v>1326588</v>
      </c>
      <c r="E86" s="241">
        <v>694244</v>
      </c>
      <c r="F86" s="241" t="s">
        <v>796</v>
      </c>
      <c r="G86" s="241">
        <v>35146</v>
      </c>
      <c r="H86" s="241" t="s">
        <v>796</v>
      </c>
      <c r="I86" s="241" t="s">
        <v>796</v>
      </c>
      <c r="J86" s="241">
        <v>199821</v>
      </c>
      <c r="K86" s="241">
        <v>297377</v>
      </c>
      <c r="L86" s="241" t="s">
        <v>796</v>
      </c>
      <c r="M86" s="241" t="s">
        <v>796</v>
      </c>
      <c r="N86" s="241">
        <v>100000</v>
      </c>
      <c r="O86" s="241" t="s">
        <v>796</v>
      </c>
      <c r="P86" s="241" t="s">
        <v>796</v>
      </c>
      <c r="Q86" s="241" t="s">
        <v>796</v>
      </c>
      <c r="R86" s="241">
        <v>75326</v>
      </c>
      <c r="S86" s="241">
        <v>75326</v>
      </c>
      <c r="T86" s="241" t="s">
        <v>796</v>
      </c>
      <c r="U86" s="241">
        <v>49872</v>
      </c>
      <c r="V86" s="241">
        <v>49872</v>
      </c>
      <c r="W86" s="242" t="s">
        <v>787</v>
      </c>
    </row>
    <row r="87" spans="1:23" s="241" customFormat="1" ht="9.75" customHeight="1" x14ac:dyDescent="0.15">
      <c r="A87" s="448" t="s">
        <v>559</v>
      </c>
      <c r="B87" s="241">
        <v>3038414</v>
      </c>
      <c r="C87" s="241">
        <v>804099</v>
      </c>
      <c r="D87" s="241">
        <v>719499</v>
      </c>
      <c r="E87" s="241">
        <v>422329</v>
      </c>
      <c r="F87" s="241" t="s">
        <v>796</v>
      </c>
      <c r="G87" s="241" t="s">
        <v>796</v>
      </c>
      <c r="H87" s="241" t="s">
        <v>796</v>
      </c>
      <c r="I87" s="241" t="s">
        <v>796</v>
      </c>
      <c r="J87" s="241">
        <v>247285</v>
      </c>
      <c r="K87" s="241">
        <v>49885</v>
      </c>
      <c r="L87" s="241" t="s">
        <v>796</v>
      </c>
      <c r="M87" s="241" t="s">
        <v>796</v>
      </c>
      <c r="N87" s="241" t="s">
        <v>796</v>
      </c>
      <c r="O87" s="241" t="s">
        <v>796</v>
      </c>
      <c r="P87" s="241" t="s">
        <v>796</v>
      </c>
      <c r="Q87" s="241" t="s">
        <v>796</v>
      </c>
      <c r="R87" s="241">
        <v>31776</v>
      </c>
      <c r="S87" s="241">
        <v>31776</v>
      </c>
      <c r="T87" s="241" t="s">
        <v>796</v>
      </c>
      <c r="U87" s="241" t="s">
        <v>796</v>
      </c>
      <c r="V87" s="241" t="s">
        <v>796</v>
      </c>
      <c r="W87" s="242" t="s">
        <v>78</v>
      </c>
    </row>
    <row r="88" spans="1:23" s="241" customFormat="1" ht="9.75" customHeight="1" x14ac:dyDescent="0.15">
      <c r="A88" s="448" t="s">
        <v>560</v>
      </c>
      <c r="B88" s="241">
        <v>3009005</v>
      </c>
      <c r="C88" s="241">
        <v>411260</v>
      </c>
      <c r="D88" s="241">
        <v>407736</v>
      </c>
      <c r="E88" s="241">
        <v>224878</v>
      </c>
      <c r="F88" s="241" t="s">
        <v>796</v>
      </c>
      <c r="G88" s="241">
        <v>33365</v>
      </c>
      <c r="H88" s="241" t="s">
        <v>796</v>
      </c>
      <c r="I88" s="241" t="s">
        <v>796</v>
      </c>
      <c r="J88" s="241">
        <v>149493</v>
      </c>
      <c r="K88" s="241" t="s">
        <v>796</v>
      </c>
      <c r="L88" s="241" t="s">
        <v>796</v>
      </c>
      <c r="M88" s="241" t="s">
        <v>796</v>
      </c>
      <c r="N88" s="241" t="s">
        <v>796</v>
      </c>
      <c r="O88" s="241" t="s">
        <v>796</v>
      </c>
      <c r="P88" s="241" t="s">
        <v>796</v>
      </c>
      <c r="Q88" s="241" t="s">
        <v>796</v>
      </c>
      <c r="R88" s="241" t="s">
        <v>796</v>
      </c>
      <c r="S88" s="241" t="s">
        <v>796</v>
      </c>
      <c r="T88" s="241" t="s">
        <v>796</v>
      </c>
      <c r="U88" s="241" t="s">
        <v>796</v>
      </c>
      <c r="V88" s="241" t="s">
        <v>796</v>
      </c>
      <c r="W88" s="242" t="s">
        <v>79</v>
      </c>
    </row>
    <row r="89" spans="1:23" s="241" customFormat="1" ht="9.75" customHeight="1" x14ac:dyDescent="0.15">
      <c r="A89" s="448" t="s">
        <v>561</v>
      </c>
      <c r="B89" s="241">
        <v>3251381</v>
      </c>
      <c r="C89" s="241">
        <v>894882</v>
      </c>
      <c r="D89" s="241">
        <v>825954</v>
      </c>
      <c r="E89" s="241">
        <v>505400</v>
      </c>
      <c r="F89" s="241" t="s">
        <v>796</v>
      </c>
      <c r="G89" s="241">
        <v>49084</v>
      </c>
      <c r="H89" s="241" t="s">
        <v>796</v>
      </c>
      <c r="I89" s="241" t="s">
        <v>796</v>
      </c>
      <c r="J89" s="241">
        <v>271470</v>
      </c>
      <c r="K89" s="241" t="s">
        <v>796</v>
      </c>
      <c r="L89" s="241" t="s">
        <v>796</v>
      </c>
      <c r="M89" s="241" t="s">
        <v>796</v>
      </c>
      <c r="N89" s="241" t="s">
        <v>796</v>
      </c>
      <c r="O89" s="241" t="s">
        <v>796</v>
      </c>
      <c r="P89" s="241" t="s">
        <v>796</v>
      </c>
      <c r="Q89" s="241" t="s">
        <v>796</v>
      </c>
      <c r="R89" s="241" t="s">
        <v>796</v>
      </c>
      <c r="S89" s="241" t="s">
        <v>796</v>
      </c>
      <c r="T89" s="241" t="s">
        <v>796</v>
      </c>
      <c r="U89" s="241" t="s">
        <v>796</v>
      </c>
      <c r="V89" s="241" t="s">
        <v>796</v>
      </c>
      <c r="W89" s="242" t="s">
        <v>80</v>
      </c>
    </row>
    <row r="90" spans="1:23" s="241" customFormat="1" ht="9.75" customHeight="1" x14ac:dyDescent="0.15">
      <c r="A90" s="448" t="s">
        <v>838</v>
      </c>
      <c r="B90" s="241">
        <v>2965756</v>
      </c>
      <c r="C90" s="241">
        <v>1167949</v>
      </c>
      <c r="D90" s="241">
        <v>1115375</v>
      </c>
      <c r="E90" s="241">
        <v>844215</v>
      </c>
      <c r="F90" s="241">
        <v>49900</v>
      </c>
      <c r="G90" s="241" t="s">
        <v>796</v>
      </c>
      <c r="H90" s="241" t="s">
        <v>796</v>
      </c>
      <c r="I90" s="241" t="s">
        <v>796</v>
      </c>
      <c r="J90" s="241">
        <v>146472</v>
      </c>
      <c r="K90" s="241">
        <v>74788</v>
      </c>
      <c r="L90" s="241" t="s">
        <v>796</v>
      </c>
      <c r="M90" s="241" t="s">
        <v>796</v>
      </c>
      <c r="N90" s="241" t="s">
        <v>796</v>
      </c>
      <c r="O90" s="241" t="s">
        <v>796</v>
      </c>
      <c r="P90" s="241" t="s">
        <v>796</v>
      </c>
      <c r="Q90" s="241" t="s">
        <v>796</v>
      </c>
      <c r="R90" s="241" t="s">
        <v>796</v>
      </c>
      <c r="S90" s="241" t="s">
        <v>796</v>
      </c>
      <c r="T90" s="241" t="s">
        <v>796</v>
      </c>
      <c r="U90" s="241" t="s">
        <v>796</v>
      </c>
      <c r="V90" s="241" t="s">
        <v>796</v>
      </c>
      <c r="W90" s="242" t="s">
        <v>839</v>
      </c>
    </row>
    <row r="91" spans="1:23" s="241" customFormat="1" ht="6.75" customHeight="1" x14ac:dyDescent="0.15">
      <c r="A91" s="464"/>
      <c r="W91" s="242"/>
    </row>
    <row r="92" spans="1:23" s="241" customFormat="1" ht="9.75" customHeight="1" x14ac:dyDescent="0.15">
      <c r="A92" s="448" t="s">
        <v>840</v>
      </c>
      <c r="B92" s="241">
        <v>998377</v>
      </c>
      <c r="C92" s="241">
        <v>388567</v>
      </c>
      <c r="D92" s="241">
        <v>363924</v>
      </c>
      <c r="E92" s="241">
        <v>193445</v>
      </c>
      <c r="F92" s="241" t="s">
        <v>796</v>
      </c>
      <c r="G92" s="241" t="s">
        <v>796</v>
      </c>
      <c r="H92" s="241" t="s">
        <v>796</v>
      </c>
      <c r="I92" s="241" t="s">
        <v>796</v>
      </c>
      <c r="J92" s="241">
        <v>100001</v>
      </c>
      <c r="K92" s="241">
        <v>70478</v>
      </c>
      <c r="L92" s="241" t="s">
        <v>796</v>
      </c>
      <c r="M92" s="241" t="s">
        <v>796</v>
      </c>
      <c r="N92" s="241" t="s">
        <v>796</v>
      </c>
      <c r="O92" s="241" t="s">
        <v>796</v>
      </c>
      <c r="P92" s="241" t="s">
        <v>796</v>
      </c>
      <c r="Q92" s="241" t="s">
        <v>796</v>
      </c>
      <c r="R92" s="241">
        <v>23685</v>
      </c>
      <c r="S92" s="241">
        <v>23685</v>
      </c>
      <c r="T92" s="241" t="s">
        <v>796</v>
      </c>
      <c r="U92" s="241" t="s">
        <v>796</v>
      </c>
      <c r="V92" s="241" t="s">
        <v>796</v>
      </c>
      <c r="W92" s="242" t="s">
        <v>788</v>
      </c>
    </row>
    <row r="93" spans="1:23" s="241" customFormat="1" ht="9.75" customHeight="1" x14ac:dyDescent="0.15">
      <c r="A93" s="448" t="s">
        <v>562</v>
      </c>
      <c r="B93" s="241">
        <v>954204</v>
      </c>
      <c r="C93" s="241">
        <v>487496</v>
      </c>
      <c r="D93" s="241">
        <v>463044</v>
      </c>
      <c r="E93" s="241">
        <v>266339</v>
      </c>
      <c r="F93" s="241" t="s">
        <v>796</v>
      </c>
      <c r="G93" s="241">
        <v>17625</v>
      </c>
      <c r="H93" s="241" t="s">
        <v>796</v>
      </c>
      <c r="I93" s="241" t="s">
        <v>796</v>
      </c>
      <c r="J93" s="241">
        <v>99820</v>
      </c>
      <c r="K93" s="241">
        <v>79260</v>
      </c>
      <c r="L93" s="241" t="s">
        <v>796</v>
      </c>
      <c r="M93" s="241" t="s">
        <v>796</v>
      </c>
      <c r="N93" s="241" t="s">
        <v>796</v>
      </c>
      <c r="O93" s="241" t="s">
        <v>796</v>
      </c>
      <c r="P93" s="241" t="s">
        <v>796</v>
      </c>
      <c r="Q93" s="241" t="s">
        <v>796</v>
      </c>
      <c r="R93" s="241">
        <v>23486</v>
      </c>
      <c r="S93" s="241">
        <v>23486</v>
      </c>
      <c r="T93" s="241" t="s">
        <v>796</v>
      </c>
      <c r="U93" s="241" t="s">
        <v>796</v>
      </c>
      <c r="V93" s="241" t="s">
        <v>796</v>
      </c>
      <c r="W93" s="242" t="s">
        <v>66</v>
      </c>
    </row>
    <row r="94" spans="1:23" s="241" customFormat="1" ht="9.75" customHeight="1" x14ac:dyDescent="0.15">
      <c r="A94" s="448" t="s">
        <v>563</v>
      </c>
      <c r="B94" s="241">
        <v>1027302</v>
      </c>
      <c r="C94" s="241">
        <v>578579</v>
      </c>
      <c r="D94" s="241">
        <v>499620</v>
      </c>
      <c r="E94" s="241">
        <v>234460</v>
      </c>
      <c r="F94" s="241" t="s">
        <v>796</v>
      </c>
      <c r="G94" s="241">
        <v>17521</v>
      </c>
      <c r="H94" s="241" t="s">
        <v>796</v>
      </c>
      <c r="I94" s="241" t="s">
        <v>796</v>
      </c>
      <c r="J94" s="241" t="s">
        <v>796</v>
      </c>
      <c r="K94" s="241">
        <v>147639</v>
      </c>
      <c r="L94" s="241" t="s">
        <v>796</v>
      </c>
      <c r="M94" s="241" t="s">
        <v>796</v>
      </c>
      <c r="N94" s="241">
        <v>100000</v>
      </c>
      <c r="O94" s="241" t="s">
        <v>796</v>
      </c>
      <c r="P94" s="241" t="s">
        <v>796</v>
      </c>
      <c r="Q94" s="241" t="s">
        <v>796</v>
      </c>
      <c r="R94" s="241">
        <v>28155</v>
      </c>
      <c r="S94" s="241">
        <v>28155</v>
      </c>
      <c r="T94" s="241" t="s">
        <v>796</v>
      </c>
      <c r="U94" s="241">
        <v>49872</v>
      </c>
      <c r="V94" s="241">
        <v>49872</v>
      </c>
      <c r="W94" s="242" t="s">
        <v>67</v>
      </c>
    </row>
    <row r="95" spans="1:23" s="241" customFormat="1" ht="9.75" customHeight="1" x14ac:dyDescent="0.15">
      <c r="A95" s="448" t="s">
        <v>564</v>
      </c>
      <c r="B95" s="241">
        <v>1033679</v>
      </c>
      <c r="C95" s="241">
        <v>297836</v>
      </c>
      <c r="D95" s="241">
        <v>296910</v>
      </c>
      <c r="E95" s="241">
        <v>99060</v>
      </c>
      <c r="F95" s="241" t="s">
        <v>796</v>
      </c>
      <c r="G95" s="241" t="s">
        <v>796</v>
      </c>
      <c r="H95" s="241" t="s">
        <v>796</v>
      </c>
      <c r="I95" s="241" t="s">
        <v>796</v>
      </c>
      <c r="J95" s="241">
        <v>197850</v>
      </c>
      <c r="K95" s="241" t="s">
        <v>796</v>
      </c>
      <c r="L95" s="241" t="s">
        <v>796</v>
      </c>
      <c r="M95" s="241" t="s">
        <v>796</v>
      </c>
      <c r="N95" s="241" t="s">
        <v>796</v>
      </c>
      <c r="O95" s="241" t="s">
        <v>796</v>
      </c>
      <c r="P95" s="241" t="s">
        <v>796</v>
      </c>
      <c r="Q95" s="241" t="s">
        <v>796</v>
      </c>
      <c r="R95" s="241" t="s">
        <v>796</v>
      </c>
      <c r="S95" s="241" t="s">
        <v>796</v>
      </c>
      <c r="T95" s="241" t="s">
        <v>796</v>
      </c>
      <c r="U95" s="241" t="s">
        <v>796</v>
      </c>
      <c r="V95" s="241" t="s">
        <v>796</v>
      </c>
      <c r="W95" s="242" t="s">
        <v>68</v>
      </c>
    </row>
    <row r="96" spans="1:23" s="241" customFormat="1" ht="9.75" customHeight="1" x14ac:dyDescent="0.15">
      <c r="A96" s="448" t="s">
        <v>565</v>
      </c>
      <c r="B96" s="241">
        <v>1029699</v>
      </c>
      <c r="C96" s="241">
        <v>284175</v>
      </c>
      <c r="D96" s="241">
        <v>251429</v>
      </c>
      <c r="E96" s="241">
        <v>201544</v>
      </c>
      <c r="F96" s="241" t="s">
        <v>796</v>
      </c>
      <c r="G96" s="241" t="s">
        <v>796</v>
      </c>
      <c r="H96" s="241" t="s">
        <v>796</v>
      </c>
      <c r="I96" s="241" t="s">
        <v>796</v>
      </c>
      <c r="J96" s="241" t="s">
        <v>796</v>
      </c>
      <c r="K96" s="241">
        <v>49885</v>
      </c>
      <c r="L96" s="241" t="s">
        <v>796</v>
      </c>
      <c r="M96" s="241" t="s">
        <v>796</v>
      </c>
      <c r="N96" s="241" t="s">
        <v>796</v>
      </c>
      <c r="O96" s="241" t="s">
        <v>796</v>
      </c>
      <c r="P96" s="241" t="s">
        <v>796</v>
      </c>
      <c r="Q96" s="241" t="s">
        <v>796</v>
      </c>
      <c r="R96" s="241">
        <v>31776</v>
      </c>
      <c r="S96" s="241">
        <v>31776</v>
      </c>
      <c r="T96" s="241" t="s">
        <v>796</v>
      </c>
      <c r="U96" s="241" t="s">
        <v>796</v>
      </c>
      <c r="V96" s="241" t="s">
        <v>796</v>
      </c>
      <c r="W96" s="242" t="s">
        <v>81</v>
      </c>
    </row>
    <row r="97" spans="1:23" s="241" customFormat="1" ht="9.75" customHeight="1" x14ac:dyDescent="0.15">
      <c r="A97" s="448" t="s">
        <v>566</v>
      </c>
      <c r="B97" s="241">
        <v>975036</v>
      </c>
      <c r="C97" s="241">
        <v>222088</v>
      </c>
      <c r="D97" s="241">
        <v>171160</v>
      </c>
      <c r="E97" s="241">
        <v>121725</v>
      </c>
      <c r="F97" s="241" t="s">
        <v>796</v>
      </c>
      <c r="G97" s="241" t="s">
        <v>796</v>
      </c>
      <c r="H97" s="241" t="s">
        <v>796</v>
      </c>
      <c r="I97" s="241" t="s">
        <v>796</v>
      </c>
      <c r="J97" s="241">
        <v>49435</v>
      </c>
      <c r="K97" s="241" t="s">
        <v>796</v>
      </c>
      <c r="L97" s="241" t="s">
        <v>796</v>
      </c>
      <c r="M97" s="241" t="s">
        <v>796</v>
      </c>
      <c r="N97" s="241" t="s">
        <v>796</v>
      </c>
      <c r="O97" s="241" t="s">
        <v>796</v>
      </c>
      <c r="P97" s="241" t="s">
        <v>796</v>
      </c>
      <c r="Q97" s="241" t="s">
        <v>796</v>
      </c>
      <c r="R97" s="241" t="s">
        <v>796</v>
      </c>
      <c r="S97" s="241" t="s">
        <v>796</v>
      </c>
      <c r="T97" s="241" t="s">
        <v>796</v>
      </c>
      <c r="U97" s="241" t="s">
        <v>796</v>
      </c>
      <c r="V97" s="241" t="s">
        <v>796</v>
      </c>
      <c r="W97" s="242" t="s">
        <v>82</v>
      </c>
    </row>
    <row r="98" spans="1:23" s="241" customFormat="1" ht="9.75" customHeight="1" x14ac:dyDescent="0.15">
      <c r="A98" s="448" t="s">
        <v>567</v>
      </c>
      <c r="B98" s="241">
        <v>1022173</v>
      </c>
      <c r="C98" s="241">
        <v>169172</v>
      </c>
      <c r="D98" s="241">
        <v>168140</v>
      </c>
      <c r="E98" s="241">
        <v>68407</v>
      </c>
      <c r="F98" s="241" t="s">
        <v>796</v>
      </c>
      <c r="G98" s="241" t="s">
        <v>796</v>
      </c>
      <c r="H98" s="241" t="s">
        <v>796</v>
      </c>
      <c r="I98" s="241" t="s">
        <v>796</v>
      </c>
      <c r="J98" s="241">
        <v>99733</v>
      </c>
      <c r="K98" s="241" t="s">
        <v>796</v>
      </c>
      <c r="L98" s="241" t="s">
        <v>796</v>
      </c>
      <c r="M98" s="241" t="s">
        <v>796</v>
      </c>
      <c r="N98" s="241" t="s">
        <v>796</v>
      </c>
      <c r="O98" s="241" t="s">
        <v>796</v>
      </c>
      <c r="P98" s="241" t="s">
        <v>796</v>
      </c>
      <c r="Q98" s="241" t="s">
        <v>796</v>
      </c>
      <c r="R98" s="241" t="s">
        <v>796</v>
      </c>
      <c r="S98" s="241" t="s">
        <v>796</v>
      </c>
      <c r="T98" s="241" t="s">
        <v>796</v>
      </c>
      <c r="U98" s="241" t="s">
        <v>796</v>
      </c>
      <c r="V98" s="241" t="s">
        <v>796</v>
      </c>
      <c r="W98" s="242" t="s">
        <v>83</v>
      </c>
    </row>
    <row r="99" spans="1:23" s="241" customFormat="1" ht="9.75" customHeight="1" x14ac:dyDescent="0.15">
      <c r="A99" s="448" t="s">
        <v>568</v>
      </c>
      <c r="B99" s="241">
        <v>946319</v>
      </c>
      <c r="C99" s="241">
        <v>90649</v>
      </c>
      <c r="D99" s="241">
        <v>89805</v>
      </c>
      <c r="E99" s="241">
        <v>56440</v>
      </c>
      <c r="F99" s="241" t="s">
        <v>796</v>
      </c>
      <c r="G99" s="241">
        <v>33365</v>
      </c>
      <c r="H99" s="241" t="s">
        <v>796</v>
      </c>
      <c r="I99" s="241" t="s">
        <v>796</v>
      </c>
      <c r="J99" s="241" t="s">
        <v>796</v>
      </c>
      <c r="K99" s="241" t="s">
        <v>796</v>
      </c>
      <c r="L99" s="241" t="s">
        <v>796</v>
      </c>
      <c r="M99" s="241" t="s">
        <v>796</v>
      </c>
      <c r="N99" s="241" t="s">
        <v>796</v>
      </c>
      <c r="O99" s="241" t="s">
        <v>796</v>
      </c>
      <c r="P99" s="241" t="s">
        <v>796</v>
      </c>
      <c r="Q99" s="241" t="s">
        <v>796</v>
      </c>
      <c r="R99" s="241" t="s">
        <v>796</v>
      </c>
      <c r="S99" s="241" t="s">
        <v>796</v>
      </c>
      <c r="T99" s="241" t="s">
        <v>796</v>
      </c>
      <c r="U99" s="241" t="s">
        <v>796</v>
      </c>
      <c r="V99" s="241" t="s">
        <v>796</v>
      </c>
      <c r="W99" s="242" t="s">
        <v>84</v>
      </c>
    </row>
    <row r="100" spans="1:23" s="241" customFormat="1" ht="9.75" customHeight="1" x14ac:dyDescent="0.15">
      <c r="A100" s="448" t="s">
        <v>569</v>
      </c>
      <c r="B100" s="241">
        <v>1040513</v>
      </c>
      <c r="C100" s="241">
        <v>151439</v>
      </c>
      <c r="D100" s="241">
        <v>149791</v>
      </c>
      <c r="E100" s="241">
        <v>100031</v>
      </c>
      <c r="F100" s="241" t="s">
        <v>796</v>
      </c>
      <c r="G100" s="241" t="s">
        <v>796</v>
      </c>
      <c r="H100" s="241" t="s">
        <v>796</v>
      </c>
      <c r="I100" s="241" t="s">
        <v>796</v>
      </c>
      <c r="J100" s="241">
        <v>49760</v>
      </c>
      <c r="K100" s="241" t="s">
        <v>796</v>
      </c>
      <c r="L100" s="241" t="s">
        <v>796</v>
      </c>
      <c r="M100" s="241" t="s">
        <v>796</v>
      </c>
      <c r="N100" s="241" t="s">
        <v>796</v>
      </c>
      <c r="O100" s="241" t="s">
        <v>796</v>
      </c>
      <c r="P100" s="241" t="s">
        <v>796</v>
      </c>
      <c r="Q100" s="241" t="s">
        <v>796</v>
      </c>
      <c r="R100" s="241" t="s">
        <v>796</v>
      </c>
      <c r="S100" s="241" t="s">
        <v>796</v>
      </c>
      <c r="T100" s="241" t="s">
        <v>796</v>
      </c>
      <c r="U100" s="241" t="s">
        <v>796</v>
      </c>
      <c r="V100" s="241" t="s">
        <v>796</v>
      </c>
      <c r="W100" s="242" t="s">
        <v>85</v>
      </c>
    </row>
    <row r="101" spans="1:23" s="241" customFormat="1" ht="9.75" customHeight="1" x14ac:dyDescent="0.15">
      <c r="A101" s="448" t="s">
        <v>570</v>
      </c>
      <c r="B101" s="241">
        <v>1035550</v>
      </c>
      <c r="C101" s="241">
        <v>236799</v>
      </c>
      <c r="D101" s="241">
        <v>221142</v>
      </c>
      <c r="E101" s="241">
        <v>156054</v>
      </c>
      <c r="F101" s="241" t="s">
        <v>796</v>
      </c>
      <c r="G101" s="241">
        <v>15088</v>
      </c>
      <c r="H101" s="241" t="s">
        <v>796</v>
      </c>
      <c r="I101" s="241" t="s">
        <v>796</v>
      </c>
      <c r="J101" s="241">
        <v>50000</v>
      </c>
      <c r="K101" s="241" t="s">
        <v>796</v>
      </c>
      <c r="L101" s="241" t="s">
        <v>796</v>
      </c>
      <c r="M101" s="241" t="s">
        <v>796</v>
      </c>
      <c r="N101" s="241" t="s">
        <v>796</v>
      </c>
      <c r="O101" s="241" t="s">
        <v>796</v>
      </c>
      <c r="P101" s="241" t="s">
        <v>796</v>
      </c>
      <c r="Q101" s="241" t="s">
        <v>796</v>
      </c>
      <c r="R101" s="241" t="s">
        <v>796</v>
      </c>
      <c r="S101" s="241" t="s">
        <v>796</v>
      </c>
      <c r="T101" s="241" t="s">
        <v>796</v>
      </c>
      <c r="U101" s="241" t="s">
        <v>796</v>
      </c>
      <c r="V101" s="241" t="s">
        <v>796</v>
      </c>
      <c r="W101" s="242" t="s">
        <v>69</v>
      </c>
    </row>
    <row r="102" spans="1:23" s="241" customFormat="1" ht="9.75" customHeight="1" x14ac:dyDescent="0.15">
      <c r="A102" s="448" t="s">
        <v>571</v>
      </c>
      <c r="B102" s="241">
        <v>1093465</v>
      </c>
      <c r="C102" s="241">
        <v>293279</v>
      </c>
      <c r="D102" s="241">
        <v>240878</v>
      </c>
      <c r="E102" s="241">
        <v>92718</v>
      </c>
      <c r="F102" s="241" t="s">
        <v>796</v>
      </c>
      <c r="G102" s="241" t="s">
        <v>796</v>
      </c>
      <c r="H102" s="241" t="s">
        <v>796</v>
      </c>
      <c r="I102" s="241" t="s">
        <v>796</v>
      </c>
      <c r="J102" s="241">
        <v>148160</v>
      </c>
      <c r="K102" s="241" t="s">
        <v>796</v>
      </c>
      <c r="L102" s="241" t="s">
        <v>796</v>
      </c>
      <c r="M102" s="241" t="s">
        <v>796</v>
      </c>
      <c r="N102" s="241" t="s">
        <v>796</v>
      </c>
      <c r="O102" s="241" t="s">
        <v>796</v>
      </c>
      <c r="P102" s="241" t="s">
        <v>796</v>
      </c>
      <c r="Q102" s="241" t="s">
        <v>796</v>
      </c>
      <c r="R102" s="241" t="s">
        <v>796</v>
      </c>
      <c r="S102" s="241" t="s">
        <v>796</v>
      </c>
      <c r="T102" s="241" t="s">
        <v>796</v>
      </c>
      <c r="U102" s="241" t="s">
        <v>796</v>
      </c>
      <c r="V102" s="241" t="s">
        <v>796</v>
      </c>
      <c r="W102" s="242" t="s">
        <v>70</v>
      </c>
    </row>
    <row r="103" spans="1:23" s="241" customFormat="1" ht="9.75" customHeight="1" x14ac:dyDescent="0.15">
      <c r="A103" s="448" t="s">
        <v>572</v>
      </c>
      <c r="B103" s="241">
        <v>1122366</v>
      </c>
      <c r="C103" s="241">
        <v>364804</v>
      </c>
      <c r="D103" s="241">
        <v>363934</v>
      </c>
      <c r="E103" s="241">
        <v>256628</v>
      </c>
      <c r="F103" s="241" t="s">
        <v>796</v>
      </c>
      <c r="G103" s="241">
        <v>33996</v>
      </c>
      <c r="H103" s="241" t="s">
        <v>796</v>
      </c>
      <c r="I103" s="241" t="s">
        <v>796</v>
      </c>
      <c r="J103" s="241">
        <v>73310</v>
      </c>
      <c r="K103" s="241" t="s">
        <v>796</v>
      </c>
      <c r="L103" s="241" t="s">
        <v>796</v>
      </c>
      <c r="M103" s="241" t="s">
        <v>796</v>
      </c>
      <c r="N103" s="241" t="s">
        <v>796</v>
      </c>
      <c r="O103" s="241" t="s">
        <v>796</v>
      </c>
      <c r="P103" s="241" t="s">
        <v>796</v>
      </c>
      <c r="Q103" s="241" t="s">
        <v>796</v>
      </c>
      <c r="R103" s="241" t="s">
        <v>796</v>
      </c>
      <c r="S103" s="241" t="s">
        <v>796</v>
      </c>
      <c r="T103" s="241" t="s">
        <v>796</v>
      </c>
      <c r="U103" s="241" t="s">
        <v>796</v>
      </c>
      <c r="V103" s="241" t="s">
        <v>796</v>
      </c>
      <c r="W103" s="242" t="s">
        <v>71</v>
      </c>
    </row>
    <row r="104" spans="1:23" s="241" customFormat="1" ht="9.75" customHeight="1" x14ac:dyDescent="0.15">
      <c r="A104" s="448" t="s">
        <v>841</v>
      </c>
      <c r="B104" s="241">
        <v>982588</v>
      </c>
      <c r="C104" s="241">
        <v>502126</v>
      </c>
      <c r="D104" s="241">
        <v>501280</v>
      </c>
      <c r="E104" s="241">
        <v>280060</v>
      </c>
      <c r="F104" s="241">
        <v>49900</v>
      </c>
      <c r="G104" s="241" t="s">
        <v>796</v>
      </c>
      <c r="H104" s="241" t="s">
        <v>796</v>
      </c>
      <c r="I104" s="241" t="s">
        <v>796</v>
      </c>
      <c r="J104" s="241">
        <v>96532</v>
      </c>
      <c r="K104" s="241">
        <v>74788</v>
      </c>
      <c r="L104" s="241" t="s">
        <v>796</v>
      </c>
      <c r="M104" s="241" t="s">
        <v>796</v>
      </c>
      <c r="N104" s="241" t="s">
        <v>796</v>
      </c>
      <c r="O104" s="241" t="s">
        <v>796</v>
      </c>
      <c r="P104" s="241" t="s">
        <v>796</v>
      </c>
      <c r="Q104" s="241" t="s">
        <v>796</v>
      </c>
      <c r="R104" s="241" t="s">
        <v>796</v>
      </c>
      <c r="S104" s="241" t="s">
        <v>796</v>
      </c>
      <c r="T104" s="241" t="s">
        <v>796</v>
      </c>
      <c r="U104" s="241" t="s">
        <v>796</v>
      </c>
      <c r="V104" s="241" t="s">
        <v>796</v>
      </c>
      <c r="W104" s="242" t="s">
        <v>842</v>
      </c>
    </row>
    <row r="105" spans="1:23" s="241" customFormat="1" ht="9.75" customHeight="1" x14ac:dyDescent="0.15">
      <c r="A105" s="448" t="s">
        <v>573</v>
      </c>
      <c r="B105" s="241">
        <v>941560</v>
      </c>
      <c r="C105" s="241">
        <v>408736</v>
      </c>
      <c r="D105" s="241">
        <v>358008</v>
      </c>
      <c r="E105" s="241">
        <v>358008</v>
      </c>
      <c r="F105" s="241" t="s">
        <v>796</v>
      </c>
      <c r="G105" s="241" t="s">
        <v>796</v>
      </c>
      <c r="H105" s="241" t="s">
        <v>796</v>
      </c>
      <c r="I105" s="241" t="s">
        <v>796</v>
      </c>
      <c r="J105" s="241" t="s">
        <v>796</v>
      </c>
      <c r="K105" s="241" t="s">
        <v>796</v>
      </c>
      <c r="L105" s="241" t="s">
        <v>796</v>
      </c>
      <c r="M105" s="241" t="s">
        <v>796</v>
      </c>
      <c r="N105" s="241" t="s">
        <v>796</v>
      </c>
      <c r="O105" s="241" t="s">
        <v>796</v>
      </c>
      <c r="P105" s="241" t="s">
        <v>796</v>
      </c>
      <c r="Q105" s="241" t="s">
        <v>796</v>
      </c>
      <c r="R105" s="241" t="s">
        <v>796</v>
      </c>
      <c r="S105" s="241" t="s">
        <v>796</v>
      </c>
      <c r="T105" s="241" t="s">
        <v>796</v>
      </c>
      <c r="U105" s="241" t="s">
        <v>796</v>
      </c>
      <c r="V105" s="241" t="s">
        <v>796</v>
      </c>
      <c r="W105" s="242" t="s">
        <v>66</v>
      </c>
    </row>
    <row r="106" spans="1:23" s="241" customFormat="1" ht="9.75" customHeight="1" x14ac:dyDescent="0.15">
      <c r="A106" s="795" t="s">
        <v>574</v>
      </c>
      <c r="B106" s="796">
        <v>1041608</v>
      </c>
      <c r="C106" s="797">
        <v>257087</v>
      </c>
      <c r="D106" s="797">
        <v>256087</v>
      </c>
      <c r="E106" s="797">
        <v>206147</v>
      </c>
      <c r="F106" s="797" t="s">
        <v>796</v>
      </c>
      <c r="G106" s="797" t="s">
        <v>796</v>
      </c>
      <c r="H106" s="797" t="s">
        <v>796</v>
      </c>
      <c r="I106" s="797" t="s">
        <v>796</v>
      </c>
      <c r="J106" s="797">
        <v>49940</v>
      </c>
      <c r="K106" s="797" t="s">
        <v>796</v>
      </c>
      <c r="L106" s="797" t="s">
        <v>796</v>
      </c>
      <c r="M106" s="797" t="s">
        <v>796</v>
      </c>
      <c r="N106" s="797" t="s">
        <v>796</v>
      </c>
      <c r="O106" s="797" t="s">
        <v>796</v>
      </c>
      <c r="P106" s="797" t="s">
        <v>796</v>
      </c>
      <c r="Q106" s="797" t="s">
        <v>796</v>
      </c>
      <c r="R106" s="797" t="s">
        <v>796</v>
      </c>
      <c r="S106" s="797" t="s">
        <v>796</v>
      </c>
      <c r="T106" s="797" t="s">
        <v>796</v>
      </c>
      <c r="U106" s="797" t="s">
        <v>796</v>
      </c>
      <c r="V106" s="797" t="s">
        <v>796</v>
      </c>
      <c r="W106" s="798" t="s">
        <v>67</v>
      </c>
    </row>
    <row r="107" spans="1:23" ht="12" customHeight="1" x14ac:dyDescent="0.15"/>
    <row r="108" spans="1:23" ht="12" customHeight="1" x14ac:dyDescent="0.15"/>
    <row r="109" spans="1:23" ht="12" customHeight="1" x14ac:dyDescent="0.15">
      <c r="K109" s="246" t="s">
        <v>86</v>
      </c>
    </row>
    <row r="110" spans="1:23" s="244" customFormat="1" ht="21" customHeight="1" x14ac:dyDescent="0.15">
      <c r="A110" s="1026" t="s">
        <v>153</v>
      </c>
      <c r="B110" s="799" t="s">
        <v>313</v>
      </c>
      <c r="C110" s="790"/>
      <c r="D110" s="790"/>
      <c r="E110" s="790"/>
      <c r="F110" s="790"/>
      <c r="G110" s="790"/>
      <c r="H110" s="790"/>
      <c r="I110" s="790"/>
      <c r="J110" s="788"/>
      <c r="K110" s="789" t="s">
        <v>941</v>
      </c>
      <c r="L110" s="790"/>
      <c r="M110" s="788"/>
      <c r="N110" s="789" t="s">
        <v>928</v>
      </c>
      <c r="O110" s="790"/>
      <c r="P110" s="790"/>
      <c r="Q110" s="790"/>
      <c r="R110" s="790"/>
      <c r="S110" s="790"/>
      <c r="T110" s="790"/>
      <c r="U110" s="790"/>
      <c r="V110" s="790"/>
      <c r="W110" s="1029" t="s">
        <v>72</v>
      </c>
    </row>
    <row r="111" spans="1:23" s="244" customFormat="1" ht="21" customHeight="1" x14ac:dyDescent="0.15">
      <c r="A111" s="1027"/>
      <c r="B111" s="789" t="s">
        <v>221</v>
      </c>
      <c r="C111" s="788"/>
      <c r="D111" s="789" t="s">
        <v>220</v>
      </c>
      <c r="E111" s="790"/>
      <c r="F111" s="790"/>
      <c r="G111" s="790"/>
      <c r="H111" s="788"/>
      <c r="I111" s="789" t="s">
        <v>716</v>
      </c>
      <c r="J111" s="788"/>
      <c r="K111" s="1032" t="s">
        <v>283</v>
      </c>
      <c r="L111" s="789" t="s">
        <v>244</v>
      </c>
      <c r="M111" s="788"/>
      <c r="N111" s="1032" t="s">
        <v>272</v>
      </c>
      <c r="O111" s="789" t="s">
        <v>244</v>
      </c>
      <c r="P111" s="790"/>
      <c r="Q111" s="790"/>
      <c r="R111" s="790"/>
      <c r="S111" s="790"/>
      <c r="T111" s="790"/>
      <c r="U111" s="788"/>
      <c r="V111" s="789" t="s">
        <v>238</v>
      </c>
      <c r="W111" s="1030"/>
    </row>
    <row r="112" spans="1:23" s="244" customFormat="1" ht="52.5" customHeight="1" x14ac:dyDescent="0.15">
      <c r="A112" s="1028"/>
      <c r="B112" s="530" t="s">
        <v>21</v>
      </c>
      <c r="C112" s="245" t="s">
        <v>937</v>
      </c>
      <c r="D112" s="530" t="s">
        <v>45</v>
      </c>
      <c r="E112" s="245" t="s">
        <v>215</v>
      </c>
      <c r="F112" s="245" t="s">
        <v>942</v>
      </c>
      <c r="G112" s="245" t="s">
        <v>310</v>
      </c>
      <c r="H112" s="245" t="s">
        <v>309</v>
      </c>
      <c r="I112" s="530" t="s">
        <v>292</v>
      </c>
      <c r="J112" s="245" t="s">
        <v>308</v>
      </c>
      <c r="K112" s="1033"/>
      <c r="L112" s="530" t="s">
        <v>920</v>
      </c>
      <c r="M112" s="245" t="s">
        <v>235</v>
      </c>
      <c r="N112" s="1033"/>
      <c r="O112" s="530" t="s">
        <v>920</v>
      </c>
      <c r="P112" s="245" t="s">
        <v>235</v>
      </c>
      <c r="Q112" s="245" t="s">
        <v>929</v>
      </c>
      <c r="R112" s="245" t="s">
        <v>256</v>
      </c>
      <c r="S112" s="245" t="s">
        <v>234</v>
      </c>
      <c r="T112" s="245" t="s">
        <v>233</v>
      </c>
      <c r="U112" s="248" t="s">
        <v>943</v>
      </c>
      <c r="V112" s="791" t="s">
        <v>94</v>
      </c>
      <c r="W112" s="1031"/>
    </row>
    <row r="113" spans="1:23" s="241" customFormat="1" ht="9.75" customHeight="1" x14ac:dyDescent="0.15">
      <c r="A113" s="645" t="s">
        <v>831</v>
      </c>
      <c r="B113" s="792">
        <v>49865</v>
      </c>
      <c r="C113" s="793">
        <v>49865</v>
      </c>
      <c r="D113" s="793">
        <v>367708</v>
      </c>
      <c r="E113" s="793">
        <v>306182</v>
      </c>
      <c r="F113" s="793">
        <v>20000</v>
      </c>
      <c r="G113" s="793">
        <v>40561</v>
      </c>
      <c r="H113" s="793">
        <v>965</v>
      </c>
      <c r="I113" s="793">
        <v>25127</v>
      </c>
      <c r="J113" s="793">
        <v>25127</v>
      </c>
      <c r="K113" s="793" t="s">
        <v>796</v>
      </c>
      <c r="L113" s="793" t="s">
        <v>796</v>
      </c>
      <c r="M113" s="793" t="s">
        <v>796</v>
      </c>
      <c r="N113" s="793">
        <v>4781020</v>
      </c>
      <c r="O113" s="793">
        <v>205905</v>
      </c>
      <c r="P113" s="793">
        <v>99963</v>
      </c>
      <c r="Q113" s="793">
        <v>50002</v>
      </c>
      <c r="R113" s="793">
        <v>47600</v>
      </c>
      <c r="S113" s="793">
        <v>8340</v>
      </c>
      <c r="T113" s="793" t="s">
        <v>796</v>
      </c>
      <c r="U113" s="793" t="s">
        <v>796</v>
      </c>
      <c r="V113" s="793">
        <v>129080</v>
      </c>
      <c r="W113" s="794" t="s">
        <v>517</v>
      </c>
    </row>
    <row r="114" spans="1:23" s="241" customFormat="1" ht="9.75" customHeight="1" x14ac:dyDescent="0.15">
      <c r="A114" s="448" t="s">
        <v>557</v>
      </c>
      <c r="B114" s="241" t="s">
        <v>796</v>
      </c>
      <c r="C114" s="241" t="s">
        <v>796</v>
      </c>
      <c r="D114" s="241">
        <v>352362</v>
      </c>
      <c r="E114" s="241">
        <v>323531</v>
      </c>
      <c r="F114" s="241" t="s">
        <v>796</v>
      </c>
      <c r="G114" s="241">
        <v>28831</v>
      </c>
      <c r="H114" s="241" t="s">
        <v>796</v>
      </c>
      <c r="I114" s="241">
        <v>25733</v>
      </c>
      <c r="J114" s="241">
        <v>25733</v>
      </c>
      <c r="K114" s="241" t="s">
        <v>796</v>
      </c>
      <c r="L114" s="241" t="s">
        <v>796</v>
      </c>
      <c r="M114" s="241" t="s">
        <v>796</v>
      </c>
      <c r="N114" s="241">
        <v>5327622</v>
      </c>
      <c r="O114" s="241">
        <v>762702</v>
      </c>
      <c r="P114" s="241">
        <v>364723</v>
      </c>
      <c r="Q114" s="241">
        <v>32602</v>
      </c>
      <c r="R114" s="241">
        <v>160014</v>
      </c>
      <c r="S114" s="241">
        <v>85352</v>
      </c>
      <c r="T114" s="241">
        <v>120011</v>
      </c>
      <c r="U114" s="241" t="s">
        <v>796</v>
      </c>
      <c r="V114" s="241" t="s">
        <v>796</v>
      </c>
      <c r="W114" s="242" t="s">
        <v>558</v>
      </c>
    </row>
    <row r="115" spans="1:23" s="241" customFormat="1" ht="9.75" customHeight="1" x14ac:dyDescent="0.15">
      <c r="A115" s="448" t="s">
        <v>682</v>
      </c>
      <c r="B115" s="241" t="s">
        <v>796</v>
      </c>
      <c r="C115" s="241" t="s">
        <v>796</v>
      </c>
      <c r="D115" s="241">
        <v>273476</v>
      </c>
      <c r="E115" s="241">
        <v>258520</v>
      </c>
      <c r="F115" s="241" t="s">
        <v>796</v>
      </c>
      <c r="G115" s="241">
        <v>14956</v>
      </c>
      <c r="H115" s="241" t="s">
        <v>796</v>
      </c>
      <c r="I115" s="241">
        <v>24016</v>
      </c>
      <c r="J115" s="241">
        <v>24016</v>
      </c>
      <c r="K115" s="241" t="s">
        <v>796</v>
      </c>
      <c r="L115" s="241" t="s">
        <v>796</v>
      </c>
      <c r="M115" s="241" t="s">
        <v>796</v>
      </c>
      <c r="N115" s="241">
        <v>6797549</v>
      </c>
      <c r="O115" s="241">
        <v>566465</v>
      </c>
      <c r="P115" s="241">
        <v>49785</v>
      </c>
      <c r="Q115" s="241">
        <v>71204</v>
      </c>
      <c r="R115" s="241">
        <v>167166</v>
      </c>
      <c r="S115" s="241">
        <v>178382</v>
      </c>
      <c r="T115" s="241">
        <v>99928</v>
      </c>
      <c r="U115" s="241" t="s">
        <v>796</v>
      </c>
      <c r="V115" s="241">
        <v>72400</v>
      </c>
      <c r="W115" s="242" t="s">
        <v>683</v>
      </c>
    </row>
    <row r="116" spans="1:23" s="241" customFormat="1" ht="9.75" customHeight="1" x14ac:dyDescent="0.15">
      <c r="A116" s="448" t="s">
        <v>784</v>
      </c>
      <c r="B116" s="241">
        <v>47600</v>
      </c>
      <c r="C116" s="241">
        <v>47600</v>
      </c>
      <c r="D116" s="241">
        <v>172198</v>
      </c>
      <c r="E116" s="241">
        <v>172198</v>
      </c>
      <c r="F116" s="241" t="s">
        <v>796</v>
      </c>
      <c r="G116" s="241" t="s">
        <v>796</v>
      </c>
      <c r="H116" s="241" t="s">
        <v>796</v>
      </c>
      <c r="I116" s="241">
        <v>15094</v>
      </c>
      <c r="J116" s="241">
        <v>15094</v>
      </c>
      <c r="K116" s="241">
        <v>55245</v>
      </c>
      <c r="L116" s="241">
        <v>55245</v>
      </c>
      <c r="M116" s="241">
        <v>55245</v>
      </c>
      <c r="N116" s="574">
        <v>7969697</v>
      </c>
      <c r="O116" s="241">
        <v>91531</v>
      </c>
      <c r="P116" s="241" t="s">
        <v>796</v>
      </c>
      <c r="Q116" s="241" t="s">
        <v>796</v>
      </c>
      <c r="R116" s="241">
        <v>41402</v>
      </c>
      <c r="S116" s="241">
        <v>50050</v>
      </c>
      <c r="T116" s="241">
        <v>1</v>
      </c>
      <c r="U116" s="241">
        <v>78</v>
      </c>
      <c r="V116" s="241">
        <v>50050</v>
      </c>
      <c r="W116" s="242" t="s">
        <v>785</v>
      </c>
    </row>
    <row r="117" spans="1:23" s="241" customFormat="1" ht="9.75" customHeight="1" x14ac:dyDescent="0.15">
      <c r="A117" s="448" t="s">
        <v>832</v>
      </c>
      <c r="B117" s="241" t="s">
        <v>796</v>
      </c>
      <c r="C117" s="241" t="s">
        <v>796</v>
      </c>
      <c r="D117" s="241">
        <v>115522</v>
      </c>
      <c r="E117" s="241">
        <v>100901</v>
      </c>
      <c r="F117" s="241">
        <v>14621</v>
      </c>
      <c r="G117" s="241" t="s">
        <v>796</v>
      </c>
      <c r="H117" s="241" t="s">
        <v>796</v>
      </c>
      <c r="I117" s="241">
        <v>12610</v>
      </c>
      <c r="J117" s="241">
        <v>12610</v>
      </c>
      <c r="K117" s="241">
        <v>60890</v>
      </c>
      <c r="L117" s="241">
        <v>60890</v>
      </c>
      <c r="M117" s="241">
        <v>60890</v>
      </c>
      <c r="N117" s="241">
        <v>8278656</v>
      </c>
      <c r="O117" s="241">
        <v>41402</v>
      </c>
      <c r="P117" s="241">
        <v>41402</v>
      </c>
      <c r="Q117" s="241" t="s">
        <v>796</v>
      </c>
      <c r="R117" s="241" t="s">
        <v>796</v>
      </c>
      <c r="S117" s="241" t="s">
        <v>796</v>
      </c>
      <c r="T117" s="241" t="s">
        <v>796</v>
      </c>
      <c r="U117" s="241" t="s">
        <v>796</v>
      </c>
      <c r="V117" s="241" t="s">
        <v>796</v>
      </c>
      <c r="W117" s="242" t="s">
        <v>833</v>
      </c>
    </row>
    <row r="118" spans="1:23" s="241" customFormat="1" ht="6.75" customHeight="1" x14ac:dyDescent="0.15">
      <c r="A118" s="464"/>
      <c r="W118" s="242"/>
    </row>
    <row r="119" spans="1:23" s="241" customFormat="1" ht="9.75" customHeight="1" x14ac:dyDescent="0.15">
      <c r="A119" s="448" t="s">
        <v>834</v>
      </c>
      <c r="B119" s="241" t="s">
        <v>796</v>
      </c>
      <c r="C119" s="241" t="s">
        <v>796</v>
      </c>
      <c r="D119" s="241">
        <v>78300</v>
      </c>
      <c r="E119" s="241">
        <v>78300</v>
      </c>
      <c r="F119" s="241" t="s">
        <v>796</v>
      </c>
      <c r="G119" s="241" t="s">
        <v>796</v>
      </c>
      <c r="H119" s="241" t="s">
        <v>796</v>
      </c>
      <c r="I119" s="241">
        <v>12918</v>
      </c>
      <c r="J119" s="241">
        <v>12918</v>
      </c>
      <c r="K119" s="241">
        <v>77491</v>
      </c>
      <c r="L119" s="241">
        <v>77491</v>
      </c>
      <c r="M119" s="241">
        <v>77491</v>
      </c>
      <c r="N119" s="241">
        <v>8065724</v>
      </c>
      <c r="O119" s="241">
        <v>50051</v>
      </c>
      <c r="P119" s="241" t="s">
        <v>796</v>
      </c>
      <c r="Q119" s="241" t="s">
        <v>796</v>
      </c>
      <c r="R119" s="241" t="s">
        <v>796</v>
      </c>
      <c r="S119" s="241">
        <v>50050</v>
      </c>
      <c r="T119" s="241">
        <v>1</v>
      </c>
      <c r="U119" s="241" t="s">
        <v>796</v>
      </c>
      <c r="V119" s="241">
        <v>50050</v>
      </c>
      <c r="W119" s="242" t="s">
        <v>786</v>
      </c>
    </row>
    <row r="120" spans="1:23" s="241" customFormat="1" ht="9.75" customHeight="1" x14ac:dyDescent="0.15">
      <c r="A120" s="448" t="s">
        <v>835</v>
      </c>
      <c r="B120" s="241" t="s">
        <v>796</v>
      </c>
      <c r="C120" s="241" t="s">
        <v>796</v>
      </c>
      <c r="D120" s="241">
        <v>165422</v>
      </c>
      <c r="E120" s="241">
        <v>150801</v>
      </c>
      <c r="F120" s="241">
        <v>14621</v>
      </c>
      <c r="G120" s="241" t="s">
        <v>796</v>
      </c>
      <c r="H120" s="241" t="s">
        <v>796</v>
      </c>
      <c r="I120" s="241">
        <v>12428</v>
      </c>
      <c r="J120" s="241">
        <v>12428</v>
      </c>
      <c r="K120" s="241">
        <v>44144</v>
      </c>
      <c r="L120" s="241">
        <v>44144</v>
      </c>
      <c r="M120" s="241">
        <v>44144</v>
      </c>
      <c r="N120" s="241">
        <v>8388818</v>
      </c>
      <c r="O120" s="241">
        <v>41402</v>
      </c>
      <c r="P120" s="241">
        <v>41402</v>
      </c>
      <c r="Q120" s="241" t="s">
        <v>796</v>
      </c>
      <c r="R120" s="241" t="s">
        <v>796</v>
      </c>
      <c r="S120" s="241" t="s">
        <v>796</v>
      </c>
      <c r="T120" s="241" t="s">
        <v>796</v>
      </c>
      <c r="U120" s="241" t="s">
        <v>796</v>
      </c>
      <c r="V120" s="241" t="s">
        <v>796</v>
      </c>
      <c r="W120" s="242" t="s">
        <v>836</v>
      </c>
    </row>
    <row r="121" spans="1:23" s="241" customFormat="1" ht="6.75" customHeight="1" x14ac:dyDescent="0.15">
      <c r="A121" s="464"/>
      <c r="W121" s="242"/>
    </row>
    <row r="122" spans="1:23" s="241" customFormat="1" ht="9.75" customHeight="1" x14ac:dyDescent="0.15">
      <c r="A122" s="448" t="s">
        <v>837</v>
      </c>
      <c r="B122" s="241" t="s">
        <v>796</v>
      </c>
      <c r="C122" s="241" t="s">
        <v>796</v>
      </c>
      <c r="D122" s="241" t="s">
        <v>796</v>
      </c>
      <c r="E122" s="241" t="s">
        <v>796</v>
      </c>
      <c r="F122" s="241" t="s">
        <v>796</v>
      </c>
      <c r="G122" s="241" t="s">
        <v>796</v>
      </c>
      <c r="H122" s="241" t="s">
        <v>796</v>
      </c>
      <c r="I122" s="241">
        <v>2856</v>
      </c>
      <c r="J122" s="241">
        <v>2856</v>
      </c>
      <c r="K122" s="241">
        <v>22246</v>
      </c>
      <c r="L122" s="241">
        <v>22246</v>
      </c>
      <c r="M122" s="241">
        <v>22246</v>
      </c>
      <c r="N122" s="241">
        <v>1859702</v>
      </c>
      <c r="O122" s="241" t="s">
        <v>796</v>
      </c>
      <c r="P122" s="241" t="s">
        <v>796</v>
      </c>
      <c r="Q122" s="241" t="s">
        <v>796</v>
      </c>
      <c r="R122" s="241" t="s">
        <v>796</v>
      </c>
      <c r="S122" s="241" t="s">
        <v>796</v>
      </c>
      <c r="T122" s="241" t="s">
        <v>796</v>
      </c>
      <c r="U122" s="241" t="s">
        <v>796</v>
      </c>
      <c r="V122" s="241" t="s">
        <v>796</v>
      </c>
      <c r="W122" s="242" t="s">
        <v>787</v>
      </c>
    </row>
    <row r="123" spans="1:23" s="241" customFormat="1" ht="9.75" customHeight="1" x14ac:dyDescent="0.15">
      <c r="A123" s="448" t="s">
        <v>559</v>
      </c>
      <c r="B123" s="241" t="s">
        <v>796</v>
      </c>
      <c r="C123" s="241" t="s">
        <v>796</v>
      </c>
      <c r="D123" s="241">
        <v>50000</v>
      </c>
      <c r="E123" s="241">
        <v>50000</v>
      </c>
      <c r="F123" s="241" t="s">
        <v>796</v>
      </c>
      <c r="G123" s="241" t="s">
        <v>796</v>
      </c>
      <c r="H123" s="241" t="s">
        <v>796</v>
      </c>
      <c r="I123" s="241">
        <v>2824</v>
      </c>
      <c r="J123" s="241">
        <v>2824</v>
      </c>
      <c r="K123" s="241">
        <v>13316</v>
      </c>
      <c r="L123" s="241">
        <v>13316</v>
      </c>
      <c r="M123" s="241">
        <v>13316</v>
      </c>
      <c r="N123" s="241">
        <v>2082216</v>
      </c>
      <c r="O123" s="241" t="s">
        <v>796</v>
      </c>
      <c r="P123" s="241" t="s">
        <v>796</v>
      </c>
      <c r="Q123" s="241" t="s">
        <v>796</v>
      </c>
      <c r="R123" s="241" t="s">
        <v>796</v>
      </c>
      <c r="S123" s="241" t="s">
        <v>796</v>
      </c>
      <c r="T123" s="241" t="s">
        <v>796</v>
      </c>
      <c r="U123" s="241" t="s">
        <v>796</v>
      </c>
      <c r="V123" s="241" t="s">
        <v>796</v>
      </c>
      <c r="W123" s="242" t="s">
        <v>78</v>
      </c>
    </row>
    <row r="124" spans="1:23" s="241" customFormat="1" ht="9.75" customHeight="1" x14ac:dyDescent="0.15">
      <c r="A124" s="448" t="s">
        <v>560</v>
      </c>
      <c r="B124" s="241" t="s">
        <v>796</v>
      </c>
      <c r="C124" s="241" t="s">
        <v>796</v>
      </c>
      <c r="D124" s="241" t="s">
        <v>796</v>
      </c>
      <c r="E124" s="241" t="s">
        <v>796</v>
      </c>
      <c r="F124" s="241" t="s">
        <v>796</v>
      </c>
      <c r="G124" s="241" t="s">
        <v>796</v>
      </c>
      <c r="H124" s="241" t="s">
        <v>796</v>
      </c>
      <c r="I124" s="241">
        <v>3524</v>
      </c>
      <c r="J124" s="241">
        <v>3524</v>
      </c>
      <c r="K124" s="241">
        <v>5478</v>
      </c>
      <c r="L124" s="241">
        <v>5478</v>
      </c>
      <c r="M124" s="241">
        <v>5478</v>
      </c>
      <c r="N124" s="241">
        <v>2133374</v>
      </c>
      <c r="O124" s="241" t="s">
        <v>796</v>
      </c>
      <c r="P124" s="241" t="s">
        <v>796</v>
      </c>
      <c r="Q124" s="241" t="s">
        <v>796</v>
      </c>
      <c r="R124" s="241" t="s">
        <v>796</v>
      </c>
      <c r="S124" s="241" t="s">
        <v>796</v>
      </c>
      <c r="T124" s="241" t="s">
        <v>796</v>
      </c>
      <c r="U124" s="241" t="s">
        <v>796</v>
      </c>
      <c r="V124" s="241" t="s">
        <v>796</v>
      </c>
      <c r="W124" s="242" t="s">
        <v>79</v>
      </c>
    </row>
    <row r="125" spans="1:23" s="241" customFormat="1" ht="9.75" customHeight="1" x14ac:dyDescent="0.15">
      <c r="A125" s="448" t="s">
        <v>561</v>
      </c>
      <c r="B125" s="241" t="s">
        <v>796</v>
      </c>
      <c r="C125" s="241" t="s">
        <v>796</v>
      </c>
      <c r="D125" s="241">
        <v>65522</v>
      </c>
      <c r="E125" s="241">
        <v>50901</v>
      </c>
      <c r="F125" s="241">
        <v>14621</v>
      </c>
      <c r="G125" s="241" t="s">
        <v>796</v>
      </c>
      <c r="H125" s="241" t="s">
        <v>796</v>
      </c>
      <c r="I125" s="241">
        <v>3406</v>
      </c>
      <c r="J125" s="241">
        <v>3406</v>
      </c>
      <c r="K125" s="241">
        <v>19850</v>
      </c>
      <c r="L125" s="241">
        <v>19850</v>
      </c>
      <c r="M125" s="241">
        <v>19850</v>
      </c>
      <c r="N125" s="241">
        <v>2203364</v>
      </c>
      <c r="O125" s="241">
        <v>41402</v>
      </c>
      <c r="P125" s="241">
        <v>41402</v>
      </c>
      <c r="Q125" s="241" t="s">
        <v>796</v>
      </c>
      <c r="R125" s="241" t="s">
        <v>796</v>
      </c>
      <c r="S125" s="241" t="s">
        <v>796</v>
      </c>
      <c r="T125" s="241" t="s">
        <v>796</v>
      </c>
      <c r="U125" s="241" t="s">
        <v>796</v>
      </c>
      <c r="V125" s="241" t="s">
        <v>796</v>
      </c>
      <c r="W125" s="242" t="s">
        <v>80</v>
      </c>
    </row>
    <row r="126" spans="1:23" s="241" customFormat="1" ht="9.75" customHeight="1" x14ac:dyDescent="0.15">
      <c r="A126" s="448" t="s">
        <v>838</v>
      </c>
      <c r="B126" s="241" t="s">
        <v>796</v>
      </c>
      <c r="C126" s="241" t="s">
        <v>796</v>
      </c>
      <c r="D126" s="241">
        <v>49900</v>
      </c>
      <c r="E126" s="241">
        <v>49900</v>
      </c>
      <c r="F126" s="241" t="s">
        <v>796</v>
      </c>
      <c r="G126" s="241" t="s">
        <v>796</v>
      </c>
      <c r="H126" s="241" t="s">
        <v>796</v>
      </c>
      <c r="I126" s="241">
        <v>2674</v>
      </c>
      <c r="J126" s="241">
        <v>2674</v>
      </c>
      <c r="K126" s="241">
        <v>5500</v>
      </c>
      <c r="L126" s="241">
        <v>5500</v>
      </c>
      <c r="M126" s="241">
        <v>5500</v>
      </c>
      <c r="N126" s="241">
        <v>1969864</v>
      </c>
      <c r="O126" s="241" t="s">
        <v>796</v>
      </c>
      <c r="P126" s="241" t="s">
        <v>796</v>
      </c>
      <c r="Q126" s="241" t="s">
        <v>796</v>
      </c>
      <c r="R126" s="241" t="s">
        <v>796</v>
      </c>
      <c r="S126" s="241" t="s">
        <v>796</v>
      </c>
      <c r="T126" s="241" t="s">
        <v>796</v>
      </c>
      <c r="U126" s="241" t="s">
        <v>796</v>
      </c>
      <c r="V126" s="241" t="s">
        <v>796</v>
      </c>
      <c r="W126" s="242" t="s">
        <v>839</v>
      </c>
    </row>
    <row r="127" spans="1:23" s="241" customFormat="1" ht="6.75" customHeight="1" x14ac:dyDescent="0.15">
      <c r="A127" s="464"/>
      <c r="W127" s="242"/>
    </row>
    <row r="128" spans="1:23" s="241" customFormat="1" ht="9.75" customHeight="1" x14ac:dyDescent="0.15">
      <c r="A128" s="448" t="s">
        <v>840</v>
      </c>
      <c r="B128" s="241" t="s">
        <v>796</v>
      </c>
      <c r="C128" s="241" t="s">
        <v>796</v>
      </c>
      <c r="D128" s="241" t="s">
        <v>796</v>
      </c>
      <c r="E128" s="241" t="s">
        <v>796</v>
      </c>
      <c r="F128" s="241" t="s">
        <v>796</v>
      </c>
      <c r="G128" s="241" t="s">
        <v>796</v>
      </c>
      <c r="H128" s="241" t="s">
        <v>796</v>
      </c>
      <c r="I128" s="241">
        <v>958</v>
      </c>
      <c r="J128" s="241">
        <v>958</v>
      </c>
      <c r="K128" s="241">
        <v>11624</v>
      </c>
      <c r="L128" s="241">
        <v>11624</v>
      </c>
      <c r="M128" s="241">
        <v>11624</v>
      </c>
      <c r="N128" s="241">
        <v>633647</v>
      </c>
      <c r="O128" s="241" t="s">
        <v>796</v>
      </c>
      <c r="P128" s="241" t="s">
        <v>796</v>
      </c>
      <c r="Q128" s="241" t="s">
        <v>796</v>
      </c>
      <c r="R128" s="241" t="s">
        <v>796</v>
      </c>
      <c r="S128" s="241" t="s">
        <v>796</v>
      </c>
      <c r="T128" s="241" t="s">
        <v>796</v>
      </c>
      <c r="U128" s="241" t="s">
        <v>796</v>
      </c>
      <c r="V128" s="241" t="s">
        <v>796</v>
      </c>
      <c r="W128" s="242" t="s">
        <v>788</v>
      </c>
    </row>
    <row r="129" spans="1:23" s="241" customFormat="1" ht="9.75" customHeight="1" x14ac:dyDescent="0.15">
      <c r="A129" s="448" t="s">
        <v>562</v>
      </c>
      <c r="B129" s="241" t="s">
        <v>796</v>
      </c>
      <c r="C129" s="241" t="s">
        <v>796</v>
      </c>
      <c r="D129" s="241" t="s">
        <v>796</v>
      </c>
      <c r="E129" s="241" t="s">
        <v>796</v>
      </c>
      <c r="F129" s="241" t="s">
        <v>796</v>
      </c>
      <c r="G129" s="241" t="s">
        <v>796</v>
      </c>
      <c r="H129" s="241" t="s">
        <v>796</v>
      </c>
      <c r="I129" s="241">
        <v>966</v>
      </c>
      <c r="J129" s="241">
        <v>966</v>
      </c>
      <c r="K129" s="241">
        <v>4770</v>
      </c>
      <c r="L129" s="241">
        <v>4770</v>
      </c>
      <c r="M129" s="241">
        <v>4770</v>
      </c>
      <c r="N129" s="241">
        <v>581056</v>
      </c>
      <c r="O129" s="241" t="s">
        <v>796</v>
      </c>
      <c r="P129" s="241" t="s">
        <v>796</v>
      </c>
      <c r="Q129" s="241" t="s">
        <v>796</v>
      </c>
      <c r="R129" s="241" t="s">
        <v>796</v>
      </c>
      <c r="S129" s="241" t="s">
        <v>796</v>
      </c>
      <c r="T129" s="241" t="s">
        <v>796</v>
      </c>
      <c r="U129" s="241" t="s">
        <v>796</v>
      </c>
      <c r="V129" s="241" t="s">
        <v>796</v>
      </c>
      <c r="W129" s="242" t="s">
        <v>66</v>
      </c>
    </row>
    <row r="130" spans="1:23" s="241" customFormat="1" ht="9.75" customHeight="1" x14ac:dyDescent="0.15">
      <c r="A130" s="448" t="s">
        <v>563</v>
      </c>
      <c r="B130" s="241" t="s">
        <v>796</v>
      </c>
      <c r="C130" s="241" t="s">
        <v>796</v>
      </c>
      <c r="D130" s="241" t="s">
        <v>796</v>
      </c>
      <c r="E130" s="241" t="s">
        <v>796</v>
      </c>
      <c r="F130" s="241" t="s">
        <v>796</v>
      </c>
      <c r="G130" s="241" t="s">
        <v>796</v>
      </c>
      <c r="H130" s="241" t="s">
        <v>796</v>
      </c>
      <c r="I130" s="241">
        <v>932</v>
      </c>
      <c r="J130" s="241">
        <v>932</v>
      </c>
      <c r="K130" s="241">
        <v>5852</v>
      </c>
      <c r="L130" s="241">
        <v>5852</v>
      </c>
      <c r="M130" s="241">
        <v>5852</v>
      </c>
      <c r="N130" s="241">
        <v>644999</v>
      </c>
      <c r="O130" s="241" t="s">
        <v>796</v>
      </c>
      <c r="P130" s="241" t="s">
        <v>796</v>
      </c>
      <c r="Q130" s="241" t="s">
        <v>796</v>
      </c>
      <c r="R130" s="241" t="s">
        <v>796</v>
      </c>
      <c r="S130" s="241" t="s">
        <v>796</v>
      </c>
      <c r="T130" s="241" t="s">
        <v>796</v>
      </c>
      <c r="U130" s="241" t="s">
        <v>796</v>
      </c>
      <c r="V130" s="241" t="s">
        <v>796</v>
      </c>
      <c r="W130" s="242" t="s">
        <v>67</v>
      </c>
    </row>
    <row r="131" spans="1:23" s="241" customFormat="1" ht="9.75" customHeight="1" x14ac:dyDescent="0.15">
      <c r="A131" s="448" t="s">
        <v>564</v>
      </c>
      <c r="B131" s="241" t="s">
        <v>796</v>
      </c>
      <c r="C131" s="241" t="s">
        <v>796</v>
      </c>
      <c r="D131" s="241" t="s">
        <v>796</v>
      </c>
      <c r="E131" s="241" t="s">
        <v>796</v>
      </c>
      <c r="F131" s="241" t="s">
        <v>796</v>
      </c>
      <c r="G131" s="241" t="s">
        <v>796</v>
      </c>
      <c r="H131" s="241" t="s">
        <v>796</v>
      </c>
      <c r="I131" s="241">
        <v>926</v>
      </c>
      <c r="J131" s="241">
        <v>926</v>
      </c>
      <c r="K131" s="241">
        <v>11917</v>
      </c>
      <c r="L131" s="241">
        <v>11917</v>
      </c>
      <c r="M131" s="241">
        <v>11917</v>
      </c>
      <c r="N131" s="241">
        <v>698706</v>
      </c>
      <c r="O131" s="241" t="s">
        <v>796</v>
      </c>
      <c r="P131" s="241" t="s">
        <v>796</v>
      </c>
      <c r="Q131" s="241" t="s">
        <v>796</v>
      </c>
      <c r="R131" s="241" t="s">
        <v>796</v>
      </c>
      <c r="S131" s="241" t="s">
        <v>796</v>
      </c>
      <c r="T131" s="241" t="s">
        <v>796</v>
      </c>
      <c r="U131" s="241" t="s">
        <v>796</v>
      </c>
      <c r="V131" s="241" t="s">
        <v>796</v>
      </c>
      <c r="W131" s="242" t="s">
        <v>68</v>
      </c>
    </row>
    <row r="132" spans="1:23" s="241" customFormat="1" ht="9.75" customHeight="1" x14ac:dyDescent="0.15">
      <c r="A132" s="448" t="s">
        <v>565</v>
      </c>
      <c r="B132" s="241" t="s">
        <v>796</v>
      </c>
      <c r="C132" s="241" t="s">
        <v>796</v>
      </c>
      <c r="D132" s="241" t="s">
        <v>796</v>
      </c>
      <c r="E132" s="241" t="s">
        <v>796</v>
      </c>
      <c r="F132" s="241" t="s">
        <v>796</v>
      </c>
      <c r="G132" s="241" t="s">
        <v>796</v>
      </c>
      <c r="H132" s="241" t="s">
        <v>796</v>
      </c>
      <c r="I132" s="241">
        <v>970</v>
      </c>
      <c r="J132" s="241">
        <v>970</v>
      </c>
      <c r="K132" s="241">
        <v>1399</v>
      </c>
      <c r="L132" s="241">
        <v>1399</v>
      </c>
      <c r="M132" s="241">
        <v>1399</v>
      </c>
      <c r="N132" s="241">
        <v>708293</v>
      </c>
      <c r="O132" s="241" t="s">
        <v>796</v>
      </c>
      <c r="P132" s="241" t="s">
        <v>796</v>
      </c>
      <c r="Q132" s="241" t="s">
        <v>796</v>
      </c>
      <c r="R132" s="241" t="s">
        <v>796</v>
      </c>
      <c r="S132" s="241" t="s">
        <v>796</v>
      </c>
      <c r="T132" s="241" t="s">
        <v>796</v>
      </c>
      <c r="U132" s="241" t="s">
        <v>796</v>
      </c>
      <c r="V132" s="241" t="s">
        <v>796</v>
      </c>
      <c r="W132" s="242" t="s">
        <v>81</v>
      </c>
    </row>
    <row r="133" spans="1:23" s="241" customFormat="1" ht="9.75" customHeight="1" x14ac:dyDescent="0.15">
      <c r="A133" s="448" t="s">
        <v>566</v>
      </c>
      <c r="B133" s="241" t="s">
        <v>796</v>
      </c>
      <c r="C133" s="241" t="s">
        <v>796</v>
      </c>
      <c r="D133" s="241">
        <v>50000</v>
      </c>
      <c r="E133" s="241">
        <v>50000</v>
      </c>
      <c r="F133" s="241" t="s">
        <v>796</v>
      </c>
      <c r="G133" s="241" t="s">
        <v>796</v>
      </c>
      <c r="H133" s="241" t="s">
        <v>796</v>
      </c>
      <c r="I133" s="241">
        <v>928</v>
      </c>
      <c r="J133" s="241">
        <v>928</v>
      </c>
      <c r="K133" s="241" t="s">
        <v>796</v>
      </c>
      <c r="L133" s="241" t="s">
        <v>796</v>
      </c>
      <c r="M133" s="241" t="s">
        <v>796</v>
      </c>
      <c r="N133" s="241">
        <v>675217</v>
      </c>
      <c r="O133" s="241" t="s">
        <v>796</v>
      </c>
      <c r="P133" s="241" t="s">
        <v>796</v>
      </c>
      <c r="Q133" s="241" t="s">
        <v>796</v>
      </c>
      <c r="R133" s="241" t="s">
        <v>796</v>
      </c>
      <c r="S133" s="241" t="s">
        <v>796</v>
      </c>
      <c r="T133" s="241" t="s">
        <v>796</v>
      </c>
      <c r="U133" s="241" t="s">
        <v>796</v>
      </c>
      <c r="V133" s="241" t="s">
        <v>796</v>
      </c>
      <c r="W133" s="242" t="s">
        <v>82</v>
      </c>
    </row>
    <row r="134" spans="1:23" s="241" customFormat="1" ht="9.75" customHeight="1" x14ac:dyDescent="0.15">
      <c r="A134" s="448" t="s">
        <v>567</v>
      </c>
      <c r="B134" s="241" t="s">
        <v>796</v>
      </c>
      <c r="C134" s="241" t="s">
        <v>796</v>
      </c>
      <c r="D134" s="241" t="s">
        <v>796</v>
      </c>
      <c r="E134" s="241" t="s">
        <v>796</v>
      </c>
      <c r="F134" s="241" t="s">
        <v>796</v>
      </c>
      <c r="G134" s="241" t="s">
        <v>796</v>
      </c>
      <c r="H134" s="241" t="s">
        <v>796</v>
      </c>
      <c r="I134" s="241">
        <v>1032</v>
      </c>
      <c r="J134" s="241">
        <v>1032</v>
      </c>
      <c r="K134" s="241" t="s">
        <v>796</v>
      </c>
      <c r="L134" s="241" t="s">
        <v>796</v>
      </c>
      <c r="M134" s="241" t="s">
        <v>796</v>
      </c>
      <c r="N134" s="241">
        <v>698817</v>
      </c>
      <c r="O134" s="241" t="s">
        <v>796</v>
      </c>
      <c r="P134" s="241" t="s">
        <v>796</v>
      </c>
      <c r="Q134" s="241" t="s">
        <v>796</v>
      </c>
      <c r="R134" s="241" t="s">
        <v>796</v>
      </c>
      <c r="S134" s="241" t="s">
        <v>796</v>
      </c>
      <c r="T134" s="241" t="s">
        <v>796</v>
      </c>
      <c r="U134" s="241" t="s">
        <v>796</v>
      </c>
      <c r="V134" s="241" t="s">
        <v>796</v>
      </c>
      <c r="W134" s="242" t="s">
        <v>83</v>
      </c>
    </row>
    <row r="135" spans="1:23" s="241" customFormat="1" ht="9.75" customHeight="1" x14ac:dyDescent="0.15">
      <c r="A135" s="448" t="s">
        <v>568</v>
      </c>
      <c r="B135" s="241" t="s">
        <v>796</v>
      </c>
      <c r="C135" s="241" t="s">
        <v>796</v>
      </c>
      <c r="D135" s="241" t="s">
        <v>796</v>
      </c>
      <c r="E135" s="241" t="s">
        <v>796</v>
      </c>
      <c r="F135" s="241" t="s">
        <v>796</v>
      </c>
      <c r="G135" s="241" t="s">
        <v>796</v>
      </c>
      <c r="H135" s="241" t="s">
        <v>796</v>
      </c>
      <c r="I135" s="241">
        <v>844</v>
      </c>
      <c r="J135" s="241">
        <v>844</v>
      </c>
      <c r="K135" s="241" t="s">
        <v>796</v>
      </c>
      <c r="L135" s="241" t="s">
        <v>796</v>
      </c>
      <c r="M135" s="241" t="s">
        <v>796</v>
      </c>
      <c r="N135" s="241">
        <v>716646</v>
      </c>
      <c r="O135" s="241" t="s">
        <v>796</v>
      </c>
      <c r="P135" s="241" t="s">
        <v>796</v>
      </c>
      <c r="Q135" s="241" t="s">
        <v>796</v>
      </c>
      <c r="R135" s="241" t="s">
        <v>796</v>
      </c>
      <c r="S135" s="241" t="s">
        <v>796</v>
      </c>
      <c r="T135" s="241" t="s">
        <v>796</v>
      </c>
      <c r="U135" s="241" t="s">
        <v>796</v>
      </c>
      <c r="V135" s="241" t="s">
        <v>796</v>
      </c>
      <c r="W135" s="242" t="s">
        <v>84</v>
      </c>
    </row>
    <row r="136" spans="1:23" s="241" customFormat="1" ht="9.75" customHeight="1" x14ac:dyDescent="0.15">
      <c r="A136" s="448" t="s">
        <v>569</v>
      </c>
      <c r="B136" s="241" t="s">
        <v>796</v>
      </c>
      <c r="C136" s="241" t="s">
        <v>796</v>
      </c>
      <c r="D136" s="241" t="s">
        <v>796</v>
      </c>
      <c r="E136" s="241" t="s">
        <v>796</v>
      </c>
      <c r="F136" s="241" t="s">
        <v>796</v>
      </c>
      <c r="G136" s="241" t="s">
        <v>796</v>
      </c>
      <c r="H136" s="241" t="s">
        <v>796</v>
      </c>
      <c r="I136" s="241">
        <v>1648</v>
      </c>
      <c r="J136" s="241">
        <v>1648</v>
      </c>
      <c r="K136" s="241">
        <v>5478</v>
      </c>
      <c r="L136" s="241">
        <v>5478</v>
      </c>
      <c r="M136" s="241">
        <v>5478</v>
      </c>
      <c r="N136" s="241">
        <v>717911</v>
      </c>
      <c r="O136" s="241" t="s">
        <v>796</v>
      </c>
      <c r="P136" s="241" t="s">
        <v>796</v>
      </c>
      <c r="Q136" s="241" t="s">
        <v>796</v>
      </c>
      <c r="R136" s="241" t="s">
        <v>796</v>
      </c>
      <c r="S136" s="241" t="s">
        <v>796</v>
      </c>
      <c r="T136" s="241" t="s">
        <v>796</v>
      </c>
      <c r="U136" s="241" t="s">
        <v>796</v>
      </c>
      <c r="V136" s="241" t="s">
        <v>796</v>
      </c>
      <c r="W136" s="242" t="s">
        <v>85</v>
      </c>
    </row>
    <row r="137" spans="1:23" s="241" customFormat="1" ht="9.75" customHeight="1" x14ac:dyDescent="0.15">
      <c r="A137" s="448" t="s">
        <v>570</v>
      </c>
      <c r="B137" s="241" t="s">
        <v>796</v>
      </c>
      <c r="C137" s="241" t="s">
        <v>796</v>
      </c>
      <c r="D137" s="241">
        <v>14621</v>
      </c>
      <c r="E137" s="241" t="s">
        <v>796</v>
      </c>
      <c r="F137" s="241">
        <v>14621</v>
      </c>
      <c r="G137" s="241" t="s">
        <v>796</v>
      </c>
      <c r="H137" s="241" t="s">
        <v>796</v>
      </c>
      <c r="I137" s="241">
        <v>1036</v>
      </c>
      <c r="J137" s="241">
        <v>1036</v>
      </c>
      <c r="K137" s="241">
        <v>5700</v>
      </c>
      <c r="L137" s="241">
        <v>5700</v>
      </c>
      <c r="M137" s="241">
        <v>5700</v>
      </c>
      <c r="N137" s="241">
        <v>698581</v>
      </c>
      <c r="O137" s="241" t="s">
        <v>796</v>
      </c>
      <c r="P137" s="241" t="s">
        <v>796</v>
      </c>
      <c r="Q137" s="241" t="s">
        <v>796</v>
      </c>
      <c r="R137" s="241" t="s">
        <v>796</v>
      </c>
      <c r="S137" s="241" t="s">
        <v>796</v>
      </c>
      <c r="T137" s="241" t="s">
        <v>796</v>
      </c>
      <c r="U137" s="241" t="s">
        <v>796</v>
      </c>
      <c r="V137" s="241" t="s">
        <v>796</v>
      </c>
      <c r="W137" s="242" t="s">
        <v>69</v>
      </c>
    </row>
    <row r="138" spans="1:23" s="241" customFormat="1" ht="9.75" customHeight="1" x14ac:dyDescent="0.15">
      <c r="A138" s="448" t="s">
        <v>571</v>
      </c>
      <c r="B138" s="241" t="s">
        <v>796</v>
      </c>
      <c r="C138" s="241" t="s">
        <v>796</v>
      </c>
      <c r="D138" s="241">
        <v>50901</v>
      </c>
      <c r="E138" s="241">
        <v>50901</v>
      </c>
      <c r="F138" s="241" t="s">
        <v>796</v>
      </c>
      <c r="G138" s="241" t="s">
        <v>796</v>
      </c>
      <c r="H138" s="241" t="s">
        <v>796</v>
      </c>
      <c r="I138" s="241">
        <v>1500</v>
      </c>
      <c r="J138" s="241">
        <v>1500</v>
      </c>
      <c r="K138" s="241">
        <v>3626</v>
      </c>
      <c r="L138" s="241">
        <v>3626</v>
      </c>
      <c r="M138" s="241">
        <v>3626</v>
      </c>
      <c r="N138" s="241">
        <v>778450</v>
      </c>
      <c r="O138" s="241">
        <v>41402</v>
      </c>
      <c r="P138" s="241">
        <v>41402</v>
      </c>
      <c r="Q138" s="241" t="s">
        <v>796</v>
      </c>
      <c r="R138" s="241" t="s">
        <v>796</v>
      </c>
      <c r="S138" s="241" t="s">
        <v>796</v>
      </c>
      <c r="T138" s="241" t="s">
        <v>796</v>
      </c>
      <c r="U138" s="241" t="s">
        <v>796</v>
      </c>
      <c r="V138" s="241" t="s">
        <v>796</v>
      </c>
      <c r="W138" s="242" t="s">
        <v>70</v>
      </c>
    </row>
    <row r="139" spans="1:23" s="241" customFormat="1" ht="9.75" customHeight="1" x14ac:dyDescent="0.15">
      <c r="A139" s="448" t="s">
        <v>572</v>
      </c>
      <c r="B139" s="241" t="s">
        <v>796</v>
      </c>
      <c r="C139" s="241" t="s">
        <v>796</v>
      </c>
      <c r="D139" s="241" t="s">
        <v>796</v>
      </c>
      <c r="E139" s="241" t="s">
        <v>796</v>
      </c>
      <c r="F139" s="241" t="s">
        <v>796</v>
      </c>
      <c r="G139" s="241" t="s">
        <v>796</v>
      </c>
      <c r="H139" s="241" t="s">
        <v>796</v>
      </c>
      <c r="I139" s="241">
        <v>870</v>
      </c>
      <c r="J139" s="241">
        <v>870</v>
      </c>
      <c r="K139" s="241">
        <v>10524</v>
      </c>
      <c r="L139" s="241">
        <v>10524</v>
      </c>
      <c r="M139" s="241">
        <v>10524</v>
      </c>
      <c r="N139" s="241">
        <v>726333</v>
      </c>
      <c r="O139" s="241" t="s">
        <v>796</v>
      </c>
      <c r="P139" s="241" t="s">
        <v>796</v>
      </c>
      <c r="Q139" s="241" t="s">
        <v>796</v>
      </c>
      <c r="R139" s="241" t="s">
        <v>796</v>
      </c>
      <c r="S139" s="241" t="s">
        <v>796</v>
      </c>
      <c r="T139" s="241" t="s">
        <v>796</v>
      </c>
      <c r="U139" s="241" t="s">
        <v>796</v>
      </c>
      <c r="V139" s="241" t="s">
        <v>796</v>
      </c>
      <c r="W139" s="242" t="s">
        <v>71</v>
      </c>
    </row>
    <row r="140" spans="1:23" s="241" customFormat="1" ht="9.75" customHeight="1" x14ac:dyDescent="0.15">
      <c r="A140" s="448" t="s">
        <v>841</v>
      </c>
      <c r="B140" s="241" t="s">
        <v>796</v>
      </c>
      <c r="C140" s="241" t="s">
        <v>796</v>
      </c>
      <c r="D140" s="241" t="s">
        <v>796</v>
      </c>
      <c r="E140" s="241" t="s">
        <v>796</v>
      </c>
      <c r="F140" s="241" t="s">
        <v>796</v>
      </c>
      <c r="G140" s="241" t="s">
        <v>796</v>
      </c>
      <c r="H140" s="241" t="s">
        <v>796</v>
      </c>
      <c r="I140" s="241">
        <v>846</v>
      </c>
      <c r="J140" s="241">
        <v>846</v>
      </c>
      <c r="K140" s="241">
        <v>5500</v>
      </c>
      <c r="L140" s="241">
        <v>5500</v>
      </c>
      <c r="M140" s="241">
        <v>5500</v>
      </c>
      <c r="N140" s="241">
        <v>643156</v>
      </c>
      <c r="O140" s="241" t="s">
        <v>796</v>
      </c>
      <c r="P140" s="241" t="s">
        <v>796</v>
      </c>
      <c r="Q140" s="241" t="s">
        <v>796</v>
      </c>
      <c r="R140" s="241" t="s">
        <v>796</v>
      </c>
      <c r="S140" s="241" t="s">
        <v>796</v>
      </c>
      <c r="T140" s="241" t="s">
        <v>796</v>
      </c>
      <c r="U140" s="241" t="s">
        <v>796</v>
      </c>
      <c r="V140" s="241" t="s">
        <v>796</v>
      </c>
      <c r="W140" s="242" t="s">
        <v>842</v>
      </c>
    </row>
    <row r="141" spans="1:23" s="241" customFormat="1" ht="9.75" customHeight="1" x14ac:dyDescent="0.15">
      <c r="A141" s="448" t="s">
        <v>573</v>
      </c>
      <c r="B141" s="241" t="s">
        <v>796</v>
      </c>
      <c r="C141" s="241" t="s">
        <v>796</v>
      </c>
      <c r="D141" s="241">
        <v>49900</v>
      </c>
      <c r="E141" s="241">
        <v>49900</v>
      </c>
      <c r="F141" s="241" t="s">
        <v>796</v>
      </c>
      <c r="G141" s="241" t="s">
        <v>796</v>
      </c>
      <c r="H141" s="241" t="s">
        <v>796</v>
      </c>
      <c r="I141" s="241">
        <v>828</v>
      </c>
      <c r="J141" s="241">
        <v>828</v>
      </c>
      <c r="K141" s="241" t="s">
        <v>796</v>
      </c>
      <c r="L141" s="241" t="s">
        <v>796</v>
      </c>
      <c r="M141" s="241" t="s">
        <v>796</v>
      </c>
      <c r="N141" s="241">
        <v>620497</v>
      </c>
      <c r="O141" s="241" t="s">
        <v>796</v>
      </c>
      <c r="P141" s="241" t="s">
        <v>796</v>
      </c>
      <c r="Q141" s="241" t="s">
        <v>796</v>
      </c>
      <c r="R141" s="241" t="s">
        <v>796</v>
      </c>
      <c r="S141" s="241" t="s">
        <v>796</v>
      </c>
      <c r="T141" s="241" t="s">
        <v>796</v>
      </c>
      <c r="U141" s="241" t="s">
        <v>796</v>
      </c>
      <c r="V141" s="241" t="s">
        <v>796</v>
      </c>
      <c r="W141" s="242" t="s">
        <v>66</v>
      </c>
    </row>
    <row r="142" spans="1:23" s="241" customFormat="1" ht="9.75" customHeight="1" x14ac:dyDescent="0.15">
      <c r="A142" s="795" t="s">
        <v>574</v>
      </c>
      <c r="B142" s="796" t="s">
        <v>796</v>
      </c>
      <c r="C142" s="797" t="s">
        <v>796</v>
      </c>
      <c r="D142" s="797" t="s">
        <v>796</v>
      </c>
      <c r="E142" s="797" t="s">
        <v>796</v>
      </c>
      <c r="F142" s="797" t="s">
        <v>796</v>
      </c>
      <c r="G142" s="797" t="s">
        <v>796</v>
      </c>
      <c r="H142" s="797" t="s">
        <v>796</v>
      </c>
      <c r="I142" s="797">
        <v>1000</v>
      </c>
      <c r="J142" s="797">
        <v>1000</v>
      </c>
      <c r="K142" s="797" t="s">
        <v>796</v>
      </c>
      <c r="L142" s="797" t="s">
        <v>796</v>
      </c>
      <c r="M142" s="797" t="s">
        <v>796</v>
      </c>
      <c r="N142" s="797">
        <v>706211</v>
      </c>
      <c r="O142" s="797" t="s">
        <v>796</v>
      </c>
      <c r="P142" s="797" t="s">
        <v>796</v>
      </c>
      <c r="Q142" s="797" t="s">
        <v>796</v>
      </c>
      <c r="R142" s="797" t="s">
        <v>796</v>
      </c>
      <c r="S142" s="797" t="s">
        <v>796</v>
      </c>
      <c r="T142" s="797" t="s">
        <v>796</v>
      </c>
      <c r="U142" s="797" t="s">
        <v>796</v>
      </c>
      <c r="V142" s="797" t="s">
        <v>796</v>
      </c>
      <c r="W142" s="798" t="s">
        <v>67</v>
      </c>
    </row>
    <row r="143" spans="1:23" ht="12" customHeight="1" x14ac:dyDescent="0.15"/>
    <row r="144" spans="1:23" ht="12" customHeight="1" x14ac:dyDescent="0.15"/>
    <row r="145" spans="1:23" ht="12" customHeight="1" x14ac:dyDescent="0.15">
      <c r="K145" s="246" t="s">
        <v>86</v>
      </c>
      <c r="V145" s="249" t="s">
        <v>924</v>
      </c>
    </row>
    <row r="146" spans="1:23" s="244" customFormat="1" ht="21" customHeight="1" x14ac:dyDescent="0.15">
      <c r="A146" s="1026" t="s">
        <v>153</v>
      </c>
      <c r="B146" s="799" t="s">
        <v>312</v>
      </c>
      <c r="C146" s="790"/>
      <c r="D146" s="790"/>
      <c r="E146" s="790"/>
      <c r="F146" s="790"/>
      <c r="G146" s="790"/>
      <c r="H146" s="790"/>
      <c r="I146" s="790"/>
      <c r="J146" s="790"/>
      <c r="K146" s="790"/>
      <c r="L146" s="790"/>
      <c r="M146" s="790"/>
      <c r="N146" s="790"/>
      <c r="O146" s="790"/>
      <c r="P146" s="790"/>
      <c r="Q146" s="788"/>
      <c r="R146" s="789" t="s">
        <v>274</v>
      </c>
      <c r="S146" s="790"/>
      <c r="T146" s="790"/>
      <c r="U146" s="790"/>
      <c r="V146" s="790"/>
      <c r="W146" s="1029" t="s">
        <v>72</v>
      </c>
    </row>
    <row r="147" spans="1:23" s="244" customFormat="1" ht="21" customHeight="1" x14ac:dyDescent="0.15">
      <c r="A147" s="1027"/>
      <c r="B147" s="802" t="s">
        <v>944</v>
      </c>
      <c r="C147" s="789" t="s">
        <v>237</v>
      </c>
      <c r="D147" s="790"/>
      <c r="E147" s="790"/>
      <c r="F147" s="788"/>
      <c r="G147" s="789" t="s">
        <v>236</v>
      </c>
      <c r="H147" s="788"/>
      <c r="I147" s="789" t="s">
        <v>221</v>
      </c>
      <c r="J147" s="788"/>
      <c r="K147" s="789" t="s">
        <v>220</v>
      </c>
      <c r="L147" s="790"/>
      <c r="M147" s="790"/>
      <c r="N147" s="790"/>
      <c r="O147" s="788"/>
      <c r="P147" s="789" t="s">
        <v>716</v>
      </c>
      <c r="Q147" s="788"/>
      <c r="R147" s="1032" t="s">
        <v>271</v>
      </c>
      <c r="S147" s="789" t="s">
        <v>244</v>
      </c>
      <c r="T147" s="790"/>
      <c r="U147" s="790"/>
      <c r="V147" s="790"/>
      <c r="W147" s="1030"/>
    </row>
    <row r="148" spans="1:23" s="244" customFormat="1" ht="52.5" customHeight="1" x14ac:dyDescent="0.15">
      <c r="A148" s="1028"/>
      <c r="B148" s="248" t="s">
        <v>922</v>
      </c>
      <c r="C148" s="530" t="s">
        <v>96</v>
      </c>
      <c r="D148" s="245" t="s">
        <v>252</v>
      </c>
      <c r="E148" s="245" t="s">
        <v>223</v>
      </c>
      <c r="F148" s="245" t="s">
        <v>935</v>
      </c>
      <c r="G148" s="530" t="s">
        <v>923</v>
      </c>
      <c r="H148" s="245" t="s">
        <v>294</v>
      </c>
      <c r="I148" s="530" t="s">
        <v>21</v>
      </c>
      <c r="J148" s="245" t="s">
        <v>945</v>
      </c>
      <c r="K148" s="530" t="s">
        <v>45</v>
      </c>
      <c r="L148" s="245" t="s">
        <v>215</v>
      </c>
      <c r="M148" s="245" t="s">
        <v>938</v>
      </c>
      <c r="N148" s="245" t="s">
        <v>310</v>
      </c>
      <c r="O148" s="248" t="s">
        <v>803</v>
      </c>
      <c r="P148" s="530" t="s">
        <v>292</v>
      </c>
      <c r="Q148" s="245" t="s">
        <v>291</v>
      </c>
      <c r="R148" s="1033"/>
      <c r="S148" s="530" t="s">
        <v>920</v>
      </c>
      <c r="T148" s="245" t="s">
        <v>235</v>
      </c>
      <c r="U148" s="245" t="s">
        <v>929</v>
      </c>
      <c r="V148" s="247" t="s">
        <v>233</v>
      </c>
      <c r="W148" s="1031"/>
    </row>
    <row r="149" spans="1:23" s="241" customFormat="1" ht="9.75" customHeight="1" x14ac:dyDescent="0.15">
      <c r="A149" s="645" t="s">
        <v>831</v>
      </c>
      <c r="B149" s="792">
        <v>129080</v>
      </c>
      <c r="C149" s="793">
        <v>747389</v>
      </c>
      <c r="D149" s="793" t="s">
        <v>796</v>
      </c>
      <c r="E149" s="793">
        <v>747389</v>
      </c>
      <c r="F149" s="793" t="s">
        <v>796</v>
      </c>
      <c r="G149" s="793" t="s">
        <v>796</v>
      </c>
      <c r="H149" s="793" t="s">
        <v>796</v>
      </c>
      <c r="I149" s="793" t="s">
        <v>796</v>
      </c>
      <c r="J149" s="793" t="s">
        <v>796</v>
      </c>
      <c r="K149" s="793">
        <v>215645</v>
      </c>
      <c r="L149" s="793">
        <v>153894</v>
      </c>
      <c r="M149" s="793" t="s">
        <v>796</v>
      </c>
      <c r="N149" s="793">
        <v>61751</v>
      </c>
      <c r="O149" s="793" t="s">
        <v>796</v>
      </c>
      <c r="P149" s="793">
        <v>3483001</v>
      </c>
      <c r="Q149" s="793">
        <v>3483001</v>
      </c>
      <c r="R149" s="793">
        <v>1313743</v>
      </c>
      <c r="S149" s="793">
        <v>1212529</v>
      </c>
      <c r="T149" s="793">
        <v>1167129</v>
      </c>
      <c r="U149" s="793" t="s">
        <v>796</v>
      </c>
      <c r="V149" s="793">
        <v>45400</v>
      </c>
      <c r="W149" s="794" t="s">
        <v>517</v>
      </c>
    </row>
    <row r="150" spans="1:23" s="241" customFormat="1" ht="9.75" customHeight="1" x14ac:dyDescent="0.15">
      <c r="A150" s="448" t="s">
        <v>557</v>
      </c>
      <c r="B150" s="241" t="s">
        <v>796</v>
      </c>
      <c r="C150" s="241">
        <v>542189</v>
      </c>
      <c r="D150" s="241" t="s">
        <v>796</v>
      </c>
      <c r="E150" s="241">
        <v>542189</v>
      </c>
      <c r="F150" s="241" t="s">
        <v>796</v>
      </c>
      <c r="G150" s="241" t="s">
        <v>796</v>
      </c>
      <c r="H150" s="241" t="s">
        <v>796</v>
      </c>
      <c r="I150" s="241">
        <v>22600</v>
      </c>
      <c r="J150" s="241">
        <v>22600</v>
      </c>
      <c r="K150" s="241">
        <v>144218</v>
      </c>
      <c r="L150" s="241">
        <v>105267</v>
      </c>
      <c r="M150" s="241" t="s">
        <v>796</v>
      </c>
      <c r="N150" s="241">
        <v>38951</v>
      </c>
      <c r="O150" s="241" t="s">
        <v>796</v>
      </c>
      <c r="P150" s="241">
        <v>3855913</v>
      </c>
      <c r="Q150" s="241">
        <v>3855913</v>
      </c>
      <c r="R150" s="241">
        <v>511923</v>
      </c>
      <c r="S150" s="241">
        <v>404064</v>
      </c>
      <c r="T150" s="241">
        <v>404064</v>
      </c>
      <c r="U150" s="241" t="s">
        <v>796</v>
      </c>
      <c r="V150" s="241" t="s">
        <v>796</v>
      </c>
      <c r="W150" s="242" t="s">
        <v>558</v>
      </c>
    </row>
    <row r="151" spans="1:23" s="241" customFormat="1" ht="9.75" customHeight="1" x14ac:dyDescent="0.15">
      <c r="A151" s="448" t="s">
        <v>682</v>
      </c>
      <c r="B151" s="241">
        <v>72400</v>
      </c>
      <c r="C151" s="241">
        <v>1166887</v>
      </c>
      <c r="D151" s="241">
        <v>11502</v>
      </c>
      <c r="E151" s="241">
        <v>1105400</v>
      </c>
      <c r="F151" s="241">
        <v>49985</v>
      </c>
      <c r="G151" s="241">
        <v>50000</v>
      </c>
      <c r="H151" s="241">
        <v>50000</v>
      </c>
      <c r="I151" s="241">
        <v>47468</v>
      </c>
      <c r="J151" s="241">
        <v>47468</v>
      </c>
      <c r="K151" s="241">
        <v>206364</v>
      </c>
      <c r="L151" s="241">
        <v>195656</v>
      </c>
      <c r="M151" s="241" t="s">
        <v>796</v>
      </c>
      <c r="N151" s="241">
        <v>10708</v>
      </c>
      <c r="O151" s="241" t="s">
        <v>796</v>
      </c>
      <c r="P151" s="241">
        <v>4687965</v>
      </c>
      <c r="Q151" s="241">
        <v>4687965</v>
      </c>
      <c r="R151" s="241">
        <v>1033947</v>
      </c>
      <c r="S151" s="241">
        <v>922070</v>
      </c>
      <c r="T151" s="241">
        <v>922070</v>
      </c>
      <c r="U151" s="241" t="s">
        <v>796</v>
      </c>
      <c r="V151" s="241" t="s">
        <v>796</v>
      </c>
      <c r="W151" s="242" t="s">
        <v>683</v>
      </c>
    </row>
    <row r="152" spans="1:23" s="241" customFormat="1" ht="9.75" customHeight="1" x14ac:dyDescent="0.15">
      <c r="A152" s="448" t="s">
        <v>784</v>
      </c>
      <c r="B152" s="241">
        <v>50050</v>
      </c>
      <c r="C152" s="241">
        <v>634998</v>
      </c>
      <c r="D152" s="241">
        <v>235250</v>
      </c>
      <c r="E152" s="241">
        <v>399748</v>
      </c>
      <c r="F152" s="241" t="s">
        <v>796</v>
      </c>
      <c r="G152" s="241">
        <v>141330</v>
      </c>
      <c r="H152" s="241">
        <v>141330</v>
      </c>
      <c r="I152" s="241" t="s">
        <v>796</v>
      </c>
      <c r="J152" s="241" t="s">
        <v>796</v>
      </c>
      <c r="K152" s="241">
        <v>23350</v>
      </c>
      <c r="L152" s="241" t="s">
        <v>796</v>
      </c>
      <c r="M152" s="241">
        <v>16680</v>
      </c>
      <c r="N152" s="241">
        <v>5399</v>
      </c>
      <c r="O152" s="241">
        <v>1271</v>
      </c>
      <c r="P152" s="574">
        <v>7028438</v>
      </c>
      <c r="Q152" s="574">
        <v>7028438</v>
      </c>
      <c r="R152" s="241">
        <v>1064996</v>
      </c>
      <c r="S152" s="241">
        <v>902374</v>
      </c>
      <c r="T152" s="241">
        <v>902374</v>
      </c>
      <c r="U152" s="241" t="s">
        <v>796</v>
      </c>
      <c r="V152" s="241" t="s">
        <v>796</v>
      </c>
      <c r="W152" s="242" t="s">
        <v>785</v>
      </c>
    </row>
    <row r="153" spans="1:23" s="241" customFormat="1" ht="9.75" customHeight="1" x14ac:dyDescent="0.15">
      <c r="A153" s="448" t="s">
        <v>832</v>
      </c>
      <c r="B153" s="241" t="s">
        <v>796</v>
      </c>
      <c r="C153" s="241" t="s">
        <v>796</v>
      </c>
      <c r="D153" s="241" t="s">
        <v>796</v>
      </c>
      <c r="E153" s="241" t="s">
        <v>796</v>
      </c>
      <c r="F153" s="241" t="s">
        <v>796</v>
      </c>
      <c r="G153" s="241" t="s">
        <v>796</v>
      </c>
      <c r="H153" s="241" t="s">
        <v>796</v>
      </c>
      <c r="I153" s="241" t="s">
        <v>796</v>
      </c>
      <c r="J153" s="241" t="s">
        <v>796</v>
      </c>
      <c r="K153" s="241" t="s">
        <v>796</v>
      </c>
      <c r="L153" s="241" t="s">
        <v>796</v>
      </c>
      <c r="M153" s="241" t="s">
        <v>796</v>
      </c>
      <c r="N153" s="241" t="s">
        <v>796</v>
      </c>
      <c r="O153" s="241" t="s">
        <v>796</v>
      </c>
      <c r="P153" s="241">
        <v>8237254</v>
      </c>
      <c r="Q153" s="241">
        <v>8237254</v>
      </c>
      <c r="R153" s="241">
        <v>968608</v>
      </c>
      <c r="S153" s="241">
        <v>917472</v>
      </c>
      <c r="T153" s="241">
        <v>735033</v>
      </c>
      <c r="U153" s="241">
        <v>182439</v>
      </c>
      <c r="V153" s="241" t="s">
        <v>796</v>
      </c>
      <c r="W153" s="242" t="s">
        <v>833</v>
      </c>
    </row>
    <row r="154" spans="1:23" s="241" customFormat="1" ht="6.75" customHeight="1" x14ac:dyDescent="0.15">
      <c r="A154" s="464"/>
      <c r="W154" s="242"/>
    </row>
    <row r="155" spans="1:23" s="241" customFormat="1" ht="9.75" customHeight="1" x14ac:dyDescent="0.15">
      <c r="A155" s="448" t="s">
        <v>834</v>
      </c>
      <c r="B155" s="241">
        <v>50050</v>
      </c>
      <c r="C155" s="241">
        <v>350292</v>
      </c>
      <c r="D155" s="241">
        <v>185324</v>
      </c>
      <c r="E155" s="241">
        <v>164968</v>
      </c>
      <c r="F155" s="241" t="s">
        <v>796</v>
      </c>
      <c r="G155" s="241">
        <v>141330</v>
      </c>
      <c r="H155" s="241">
        <v>141330</v>
      </c>
      <c r="I155" s="241" t="s">
        <v>796</v>
      </c>
      <c r="J155" s="241" t="s">
        <v>796</v>
      </c>
      <c r="K155" s="241">
        <v>23350</v>
      </c>
      <c r="L155" s="241" t="s">
        <v>796</v>
      </c>
      <c r="M155" s="241">
        <v>16680</v>
      </c>
      <c r="N155" s="241">
        <v>5399</v>
      </c>
      <c r="O155" s="241">
        <v>1271</v>
      </c>
      <c r="P155" s="241">
        <v>7450651</v>
      </c>
      <c r="Q155" s="241">
        <v>7450651</v>
      </c>
      <c r="R155" s="241">
        <v>818830</v>
      </c>
      <c r="S155" s="241">
        <v>702734</v>
      </c>
      <c r="T155" s="241">
        <v>702734</v>
      </c>
      <c r="U155" s="241" t="s">
        <v>796</v>
      </c>
      <c r="V155" s="241" t="s">
        <v>796</v>
      </c>
      <c r="W155" s="242" t="s">
        <v>786</v>
      </c>
    </row>
    <row r="156" spans="1:23" s="241" customFormat="1" ht="9.75" customHeight="1" x14ac:dyDescent="0.15">
      <c r="A156" s="448" t="s">
        <v>835</v>
      </c>
      <c r="B156" s="241" t="s">
        <v>796</v>
      </c>
      <c r="C156" s="241" t="s">
        <v>796</v>
      </c>
      <c r="D156" s="241" t="s">
        <v>796</v>
      </c>
      <c r="E156" s="241" t="s">
        <v>796</v>
      </c>
      <c r="F156" s="241" t="s">
        <v>796</v>
      </c>
      <c r="G156" s="241" t="s">
        <v>796</v>
      </c>
      <c r="H156" s="241" t="s">
        <v>796</v>
      </c>
      <c r="I156" s="241" t="s">
        <v>796</v>
      </c>
      <c r="J156" s="241" t="s">
        <v>796</v>
      </c>
      <c r="K156" s="241" t="s">
        <v>796</v>
      </c>
      <c r="L156" s="241" t="s">
        <v>796</v>
      </c>
      <c r="M156" s="241" t="s">
        <v>796</v>
      </c>
      <c r="N156" s="241" t="s">
        <v>796</v>
      </c>
      <c r="O156" s="241" t="s">
        <v>796</v>
      </c>
      <c r="P156" s="241">
        <v>8347416</v>
      </c>
      <c r="Q156" s="241">
        <v>8347416</v>
      </c>
      <c r="R156" s="241">
        <v>1021815</v>
      </c>
      <c r="S156" s="241">
        <v>970723</v>
      </c>
      <c r="T156" s="241">
        <v>788284</v>
      </c>
      <c r="U156" s="241">
        <v>182439</v>
      </c>
      <c r="V156" s="241" t="s">
        <v>796</v>
      </c>
      <c r="W156" s="242" t="s">
        <v>836</v>
      </c>
    </row>
    <row r="157" spans="1:23" s="241" customFormat="1" ht="6.75" customHeight="1" x14ac:dyDescent="0.15">
      <c r="A157" s="464"/>
      <c r="W157" s="242"/>
    </row>
    <row r="158" spans="1:23" s="241" customFormat="1" ht="9.75" customHeight="1" x14ac:dyDescent="0.15">
      <c r="A158" s="448" t="s">
        <v>837</v>
      </c>
      <c r="B158" s="241" t="s">
        <v>796</v>
      </c>
      <c r="C158" s="241" t="s">
        <v>796</v>
      </c>
      <c r="D158" s="241" t="s">
        <v>796</v>
      </c>
      <c r="E158" s="241" t="s">
        <v>796</v>
      </c>
      <c r="F158" s="241" t="s">
        <v>796</v>
      </c>
      <c r="G158" s="241" t="s">
        <v>796</v>
      </c>
      <c r="H158" s="241" t="s">
        <v>796</v>
      </c>
      <c r="I158" s="241" t="s">
        <v>796</v>
      </c>
      <c r="J158" s="241" t="s">
        <v>796</v>
      </c>
      <c r="K158" s="241" t="s">
        <v>796</v>
      </c>
      <c r="L158" s="241" t="s">
        <v>796</v>
      </c>
      <c r="M158" s="241" t="s">
        <v>796</v>
      </c>
      <c r="N158" s="241" t="s">
        <v>796</v>
      </c>
      <c r="O158" s="241" t="s">
        <v>796</v>
      </c>
      <c r="P158" s="241">
        <v>1859702</v>
      </c>
      <c r="Q158" s="241">
        <v>1859702</v>
      </c>
      <c r="R158" s="241">
        <v>44</v>
      </c>
      <c r="S158" s="241" t="s">
        <v>796</v>
      </c>
      <c r="T158" s="241" t="s">
        <v>796</v>
      </c>
      <c r="U158" s="241" t="s">
        <v>796</v>
      </c>
      <c r="V158" s="241" t="s">
        <v>796</v>
      </c>
      <c r="W158" s="242" t="s">
        <v>787</v>
      </c>
    </row>
    <row r="159" spans="1:23" s="241" customFormat="1" ht="9.75" customHeight="1" x14ac:dyDescent="0.15">
      <c r="A159" s="448" t="s">
        <v>559</v>
      </c>
      <c r="B159" s="241" t="s">
        <v>796</v>
      </c>
      <c r="C159" s="241" t="s">
        <v>796</v>
      </c>
      <c r="D159" s="241" t="s">
        <v>796</v>
      </c>
      <c r="E159" s="241" t="s">
        <v>796</v>
      </c>
      <c r="F159" s="241" t="s">
        <v>796</v>
      </c>
      <c r="G159" s="241" t="s">
        <v>796</v>
      </c>
      <c r="H159" s="241" t="s">
        <v>796</v>
      </c>
      <c r="I159" s="241" t="s">
        <v>796</v>
      </c>
      <c r="J159" s="241" t="s">
        <v>796</v>
      </c>
      <c r="K159" s="241" t="s">
        <v>796</v>
      </c>
      <c r="L159" s="241" t="s">
        <v>796</v>
      </c>
      <c r="M159" s="241" t="s">
        <v>796</v>
      </c>
      <c r="N159" s="241" t="s">
        <v>796</v>
      </c>
      <c r="O159" s="241" t="s">
        <v>796</v>
      </c>
      <c r="P159" s="241">
        <v>2082216</v>
      </c>
      <c r="Q159" s="241">
        <v>2082216</v>
      </c>
      <c r="R159" s="241">
        <v>220977</v>
      </c>
      <c r="S159" s="241">
        <v>188051</v>
      </c>
      <c r="T159" s="241">
        <v>188051</v>
      </c>
      <c r="U159" s="241" t="s">
        <v>796</v>
      </c>
      <c r="V159" s="241" t="s">
        <v>796</v>
      </c>
      <c r="W159" s="242" t="s">
        <v>78</v>
      </c>
    </row>
    <row r="160" spans="1:23" s="241" customFormat="1" ht="9.75" customHeight="1" x14ac:dyDescent="0.15">
      <c r="A160" s="448" t="s">
        <v>560</v>
      </c>
      <c r="B160" s="241" t="s">
        <v>796</v>
      </c>
      <c r="C160" s="241" t="s">
        <v>796</v>
      </c>
      <c r="D160" s="241" t="s">
        <v>796</v>
      </c>
      <c r="E160" s="241" t="s">
        <v>796</v>
      </c>
      <c r="F160" s="241" t="s">
        <v>796</v>
      </c>
      <c r="G160" s="241" t="s">
        <v>796</v>
      </c>
      <c r="H160" s="241" t="s">
        <v>796</v>
      </c>
      <c r="I160" s="241" t="s">
        <v>796</v>
      </c>
      <c r="J160" s="241" t="s">
        <v>796</v>
      </c>
      <c r="K160" s="241" t="s">
        <v>796</v>
      </c>
      <c r="L160" s="241" t="s">
        <v>796</v>
      </c>
      <c r="M160" s="241" t="s">
        <v>796</v>
      </c>
      <c r="N160" s="241" t="s">
        <v>796</v>
      </c>
      <c r="O160" s="241" t="s">
        <v>796</v>
      </c>
      <c r="P160" s="241">
        <v>2133374</v>
      </c>
      <c r="Q160" s="241">
        <v>2133374</v>
      </c>
      <c r="R160" s="241">
        <v>289403</v>
      </c>
      <c r="S160" s="241">
        <v>271253</v>
      </c>
      <c r="T160" s="241">
        <v>222822</v>
      </c>
      <c r="U160" s="241">
        <v>48431</v>
      </c>
      <c r="V160" s="241" t="s">
        <v>796</v>
      </c>
      <c r="W160" s="242" t="s">
        <v>79</v>
      </c>
    </row>
    <row r="161" spans="1:23" s="241" customFormat="1" ht="9.75" customHeight="1" x14ac:dyDescent="0.15">
      <c r="A161" s="448" t="s">
        <v>561</v>
      </c>
      <c r="B161" s="241" t="s">
        <v>796</v>
      </c>
      <c r="C161" s="241" t="s">
        <v>796</v>
      </c>
      <c r="D161" s="241" t="s">
        <v>796</v>
      </c>
      <c r="E161" s="241" t="s">
        <v>796</v>
      </c>
      <c r="F161" s="241" t="s">
        <v>796</v>
      </c>
      <c r="G161" s="241" t="s">
        <v>796</v>
      </c>
      <c r="H161" s="241" t="s">
        <v>796</v>
      </c>
      <c r="I161" s="241" t="s">
        <v>796</v>
      </c>
      <c r="J161" s="241" t="s">
        <v>796</v>
      </c>
      <c r="K161" s="241" t="s">
        <v>796</v>
      </c>
      <c r="L161" s="241" t="s">
        <v>796</v>
      </c>
      <c r="M161" s="241" t="s">
        <v>796</v>
      </c>
      <c r="N161" s="241" t="s">
        <v>796</v>
      </c>
      <c r="O161" s="241" t="s">
        <v>796</v>
      </c>
      <c r="P161" s="241">
        <v>2161962</v>
      </c>
      <c r="Q161" s="241">
        <v>2161962</v>
      </c>
      <c r="R161" s="241">
        <v>458184</v>
      </c>
      <c r="S161" s="241">
        <v>458168</v>
      </c>
      <c r="T161" s="241">
        <v>324160</v>
      </c>
      <c r="U161" s="241">
        <v>134008</v>
      </c>
      <c r="V161" s="241" t="s">
        <v>796</v>
      </c>
      <c r="W161" s="242" t="s">
        <v>80</v>
      </c>
    </row>
    <row r="162" spans="1:23" s="241" customFormat="1" ht="9.75" customHeight="1" x14ac:dyDescent="0.15">
      <c r="A162" s="448" t="s">
        <v>838</v>
      </c>
      <c r="B162" s="241" t="s">
        <v>796</v>
      </c>
      <c r="C162" s="241" t="s">
        <v>796</v>
      </c>
      <c r="D162" s="241" t="s">
        <v>796</v>
      </c>
      <c r="E162" s="241" t="s">
        <v>796</v>
      </c>
      <c r="F162" s="241" t="s">
        <v>796</v>
      </c>
      <c r="G162" s="241" t="s">
        <v>796</v>
      </c>
      <c r="H162" s="241" t="s">
        <v>796</v>
      </c>
      <c r="I162" s="241" t="s">
        <v>796</v>
      </c>
      <c r="J162" s="241" t="s">
        <v>796</v>
      </c>
      <c r="K162" s="241" t="s">
        <v>796</v>
      </c>
      <c r="L162" s="241" t="s">
        <v>796</v>
      </c>
      <c r="M162" s="241" t="s">
        <v>796</v>
      </c>
      <c r="N162" s="241" t="s">
        <v>796</v>
      </c>
      <c r="O162" s="241" t="s">
        <v>796</v>
      </c>
      <c r="P162" s="241">
        <v>1969864</v>
      </c>
      <c r="Q162" s="241">
        <v>1969864</v>
      </c>
      <c r="R162" s="241">
        <v>53251</v>
      </c>
      <c r="S162" s="241">
        <v>53251</v>
      </c>
      <c r="T162" s="241">
        <v>53251</v>
      </c>
      <c r="U162" s="241" t="s">
        <v>796</v>
      </c>
      <c r="V162" s="241" t="s">
        <v>796</v>
      </c>
      <c r="W162" s="242" t="s">
        <v>839</v>
      </c>
    </row>
    <row r="163" spans="1:23" s="241" customFormat="1" ht="6.75" customHeight="1" x14ac:dyDescent="0.15">
      <c r="A163" s="464"/>
      <c r="W163" s="242"/>
    </row>
    <row r="164" spans="1:23" s="241" customFormat="1" ht="9.75" customHeight="1" x14ac:dyDescent="0.15">
      <c r="A164" s="448" t="s">
        <v>840</v>
      </c>
      <c r="B164" s="241" t="s">
        <v>796</v>
      </c>
      <c r="C164" s="241" t="s">
        <v>796</v>
      </c>
      <c r="D164" s="241" t="s">
        <v>796</v>
      </c>
      <c r="E164" s="241" t="s">
        <v>796</v>
      </c>
      <c r="F164" s="241" t="s">
        <v>796</v>
      </c>
      <c r="G164" s="241" t="s">
        <v>796</v>
      </c>
      <c r="H164" s="241" t="s">
        <v>796</v>
      </c>
      <c r="I164" s="241" t="s">
        <v>796</v>
      </c>
      <c r="J164" s="241" t="s">
        <v>796</v>
      </c>
      <c r="K164" s="241" t="s">
        <v>796</v>
      </c>
      <c r="L164" s="241" t="s">
        <v>796</v>
      </c>
      <c r="M164" s="241" t="s">
        <v>796</v>
      </c>
      <c r="N164" s="241" t="s">
        <v>796</v>
      </c>
      <c r="O164" s="241" t="s">
        <v>796</v>
      </c>
      <c r="P164" s="241">
        <v>633647</v>
      </c>
      <c r="Q164" s="241">
        <v>633647</v>
      </c>
      <c r="R164" s="241">
        <v>20</v>
      </c>
      <c r="S164" s="241" t="s">
        <v>796</v>
      </c>
      <c r="T164" s="241" t="s">
        <v>796</v>
      </c>
      <c r="U164" s="241" t="s">
        <v>796</v>
      </c>
      <c r="V164" s="241" t="s">
        <v>796</v>
      </c>
      <c r="W164" s="242" t="s">
        <v>788</v>
      </c>
    </row>
    <row r="165" spans="1:23" s="241" customFormat="1" ht="9.75" customHeight="1" x14ac:dyDescent="0.15">
      <c r="A165" s="448" t="s">
        <v>562</v>
      </c>
      <c r="B165" s="241" t="s">
        <v>796</v>
      </c>
      <c r="C165" s="241" t="s">
        <v>796</v>
      </c>
      <c r="D165" s="241" t="s">
        <v>796</v>
      </c>
      <c r="E165" s="241" t="s">
        <v>796</v>
      </c>
      <c r="F165" s="241" t="s">
        <v>796</v>
      </c>
      <c r="G165" s="241" t="s">
        <v>796</v>
      </c>
      <c r="H165" s="241" t="s">
        <v>796</v>
      </c>
      <c r="I165" s="241" t="s">
        <v>796</v>
      </c>
      <c r="J165" s="241" t="s">
        <v>796</v>
      </c>
      <c r="K165" s="241" t="s">
        <v>796</v>
      </c>
      <c r="L165" s="241" t="s">
        <v>796</v>
      </c>
      <c r="M165" s="241" t="s">
        <v>796</v>
      </c>
      <c r="N165" s="241" t="s">
        <v>796</v>
      </c>
      <c r="O165" s="241" t="s">
        <v>796</v>
      </c>
      <c r="P165" s="241">
        <v>581056</v>
      </c>
      <c r="Q165" s="241">
        <v>581056</v>
      </c>
      <c r="R165" s="241">
        <v>16</v>
      </c>
      <c r="S165" s="241" t="s">
        <v>796</v>
      </c>
      <c r="T165" s="241" t="s">
        <v>796</v>
      </c>
      <c r="U165" s="241" t="s">
        <v>796</v>
      </c>
      <c r="V165" s="241" t="s">
        <v>796</v>
      </c>
      <c r="W165" s="242" t="s">
        <v>66</v>
      </c>
    </row>
    <row r="166" spans="1:23" s="241" customFormat="1" ht="9.75" customHeight="1" x14ac:dyDescent="0.15">
      <c r="A166" s="448" t="s">
        <v>563</v>
      </c>
      <c r="B166" s="241" t="s">
        <v>796</v>
      </c>
      <c r="C166" s="241" t="s">
        <v>796</v>
      </c>
      <c r="D166" s="241" t="s">
        <v>796</v>
      </c>
      <c r="E166" s="241" t="s">
        <v>796</v>
      </c>
      <c r="F166" s="241" t="s">
        <v>796</v>
      </c>
      <c r="G166" s="241" t="s">
        <v>796</v>
      </c>
      <c r="H166" s="241" t="s">
        <v>796</v>
      </c>
      <c r="I166" s="241" t="s">
        <v>796</v>
      </c>
      <c r="J166" s="241" t="s">
        <v>796</v>
      </c>
      <c r="K166" s="241" t="s">
        <v>796</v>
      </c>
      <c r="L166" s="241" t="s">
        <v>796</v>
      </c>
      <c r="M166" s="241" t="s">
        <v>796</v>
      </c>
      <c r="N166" s="241" t="s">
        <v>796</v>
      </c>
      <c r="O166" s="241" t="s">
        <v>796</v>
      </c>
      <c r="P166" s="241">
        <v>644999</v>
      </c>
      <c r="Q166" s="241">
        <v>644999</v>
      </c>
      <c r="R166" s="241">
        <v>8</v>
      </c>
      <c r="S166" s="241" t="s">
        <v>796</v>
      </c>
      <c r="T166" s="241" t="s">
        <v>796</v>
      </c>
      <c r="U166" s="241" t="s">
        <v>796</v>
      </c>
      <c r="V166" s="241" t="s">
        <v>796</v>
      </c>
      <c r="W166" s="242" t="s">
        <v>67</v>
      </c>
    </row>
    <row r="167" spans="1:23" s="241" customFormat="1" ht="9.75" customHeight="1" x14ac:dyDescent="0.15">
      <c r="A167" s="448" t="s">
        <v>564</v>
      </c>
      <c r="B167" s="241" t="s">
        <v>796</v>
      </c>
      <c r="C167" s="241" t="s">
        <v>796</v>
      </c>
      <c r="D167" s="241" t="s">
        <v>796</v>
      </c>
      <c r="E167" s="241" t="s">
        <v>796</v>
      </c>
      <c r="F167" s="241" t="s">
        <v>796</v>
      </c>
      <c r="G167" s="241" t="s">
        <v>796</v>
      </c>
      <c r="H167" s="241" t="s">
        <v>796</v>
      </c>
      <c r="I167" s="241" t="s">
        <v>796</v>
      </c>
      <c r="J167" s="241" t="s">
        <v>796</v>
      </c>
      <c r="K167" s="241" t="s">
        <v>796</v>
      </c>
      <c r="L167" s="241" t="s">
        <v>796</v>
      </c>
      <c r="M167" s="241" t="s">
        <v>796</v>
      </c>
      <c r="N167" s="241" t="s">
        <v>796</v>
      </c>
      <c r="O167" s="241" t="s">
        <v>796</v>
      </c>
      <c r="P167" s="241">
        <v>698706</v>
      </c>
      <c r="Q167" s="241">
        <v>698706</v>
      </c>
      <c r="R167" s="241">
        <v>62895</v>
      </c>
      <c r="S167" s="241">
        <v>62891</v>
      </c>
      <c r="T167" s="241">
        <v>62891</v>
      </c>
      <c r="U167" s="241" t="s">
        <v>796</v>
      </c>
      <c r="V167" s="241" t="s">
        <v>796</v>
      </c>
      <c r="W167" s="242" t="s">
        <v>68</v>
      </c>
    </row>
    <row r="168" spans="1:23" s="241" customFormat="1" ht="9.75" customHeight="1" x14ac:dyDescent="0.15">
      <c r="A168" s="448" t="s">
        <v>565</v>
      </c>
      <c r="B168" s="241" t="s">
        <v>796</v>
      </c>
      <c r="C168" s="241" t="s">
        <v>796</v>
      </c>
      <c r="D168" s="241" t="s">
        <v>796</v>
      </c>
      <c r="E168" s="241" t="s">
        <v>796</v>
      </c>
      <c r="F168" s="241" t="s">
        <v>796</v>
      </c>
      <c r="G168" s="241" t="s">
        <v>796</v>
      </c>
      <c r="H168" s="241" t="s">
        <v>796</v>
      </c>
      <c r="I168" s="241" t="s">
        <v>796</v>
      </c>
      <c r="J168" s="241" t="s">
        <v>796</v>
      </c>
      <c r="K168" s="241" t="s">
        <v>796</v>
      </c>
      <c r="L168" s="241" t="s">
        <v>796</v>
      </c>
      <c r="M168" s="241" t="s">
        <v>796</v>
      </c>
      <c r="N168" s="241" t="s">
        <v>796</v>
      </c>
      <c r="O168" s="241" t="s">
        <v>796</v>
      </c>
      <c r="P168" s="241">
        <v>708293</v>
      </c>
      <c r="Q168" s="241">
        <v>708293</v>
      </c>
      <c r="R168" s="241">
        <v>104572</v>
      </c>
      <c r="S168" s="241">
        <v>90240</v>
      </c>
      <c r="T168" s="241">
        <v>90240</v>
      </c>
      <c r="U168" s="241" t="s">
        <v>796</v>
      </c>
      <c r="V168" s="241" t="s">
        <v>796</v>
      </c>
      <c r="W168" s="242" t="s">
        <v>81</v>
      </c>
    </row>
    <row r="169" spans="1:23" s="241" customFormat="1" ht="9.75" customHeight="1" x14ac:dyDescent="0.15">
      <c r="A169" s="448" t="s">
        <v>566</v>
      </c>
      <c r="B169" s="241" t="s">
        <v>796</v>
      </c>
      <c r="C169" s="241" t="s">
        <v>796</v>
      </c>
      <c r="D169" s="241" t="s">
        <v>796</v>
      </c>
      <c r="E169" s="241" t="s">
        <v>796</v>
      </c>
      <c r="F169" s="241" t="s">
        <v>796</v>
      </c>
      <c r="G169" s="241" t="s">
        <v>796</v>
      </c>
      <c r="H169" s="241" t="s">
        <v>796</v>
      </c>
      <c r="I169" s="241" t="s">
        <v>796</v>
      </c>
      <c r="J169" s="241" t="s">
        <v>796</v>
      </c>
      <c r="K169" s="241" t="s">
        <v>796</v>
      </c>
      <c r="L169" s="241" t="s">
        <v>796</v>
      </c>
      <c r="M169" s="241" t="s">
        <v>796</v>
      </c>
      <c r="N169" s="241" t="s">
        <v>796</v>
      </c>
      <c r="O169" s="241" t="s">
        <v>796</v>
      </c>
      <c r="P169" s="241">
        <v>675217</v>
      </c>
      <c r="Q169" s="241">
        <v>675217</v>
      </c>
      <c r="R169" s="241">
        <v>53510</v>
      </c>
      <c r="S169" s="241">
        <v>34920</v>
      </c>
      <c r="T169" s="241">
        <v>34920</v>
      </c>
      <c r="U169" s="241" t="s">
        <v>796</v>
      </c>
      <c r="V169" s="241" t="s">
        <v>796</v>
      </c>
      <c r="W169" s="242" t="s">
        <v>82</v>
      </c>
    </row>
    <row r="170" spans="1:23" s="241" customFormat="1" ht="9.75" customHeight="1" x14ac:dyDescent="0.15">
      <c r="A170" s="448" t="s">
        <v>567</v>
      </c>
      <c r="B170" s="241" t="s">
        <v>796</v>
      </c>
      <c r="C170" s="241" t="s">
        <v>796</v>
      </c>
      <c r="D170" s="241" t="s">
        <v>796</v>
      </c>
      <c r="E170" s="241" t="s">
        <v>796</v>
      </c>
      <c r="F170" s="241" t="s">
        <v>796</v>
      </c>
      <c r="G170" s="241" t="s">
        <v>796</v>
      </c>
      <c r="H170" s="241" t="s">
        <v>796</v>
      </c>
      <c r="I170" s="241" t="s">
        <v>796</v>
      </c>
      <c r="J170" s="241" t="s">
        <v>796</v>
      </c>
      <c r="K170" s="241" t="s">
        <v>796</v>
      </c>
      <c r="L170" s="241" t="s">
        <v>796</v>
      </c>
      <c r="M170" s="241" t="s">
        <v>796</v>
      </c>
      <c r="N170" s="241" t="s">
        <v>796</v>
      </c>
      <c r="O170" s="241" t="s">
        <v>796</v>
      </c>
      <c r="P170" s="241">
        <v>698817</v>
      </c>
      <c r="Q170" s="241">
        <v>698817</v>
      </c>
      <c r="R170" s="241">
        <v>52800</v>
      </c>
      <c r="S170" s="241">
        <v>34650</v>
      </c>
      <c r="T170" s="241">
        <v>34650</v>
      </c>
      <c r="U170" s="241" t="s">
        <v>796</v>
      </c>
      <c r="V170" s="241" t="s">
        <v>796</v>
      </c>
      <c r="W170" s="242" t="s">
        <v>83</v>
      </c>
    </row>
    <row r="171" spans="1:23" s="241" customFormat="1" ht="9.75" customHeight="1" x14ac:dyDescent="0.15">
      <c r="A171" s="448" t="s">
        <v>568</v>
      </c>
      <c r="B171" s="241" t="s">
        <v>796</v>
      </c>
      <c r="C171" s="241" t="s">
        <v>796</v>
      </c>
      <c r="D171" s="241" t="s">
        <v>796</v>
      </c>
      <c r="E171" s="241" t="s">
        <v>796</v>
      </c>
      <c r="F171" s="241" t="s">
        <v>796</v>
      </c>
      <c r="G171" s="241" t="s">
        <v>796</v>
      </c>
      <c r="H171" s="241" t="s">
        <v>796</v>
      </c>
      <c r="I171" s="241" t="s">
        <v>796</v>
      </c>
      <c r="J171" s="241" t="s">
        <v>796</v>
      </c>
      <c r="K171" s="241" t="s">
        <v>796</v>
      </c>
      <c r="L171" s="241" t="s">
        <v>796</v>
      </c>
      <c r="M171" s="241" t="s">
        <v>796</v>
      </c>
      <c r="N171" s="241" t="s">
        <v>796</v>
      </c>
      <c r="O171" s="241" t="s">
        <v>796</v>
      </c>
      <c r="P171" s="241">
        <v>716646</v>
      </c>
      <c r="Q171" s="241">
        <v>716646</v>
      </c>
      <c r="R171" s="241">
        <v>129402</v>
      </c>
      <c r="S171" s="241">
        <v>129402</v>
      </c>
      <c r="T171" s="241">
        <v>80971</v>
      </c>
      <c r="U171" s="241">
        <v>48431</v>
      </c>
      <c r="V171" s="241" t="s">
        <v>796</v>
      </c>
      <c r="W171" s="242" t="s">
        <v>84</v>
      </c>
    </row>
    <row r="172" spans="1:23" s="241" customFormat="1" ht="9.75" customHeight="1" x14ac:dyDescent="0.15">
      <c r="A172" s="448" t="s">
        <v>569</v>
      </c>
      <c r="B172" s="241" t="s">
        <v>796</v>
      </c>
      <c r="C172" s="241" t="s">
        <v>796</v>
      </c>
      <c r="D172" s="241" t="s">
        <v>796</v>
      </c>
      <c r="E172" s="241" t="s">
        <v>796</v>
      </c>
      <c r="F172" s="241" t="s">
        <v>796</v>
      </c>
      <c r="G172" s="241" t="s">
        <v>796</v>
      </c>
      <c r="H172" s="241" t="s">
        <v>796</v>
      </c>
      <c r="I172" s="241" t="s">
        <v>796</v>
      </c>
      <c r="J172" s="241" t="s">
        <v>796</v>
      </c>
      <c r="K172" s="241" t="s">
        <v>796</v>
      </c>
      <c r="L172" s="241" t="s">
        <v>796</v>
      </c>
      <c r="M172" s="241" t="s">
        <v>796</v>
      </c>
      <c r="N172" s="241" t="s">
        <v>796</v>
      </c>
      <c r="O172" s="241" t="s">
        <v>796</v>
      </c>
      <c r="P172" s="241">
        <v>717911</v>
      </c>
      <c r="Q172" s="241">
        <v>717911</v>
      </c>
      <c r="R172" s="241">
        <v>107201</v>
      </c>
      <c r="S172" s="241">
        <v>107201</v>
      </c>
      <c r="T172" s="241">
        <v>107201</v>
      </c>
      <c r="U172" s="241" t="s">
        <v>796</v>
      </c>
      <c r="V172" s="241" t="s">
        <v>796</v>
      </c>
      <c r="W172" s="242" t="s">
        <v>85</v>
      </c>
    </row>
    <row r="173" spans="1:23" s="241" customFormat="1" ht="9.75" customHeight="1" x14ac:dyDescent="0.15">
      <c r="A173" s="448" t="s">
        <v>570</v>
      </c>
      <c r="B173" s="241" t="s">
        <v>796</v>
      </c>
      <c r="C173" s="241" t="s">
        <v>796</v>
      </c>
      <c r="D173" s="241" t="s">
        <v>796</v>
      </c>
      <c r="E173" s="241" t="s">
        <v>796</v>
      </c>
      <c r="F173" s="241" t="s">
        <v>796</v>
      </c>
      <c r="G173" s="241" t="s">
        <v>796</v>
      </c>
      <c r="H173" s="241" t="s">
        <v>796</v>
      </c>
      <c r="I173" s="241" t="s">
        <v>796</v>
      </c>
      <c r="J173" s="241" t="s">
        <v>796</v>
      </c>
      <c r="K173" s="241" t="s">
        <v>796</v>
      </c>
      <c r="L173" s="241" t="s">
        <v>796</v>
      </c>
      <c r="M173" s="241" t="s">
        <v>796</v>
      </c>
      <c r="N173" s="241" t="s">
        <v>796</v>
      </c>
      <c r="O173" s="241" t="s">
        <v>796</v>
      </c>
      <c r="P173" s="241">
        <v>698581</v>
      </c>
      <c r="Q173" s="241">
        <v>698581</v>
      </c>
      <c r="R173" s="241">
        <v>173966</v>
      </c>
      <c r="S173" s="241">
        <v>173958</v>
      </c>
      <c r="T173" s="241">
        <v>125440</v>
      </c>
      <c r="U173" s="241">
        <v>48518</v>
      </c>
      <c r="V173" s="241" t="s">
        <v>796</v>
      </c>
      <c r="W173" s="242" t="s">
        <v>69</v>
      </c>
    </row>
    <row r="174" spans="1:23" s="241" customFormat="1" ht="9.75" customHeight="1" x14ac:dyDescent="0.15">
      <c r="A174" s="448" t="s">
        <v>571</v>
      </c>
      <c r="B174" s="241" t="s">
        <v>796</v>
      </c>
      <c r="C174" s="241" t="s">
        <v>796</v>
      </c>
      <c r="D174" s="241" t="s">
        <v>796</v>
      </c>
      <c r="E174" s="241" t="s">
        <v>796</v>
      </c>
      <c r="F174" s="241" t="s">
        <v>796</v>
      </c>
      <c r="G174" s="241" t="s">
        <v>796</v>
      </c>
      <c r="H174" s="241" t="s">
        <v>796</v>
      </c>
      <c r="I174" s="241" t="s">
        <v>796</v>
      </c>
      <c r="J174" s="241" t="s">
        <v>796</v>
      </c>
      <c r="K174" s="241" t="s">
        <v>796</v>
      </c>
      <c r="L174" s="241" t="s">
        <v>796</v>
      </c>
      <c r="M174" s="241" t="s">
        <v>796</v>
      </c>
      <c r="N174" s="241" t="s">
        <v>796</v>
      </c>
      <c r="O174" s="241" t="s">
        <v>796</v>
      </c>
      <c r="P174" s="241">
        <v>737048</v>
      </c>
      <c r="Q174" s="241">
        <v>737048</v>
      </c>
      <c r="R174" s="241">
        <v>152403</v>
      </c>
      <c r="S174" s="241">
        <v>152395</v>
      </c>
      <c r="T174" s="241">
        <v>103900</v>
      </c>
      <c r="U174" s="241">
        <v>48495</v>
      </c>
      <c r="V174" s="241" t="s">
        <v>796</v>
      </c>
      <c r="W174" s="242" t="s">
        <v>70</v>
      </c>
    </row>
    <row r="175" spans="1:23" s="241" customFormat="1" ht="9.75" customHeight="1" x14ac:dyDescent="0.15">
      <c r="A175" s="448" t="s">
        <v>572</v>
      </c>
      <c r="B175" s="241" t="s">
        <v>796</v>
      </c>
      <c r="C175" s="241" t="s">
        <v>796</v>
      </c>
      <c r="D175" s="241" t="s">
        <v>796</v>
      </c>
      <c r="E175" s="241" t="s">
        <v>796</v>
      </c>
      <c r="F175" s="241" t="s">
        <v>796</v>
      </c>
      <c r="G175" s="241" t="s">
        <v>796</v>
      </c>
      <c r="H175" s="241" t="s">
        <v>796</v>
      </c>
      <c r="I175" s="241" t="s">
        <v>796</v>
      </c>
      <c r="J175" s="241" t="s">
        <v>796</v>
      </c>
      <c r="K175" s="241" t="s">
        <v>796</v>
      </c>
      <c r="L175" s="241" t="s">
        <v>796</v>
      </c>
      <c r="M175" s="241" t="s">
        <v>796</v>
      </c>
      <c r="N175" s="241" t="s">
        <v>796</v>
      </c>
      <c r="O175" s="241" t="s">
        <v>796</v>
      </c>
      <c r="P175" s="241">
        <v>726333</v>
      </c>
      <c r="Q175" s="241">
        <v>726333</v>
      </c>
      <c r="R175" s="241">
        <v>131815</v>
      </c>
      <c r="S175" s="241">
        <v>131815</v>
      </c>
      <c r="T175" s="241">
        <v>94820</v>
      </c>
      <c r="U175" s="241">
        <v>36995</v>
      </c>
      <c r="V175" s="241" t="s">
        <v>796</v>
      </c>
      <c r="W175" s="242" t="s">
        <v>71</v>
      </c>
    </row>
    <row r="176" spans="1:23" s="241" customFormat="1" ht="9.75" customHeight="1" x14ac:dyDescent="0.15">
      <c r="A176" s="448" t="s">
        <v>841</v>
      </c>
      <c r="B176" s="241" t="s">
        <v>796</v>
      </c>
      <c r="C176" s="241" t="s">
        <v>796</v>
      </c>
      <c r="D176" s="241" t="s">
        <v>796</v>
      </c>
      <c r="E176" s="241" t="s">
        <v>796</v>
      </c>
      <c r="F176" s="241" t="s">
        <v>796</v>
      </c>
      <c r="G176" s="241" t="s">
        <v>796</v>
      </c>
      <c r="H176" s="241" t="s">
        <v>796</v>
      </c>
      <c r="I176" s="241" t="s">
        <v>796</v>
      </c>
      <c r="J176" s="241" t="s">
        <v>796</v>
      </c>
      <c r="K176" s="241" t="s">
        <v>796</v>
      </c>
      <c r="L176" s="241" t="s">
        <v>796</v>
      </c>
      <c r="M176" s="241" t="s">
        <v>796</v>
      </c>
      <c r="N176" s="241" t="s">
        <v>796</v>
      </c>
      <c r="O176" s="241" t="s">
        <v>796</v>
      </c>
      <c r="P176" s="241">
        <v>643156</v>
      </c>
      <c r="Q176" s="241">
        <v>643156</v>
      </c>
      <c r="R176" s="241" t="s">
        <v>796</v>
      </c>
      <c r="S176" s="241" t="s">
        <v>796</v>
      </c>
      <c r="T176" s="241" t="s">
        <v>796</v>
      </c>
      <c r="U176" s="241" t="s">
        <v>796</v>
      </c>
      <c r="V176" s="241" t="s">
        <v>796</v>
      </c>
      <c r="W176" s="242" t="s">
        <v>842</v>
      </c>
    </row>
    <row r="177" spans="1:23" s="241" customFormat="1" ht="9.75" customHeight="1" x14ac:dyDescent="0.15">
      <c r="A177" s="448" t="s">
        <v>573</v>
      </c>
      <c r="B177" s="241" t="s">
        <v>796</v>
      </c>
      <c r="C177" s="241" t="s">
        <v>796</v>
      </c>
      <c r="D177" s="241" t="s">
        <v>796</v>
      </c>
      <c r="E177" s="241" t="s">
        <v>796</v>
      </c>
      <c r="F177" s="241" t="s">
        <v>796</v>
      </c>
      <c r="G177" s="241" t="s">
        <v>796</v>
      </c>
      <c r="H177" s="241" t="s">
        <v>796</v>
      </c>
      <c r="I177" s="241" t="s">
        <v>796</v>
      </c>
      <c r="J177" s="241" t="s">
        <v>796</v>
      </c>
      <c r="K177" s="241" t="s">
        <v>796</v>
      </c>
      <c r="L177" s="241" t="s">
        <v>796</v>
      </c>
      <c r="M177" s="241" t="s">
        <v>796</v>
      </c>
      <c r="N177" s="241" t="s">
        <v>796</v>
      </c>
      <c r="O177" s="241" t="s">
        <v>796</v>
      </c>
      <c r="P177" s="241">
        <v>620497</v>
      </c>
      <c r="Q177" s="241">
        <v>620497</v>
      </c>
      <c r="R177" s="241">
        <v>20000</v>
      </c>
      <c r="S177" s="241">
        <v>20000</v>
      </c>
      <c r="T177" s="241">
        <v>20000</v>
      </c>
      <c r="U177" s="241" t="s">
        <v>796</v>
      </c>
      <c r="V177" s="241" t="s">
        <v>796</v>
      </c>
      <c r="W177" s="242" t="s">
        <v>66</v>
      </c>
    </row>
    <row r="178" spans="1:23" s="241" customFormat="1" ht="9.75" customHeight="1" x14ac:dyDescent="0.15">
      <c r="A178" s="795" t="s">
        <v>574</v>
      </c>
      <c r="B178" s="796" t="s">
        <v>796</v>
      </c>
      <c r="C178" s="797" t="s">
        <v>796</v>
      </c>
      <c r="D178" s="797" t="s">
        <v>796</v>
      </c>
      <c r="E178" s="797" t="s">
        <v>796</v>
      </c>
      <c r="F178" s="797" t="s">
        <v>796</v>
      </c>
      <c r="G178" s="797" t="s">
        <v>796</v>
      </c>
      <c r="H178" s="797" t="s">
        <v>796</v>
      </c>
      <c r="I178" s="797" t="s">
        <v>796</v>
      </c>
      <c r="J178" s="797" t="s">
        <v>796</v>
      </c>
      <c r="K178" s="797" t="s">
        <v>796</v>
      </c>
      <c r="L178" s="797" t="s">
        <v>796</v>
      </c>
      <c r="M178" s="797" t="s">
        <v>796</v>
      </c>
      <c r="N178" s="797" t="s">
        <v>796</v>
      </c>
      <c r="O178" s="797" t="s">
        <v>796</v>
      </c>
      <c r="P178" s="797">
        <v>706211</v>
      </c>
      <c r="Q178" s="797">
        <v>706211</v>
      </c>
      <c r="R178" s="797">
        <v>33251</v>
      </c>
      <c r="S178" s="797">
        <v>33251</v>
      </c>
      <c r="T178" s="797">
        <v>33251</v>
      </c>
      <c r="U178" s="797" t="s">
        <v>796</v>
      </c>
      <c r="V178" s="797" t="s">
        <v>796</v>
      </c>
      <c r="W178" s="798" t="s">
        <v>67</v>
      </c>
    </row>
    <row r="179" spans="1:23" ht="12" customHeight="1" x14ac:dyDescent="0.15"/>
    <row r="180" spans="1:23" ht="12" customHeight="1" x14ac:dyDescent="0.15"/>
    <row r="181" spans="1:23" ht="12" customHeight="1" x14ac:dyDescent="0.15">
      <c r="K181" s="246" t="s">
        <v>86</v>
      </c>
    </row>
    <row r="182" spans="1:23" s="244" customFormat="1" ht="21" customHeight="1" x14ac:dyDescent="0.15">
      <c r="A182" s="1026" t="s">
        <v>153</v>
      </c>
      <c r="B182" s="799" t="s">
        <v>946</v>
      </c>
      <c r="C182" s="790"/>
      <c r="D182" s="790"/>
      <c r="E182" s="788"/>
      <c r="F182" s="789" t="s">
        <v>270</v>
      </c>
      <c r="G182" s="790"/>
      <c r="H182" s="790"/>
      <c r="I182" s="790"/>
      <c r="J182" s="790"/>
      <c r="K182" s="790"/>
      <c r="L182" s="790"/>
      <c r="M182" s="790"/>
      <c r="N182" s="790"/>
      <c r="O182" s="790"/>
      <c r="P182" s="790"/>
      <c r="Q182" s="790"/>
      <c r="R182" s="790"/>
      <c r="S182" s="790"/>
      <c r="T182" s="790"/>
      <c r="U182" s="790"/>
      <c r="V182" s="790"/>
      <c r="W182" s="1029" t="s">
        <v>72</v>
      </c>
    </row>
    <row r="183" spans="1:23" s="244" customFormat="1" ht="21" customHeight="1" x14ac:dyDescent="0.15">
      <c r="A183" s="1027"/>
      <c r="B183" s="789" t="s">
        <v>237</v>
      </c>
      <c r="C183" s="788"/>
      <c r="D183" s="789" t="s">
        <v>716</v>
      </c>
      <c r="E183" s="788"/>
      <c r="F183" s="1032" t="s">
        <v>268</v>
      </c>
      <c r="G183" s="789" t="s">
        <v>244</v>
      </c>
      <c r="H183" s="790"/>
      <c r="I183" s="790"/>
      <c r="J183" s="790"/>
      <c r="K183" s="790"/>
      <c r="L183" s="790"/>
      <c r="M183" s="790"/>
      <c r="N183" s="790"/>
      <c r="O183" s="790"/>
      <c r="P183" s="790"/>
      <c r="Q183" s="790"/>
      <c r="R183" s="788"/>
      <c r="S183" s="789" t="s">
        <v>238</v>
      </c>
      <c r="T183" s="790"/>
      <c r="U183" s="788"/>
      <c r="V183" s="789" t="s">
        <v>237</v>
      </c>
      <c r="W183" s="1030"/>
    </row>
    <row r="184" spans="1:23" s="244" customFormat="1" ht="52.5" customHeight="1" x14ac:dyDescent="0.15">
      <c r="A184" s="1028"/>
      <c r="B184" s="530" t="s">
        <v>96</v>
      </c>
      <c r="C184" s="245" t="s">
        <v>223</v>
      </c>
      <c r="D184" s="530" t="s">
        <v>292</v>
      </c>
      <c r="E184" s="245" t="s">
        <v>308</v>
      </c>
      <c r="F184" s="1033"/>
      <c r="G184" s="530" t="s">
        <v>920</v>
      </c>
      <c r="H184" s="245" t="s">
        <v>235</v>
      </c>
      <c r="I184" s="245" t="s">
        <v>929</v>
      </c>
      <c r="J184" s="245" t="s">
        <v>250</v>
      </c>
      <c r="K184" s="245" t="s">
        <v>256</v>
      </c>
      <c r="L184" s="245" t="s">
        <v>301</v>
      </c>
      <c r="M184" s="245" t="s">
        <v>255</v>
      </c>
      <c r="N184" s="245" t="s">
        <v>234</v>
      </c>
      <c r="O184" s="245" t="s">
        <v>233</v>
      </c>
      <c r="P184" s="245" t="s">
        <v>282</v>
      </c>
      <c r="Q184" s="245" t="s">
        <v>231</v>
      </c>
      <c r="R184" s="245" t="s">
        <v>279</v>
      </c>
      <c r="S184" s="530" t="s">
        <v>94</v>
      </c>
      <c r="T184" s="248" t="s">
        <v>922</v>
      </c>
      <c r="U184" s="245" t="s">
        <v>227</v>
      </c>
      <c r="V184" s="791" t="s">
        <v>96</v>
      </c>
      <c r="W184" s="1031"/>
    </row>
    <row r="185" spans="1:23" s="241" customFormat="1" ht="9.75" customHeight="1" x14ac:dyDescent="0.15">
      <c r="A185" s="645" t="s">
        <v>831</v>
      </c>
      <c r="B185" s="792">
        <v>101086</v>
      </c>
      <c r="C185" s="793">
        <v>101086</v>
      </c>
      <c r="D185" s="793">
        <v>128</v>
      </c>
      <c r="E185" s="793">
        <v>128</v>
      </c>
      <c r="F185" s="793">
        <v>3962210</v>
      </c>
      <c r="G185" s="793">
        <v>1543658</v>
      </c>
      <c r="H185" s="793">
        <v>801737</v>
      </c>
      <c r="I185" s="793">
        <v>76201</v>
      </c>
      <c r="J185" s="793">
        <v>50000</v>
      </c>
      <c r="K185" s="793">
        <v>127841</v>
      </c>
      <c r="L185" s="793" t="s">
        <v>796</v>
      </c>
      <c r="M185" s="793">
        <v>43901</v>
      </c>
      <c r="N185" s="793">
        <v>85370</v>
      </c>
      <c r="O185" s="793">
        <v>195030</v>
      </c>
      <c r="P185" s="793">
        <v>89701</v>
      </c>
      <c r="Q185" s="793" t="s">
        <v>796</v>
      </c>
      <c r="R185" s="793">
        <v>73877</v>
      </c>
      <c r="S185" s="793">
        <v>119888</v>
      </c>
      <c r="T185" s="793">
        <v>119888</v>
      </c>
      <c r="U185" s="793" t="s">
        <v>796</v>
      </c>
      <c r="V185" s="793">
        <v>12680</v>
      </c>
      <c r="W185" s="794" t="s">
        <v>517</v>
      </c>
    </row>
    <row r="186" spans="1:23" s="241" customFormat="1" ht="9.75" customHeight="1" x14ac:dyDescent="0.15">
      <c r="A186" s="448" t="s">
        <v>557</v>
      </c>
      <c r="B186" s="241">
        <v>107739</v>
      </c>
      <c r="C186" s="241">
        <v>107739</v>
      </c>
      <c r="D186" s="241">
        <v>120</v>
      </c>
      <c r="E186" s="241">
        <v>120</v>
      </c>
      <c r="F186" s="241">
        <v>4886875</v>
      </c>
      <c r="G186" s="241">
        <v>1645849</v>
      </c>
      <c r="H186" s="241">
        <v>645041</v>
      </c>
      <c r="I186" s="241">
        <v>113318</v>
      </c>
      <c r="J186" s="241" t="s">
        <v>796</v>
      </c>
      <c r="K186" s="241">
        <v>133072</v>
      </c>
      <c r="L186" s="241" t="s">
        <v>796</v>
      </c>
      <c r="M186" s="241" t="s">
        <v>796</v>
      </c>
      <c r="N186" s="241">
        <v>147880</v>
      </c>
      <c r="O186" s="241">
        <v>102330</v>
      </c>
      <c r="P186" s="241">
        <v>405831</v>
      </c>
      <c r="Q186" s="241" t="s">
        <v>796</v>
      </c>
      <c r="R186" s="241">
        <v>98377</v>
      </c>
      <c r="S186" s="241" t="s">
        <v>796</v>
      </c>
      <c r="T186" s="241" t="s">
        <v>796</v>
      </c>
      <c r="U186" s="241" t="s">
        <v>796</v>
      </c>
      <c r="V186" s="241">
        <v>100285</v>
      </c>
      <c r="W186" s="242" t="s">
        <v>558</v>
      </c>
    </row>
    <row r="187" spans="1:23" s="241" customFormat="1" ht="9.75" customHeight="1" x14ac:dyDescent="0.15">
      <c r="A187" s="448" t="s">
        <v>682</v>
      </c>
      <c r="B187" s="241">
        <v>111755</v>
      </c>
      <c r="C187" s="241">
        <v>111755</v>
      </c>
      <c r="D187" s="241">
        <v>122</v>
      </c>
      <c r="E187" s="241">
        <v>122</v>
      </c>
      <c r="F187" s="241">
        <v>7805554</v>
      </c>
      <c r="G187" s="241">
        <v>2660425</v>
      </c>
      <c r="H187" s="241">
        <v>285920</v>
      </c>
      <c r="I187" s="241" t="s">
        <v>796</v>
      </c>
      <c r="J187" s="241" t="s">
        <v>796</v>
      </c>
      <c r="K187" s="241">
        <v>37295</v>
      </c>
      <c r="L187" s="241" t="s">
        <v>796</v>
      </c>
      <c r="M187" s="241">
        <v>97751</v>
      </c>
      <c r="N187" s="241">
        <v>441006</v>
      </c>
      <c r="O187" s="241">
        <v>66632</v>
      </c>
      <c r="P187" s="241">
        <v>1218656</v>
      </c>
      <c r="Q187" s="241">
        <v>1697</v>
      </c>
      <c r="R187" s="241">
        <v>511468</v>
      </c>
      <c r="S187" s="241">
        <v>123708</v>
      </c>
      <c r="T187" s="241" t="s">
        <v>796</v>
      </c>
      <c r="U187" s="241">
        <v>123708</v>
      </c>
      <c r="V187" s="241">
        <v>436912</v>
      </c>
      <c r="W187" s="242" t="s">
        <v>683</v>
      </c>
    </row>
    <row r="188" spans="1:23" s="241" customFormat="1" ht="9.75" customHeight="1" x14ac:dyDescent="0.15">
      <c r="A188" s="448" t="s">
        <v>784</v>
      </c>
      <c r="B188" s="241">
        <v>162478</v>
      </c>
      <c r="C188" s="241">
        <v>162478</v>
      </c>
      <c r="D188" s="241">
        <v>144</v>
      </c>
      <c r="E188" s="241">
        <v>144</v>
      </c>
      <c r="F188" s="241">
        <v>6222490</v>
      </c>
      <c r="G188" s="241">
        <v>1745718</v>
      </c>
      <c r="H188" s="241">
        <v>429441</v>
      </c>
      <c r="I188" s="241" t="s">
        <v>796</v>
      </c>
      <c r="J188" s="241" t="s">
        <v>796</v>
      </c>
      <c r="K188" s="241">
        <v>119949</v>
      </c>
      <c r="L188" s="241" t="s">
        <v>796</v>
      </c>
      <c r="M188" s="241" t="s">
        <v>796</v>
      </c>
      <c r="N188" s="241">
        <v>163504</v>
      </c>
      <c r="O188" s="241">
        <v>124801</v>
      </c>
      <c r="P188" s="241">
        <v>593025</v>
      </c>
      <c r="Q188" s="241">
        <v>1697</v>
      </c>
      <c r="R188" s="241">
        <v>313301</v>
      </c>
      <c r="S188" s="241" t="s">
        <v>796</v>
      </c>
      <c r="T188" s="241" t="s">
        <v>796</v>
      </c>
      <c r="U188" s="241" t="s">
        <v>796</v>
      </c>
      <c r="V188" s="241">
        <v>629356</v>
      </c>
      <c r="W188" s="242" t="s">
        <v>785</v>
      </c>
    </row>
    <row r="189" spans="1:23" s="241" customFormat="1" ht="9.75" customHeight="1" x14ac:dyDescent="0.15">
      <c r="A189" s="448" t="s">
        <v>832</v>
      </c>
      <c r="B189" s="241">
        <v>51070</v>
      </c>
      <c r="C189" s="241">
        <v>51070</v>
      </c>
      <c r="D189" s="241">
        <v>66</v>
      </c>
      <c r="E189" s="241">
        <v>66</v>
      </c>
      <c r="F189" s="241">
        <v>4966476</v>
      </c>
      <c r="G189" s="241">
        <v>2107398</v>
      </c>
      <c r="H189" s="241">
        <v>879767</v>
      </c>
      <c r="I189" s="241">
        <v>164085</v>
      </c>
      <c r="J189" s="241" t="s">
        <v>796</v>
      </c>
      <c r="K189" s="241">
        <v>92934</v>
      </c>
      <c r="L189" s="241">
        <v>41457</v>
      </c>
      <c r="M189" s="241" t="s">
        <v>796</v>
      </c>
      <c r="N189" s="241">
        <v>25313</v>
      </c>
      <c r="O189" s="241" t="s">
        <v>796</v>
      </c>
      <c r="P189" s="241">
        <v>664530</v>
      </c>
      <c r="Q189" s="241" t="s">
        <v>796</v>
      </c>
      <c r="R189" s="241">
        <v>239312</v>
      </c>
      <c r="S189" s="241" t="s">
        <v>796</v>
      </c>
      <c r="T189" s="241" t="s">
        <v>796</v>
      </c>
      <c r="U189" s="241" t="s">
        <v>796</v>
      </c>
      <c r="V189" s="241" t="s">
        <v>796</v>
      </c>
      <c r="W189" s="242" t="s">
        <v>833</v>
      </c>
    </row>
    <row r="190" spans="1:23" s="241" customFormat="1" ht="6.75" customHeight="1" x14ac:dyDescent="0.15">
      <c r="A190" s="464"/>
      <c r="W190" s="242"/>
    </row>
    <row r="191" spans="1:23" s="241" customFormat="1" ht="9.75" customHeight="1" x14ac:dyDescent="0.15">
      <c r="A191" s="448" t="s">
        <v>834</v>
      </c>
      <c r="B191" s="241">
        <v>115978</v>
      </c>
      <c r="C191" s="241">
        <v>115978</v>
      </c>
      <c r="D191" s="241">
        <v>118</v>
      </c>
      <c r="E191" s="241">
        <v>118</v>
      </c>
      <c r="F191" s="241">
        <v>5530672</v>
      </c>
      <c r="G191" s="241">
        <v>1776533</v>
      </c>
      <c r="H191" s="241">
        <v>419677</v>
      </c>
      <c r="I191" s="241">
        <v>99415</v>
      </c>
      <c r="J191" s="241" t="s">
        <v>796</v>
      </c>
      <c r="K191" s="241">
        <v>139994</v>
      </c>
      <c r="L191" s="241" t="s">
        <v>796</v>
      </c>
      <c r="M191" s="241" t="s">
        <v>796</v>
      </c>
      <c r="N191" s="241">
        <v>20500</v>
      </c>
      <c r="O191" s="241">
        <v>124801</v>
      </c>
      <c r="P191" s="241">
        <v>689157</v>
      </c>
      <c r="Q191" s="241">
        <v>1697</v>
      </c>
      <c r="R191" s="241">
        <v>281292</v>
      </c>
      <c r="S191" s="241" t="s">
        <v>796</v>
      </c>
      <c r="T191" s="241" t="s">
        <v>796</v>
      </c>
      <c r="U191" s="241" t="s">
        <v>796</v>
      </c>
      <c r="V191" s="241">
        <v>259335</v>
      </c>
      <c r="W191" s="242" t="s">
        <v>786</v>
      </c>
    </row>
    <row r="192" spans="1:23" s="241" customFormat="1" ht="9.75" customHeight="1" x14ac:dyDescent="0.15">
      <c r="A192" s="448" t="s">
        <v>835</v>
      </c>
      <c r="B192" s="241">
        <v>51070</v>
      </c>
      <c r="C192" s="241">
        <v>51070</v>
      </c>
      <c r="D192" s="241">
        <v>22</v>
      </c>
      <c r="E192" s="241">
        <v>22</v>
      </c>
      <c r="F192" s="241">
        <v>4621754</v>
      </c>
      <c r="G192" s="241">
        <v>2127608</v>
      </c>
      <c r="H192" s="241">
        <v>870864</v>
      </c>
      <c r="I192" s="241">
        <v>64670</v>
      </c>
      <c r="J192" s="241" t="s">
        <v>796</v>
      </c>
      <c r="K192" s="241">
        <v>138733</v>
      </c>
      <c r="L192" s="241">
        <v>108049</v>
      </c>
      <c r="M192" s="241" t="s">
        <v>796</v>
      </c>
      <c r="N192" s="241">
        <v>73164</v>
      </c>
      <c r="O192" s="241" t="s">
        <v>796</v>
      </c>
      <c r="P192" s="241">
        <v>637252</v>
      </c>
      <c r="Q192" s="241" t="s">
        <v>796</v>
      </c>
      <c r="R192" s="241">
        <v>234876</v>
      </c>
      <c r="S192" s="241" t="s">
        <v>796</v>
      </c>
      <c r="T192" s="241" t="s">
        <v>796</v>
      </c>
      <c r="U192" s="241" t="s">
        <v>796</v>
      </c>
      <c r="V192" s="241">
        <v>13348</v>
      </c>
      <c r="W192" s="242" t="s">
        <v>836</v>
      </c>
    </row>
    <row r="193" spans="1:23" s="241" customFormat="1" ht="6.75" customHeight="1" x14ac:dyDescent="0.15">
      <c r="A193" s="464"/>
      <c r="W193" s="242"/>
    </row>
    <row r="194" spans="1:23" s="241" customFormat="1" ht="9.75" customHeight="1" x14ac:dyDescent="0.15">
      <c r="A194" s="448" t="s">
        <v>837</v>
      </c>
      <c r="B194" s="241" t="s">
        <v>796</v>
      </c>
      <c r="C194" s="241" t="s">
        <v>796</v>
      </c>
      <c r="D194" s="241">
        <v>44</v>
      </c>
      <c r="E194" s="241">
        <v>44</v>
      </c>
      <c r="F194" s="241">
        <v>1483533</v>
      </c>
      <c r="G194" s="241">
        <v>577329</v>
      </c>
      <c r="H194" s="241">
        <v>89221</v>
      </c>
      <c r="I194" s="241">
        <v>99415</v>
      </c>
      <c r="J194" s="241" t="s">
        <v>796</v>
      </c>
      <c r="K194" s="241">
        <v>48801</v>
      </c>
      <c r="L194" s="241" t="s">
        <v>796</v>
      </c>
      <c r="M194" s="241" t="s">
        <v>796</v>
      </c>
      <c r="N194" s="241" t="s">
        <v>796</v>
      </c>
      <c r="O194" s="241" t="s">
        <v>796</v>
      </c>
      <c r="P194" s="241">
        <v>239901</v>
      </c>
      <c r="Q194" s="241" t="s">
        <v>796</v>
      </c>
      <c r="R194" s="241">
        <v>99991</v>
      </c>
      <c r="S194" s="241" t="s">
        <v>796</v>
      </c>
      <c r="T194" s="241" t="s">
        <v>796</v>
      </c>
      <c r="U194" s="241" t="s">
        <v>796</v>
      </c>
      <c r="V194" s="241" t="s">
        <v>796</v>
      </c>
      <c r="W194" s="242" t="s">
        <v>787</v>
      </c>
    </row>
    <row r="195" spans="1:23" s="241" customFormat="1" ht="9.75" customHeight="1" x14ac:dyDescent="0.15">
      <c r="A195" s="448" t="s">
        <v>559</v>
      </c>
      <c r="B195" s="241">
        <v>32920</v>
      </c>
      <c r="C195" s="241">
        <v>32920</v>
      </c>
      <c r="D195" s="241">
        <v>6</v>
      </c>
      <c r="E195" s="241">
        <v>6</v>
      </c>
      <c r="F195" s="241">
        <v>973799</v>
      </c>
      <c r="G195" s="241">
        <v>351613</v>
      </c>
      <c r="H195" s="241">
        <v>153427</v>
      </c>
      <c r="I195" s="241">
        <v>16910</v>
      </c>
      <c r="J195" s="241" t="s">
        <v>796</v>
      </c>
      <c r="K195" s="241" t="s">
        <v>796</v>
      </c>
      <c r="L195" s="241">
        <v>31300</v>
      </c>
      <c r="M195" s="241" t="s">
        <v>796</v>
      </c>
      <c r="N195" s="241">
        <v>25313</v>
      </c>
      <c r="O195" s="241" t="s">
        <v>796</v>
      </c>
      <c r="P195" s="241">
        <v>74683</v>
      </c>
      <c r="Q195" s="241" t="s">
        <v>796</v>
      </c>
      <c r="R195" s="241">
        <v>49980</v>
      </c>
      <c r="S195" s="241" t="s">
        <v>796</v>
      </c>
      <c r="T195" s="241" t="s">
        <v>796</v>
      </c>
      <c r="U195" s="241" t="s">
        <v>796</v>
      </c>
      <c r="V195" s="241" t="s">
        <v>796</v>
      </c>
      <c r="W195" s="242" t="s">
        <v>78</v>
      </c>
    </row>
    <row r="196" spans="1:23" s="241" customFormat="1" ht="9.75" customHeight="1" x14ac:dyDescent="0.15">
      <c r="A196" s="448" t="s">
        <v>560</v>
      </c>
      <c r="B196" s="241">
        <v>18150</v>
      </c>
      <c r="C196" s="241">
        <v>18150</v>
      </c>
      <c r="D196" s="241" t="s">
        <v>796</v>
      </c>
      <c r="E196" s="241" t="s">
        <v>796</v>
      </c>
      <c r="F196" s="241">
        <v>1134911</v>
      </c>
      <c r="G196" s="241">
        <v>539777</v>
      </c>
      <c r="H196" s="241">
        <v>492017</v>
      </c>
      <c r="I196" s="241">
        <v>47760</v>
      </c>
      <c r="J196" s="241" t="s">
        <v>796</v>
      </c>
      <c r="K196" s="241" t="s">
        <v>796</v>
      </c>
      <c r="L196" s="241" t="s">
        <v>796</v>
      </c>
      <c r="M196" s="241" t="s">
        <v>796</v>
      </c>
      <c r="N196" s="241" t="s">
        <v>796</v>
      </c>
      <c r="O196" s="241" t="s">
        <v>796</v>
      </c>
      <c r="P196" s="241" t="s">
        <v>796</v>
      </c>
      <c r="Q196" s="241" t="s">
        <v>796</v>
      </c>
      <c r="R196" s="241" t="s">
        <v>796</v>
      </c>
      <c r="S196" s="241" t="s">
        <v>796</v>
      </c>
      <c r="T196" s="241" t="s">
        <v>796</v>
      </c>
      <c r="U196" s="241" t="s">
        <v>796</v>
      </c>
      <c r="V196" s="241" t="s">
        <v>796</v>
      </c>
      <c r="W196" s="242" t="s">
        <v>79</v>
      </c>
    </row>
    <row r="197" spans="1:23" s="241" customFormat="1" ht="9.75" customHeight="1" x14ac:dyDescent="0.15">
      <c r="A197" s="448" t="s">
        <v>561</v>
      </c>
      <c r="B197" s="241" t="s">
        <v>796</v>
      </c>
      <c r="C197" s="241" t="s">
        <v>796</v>
      </c>
      <c r="D197" s="241">
        <v>16</v>
      </c>
      <c r="E197" s="241">
        <v>16</v>
      </c>
      <c r="F197" s="241">
        <v>1374233</v>
      </c>
      <c r="G197" s="241">
        <v>638679</v>
      </c>
      <c r="H197" s="241">
        <v>145102</v>
      </c>
      <c r="I197" s="241" t="s">
        <v>796</v>
      </c>
      <c r="J197" s="241" t="s">
        <v>796</v>
      </c>
      <c r="K197" s="241">
        <v>44133</v>
      </c>
      <c r="L197" s="241">
        <v>10157</v>
      </c>
      <c r="M197" s="241" t="s">
        <v>796</v>
      </c>
      <c r="N197" s="241" t="s">
        <v>796</v>
      </c>
      <c r="O197" s="241" t="s">
        <v>796</v>
      </c>
      <c r="P197" s="241">
        <v>349946</v>
      </c>
      <c r="Q197" s="241" t="s">
        <v>796</v>
      </c>
      <c r="R197" s="241">
        <v>89341</v>
      </c>
      <c r="S197" s="241" t="s">
        <v>796</v>
      </c>
      <c r="T197" s="241" t="s">
        <v>796</v>
      </c>
      <c r="U197" s="241" t="s">
        <v>796</v>
      </c>
      <c r="V197" s="241" t="s">
        <v>796</v>
      </c>
      <c r="W197" s="242" t="s">
        <v>80</v>
      </c>
    </row>
    <row r="198" spans="1:23" s="241" customFormat="1" ht="9.75" customHeight="1" x14ac:dyDescent="0.15">
      <c r="A198" s="448" t="s">
        <v>838</v>
      </c>
      <c r="B198" s="241" t="s">
        <v>796</v>
      </c>
      <c r="C198" s="241" t="s">
        <v>796</v>
      </c>
      <c r="D198" s="241" t="s">
        <v>796</v>
      </c>
      <c r="E198" s="241" t="s">
        <v>796</v>
      </c>
      <c r="F198" s="241">
        <v>1138811</v>
      </c>
      <c r="G198" s="241">
        <v>597539</v>
      </c>
      <c r="H198" s="241">
        <v>80318</v>
      </c>
      <c r="I198" s="241" t="s">
        <v>796</v>
      </c>
      <c r="J198" s="241" t="s">
        <v>796</v>
      </c>
      <c r="K198" s="241">
        <v>94600</v>
      </c>
      <c r="L198" s="241">
        <v>66592</v>
      </c>
      <c r="M198" s="241" t="s">
        <v>796</v>
      </c>
      <c r="N198" s="241">
        <v>47851</v>
      </c>
      <c r="O198" s="241" t="s">
        <v>796</v>
      </c>
      <c r="P198" s="241">
        <v>212623</v>
      </c>
      <c r="Q198" s="241" t="s">
        <v>796</v>
      </c>
      <c r="R198" s="241">
        <v>95555</v>
      </c>
      <c r="S198" s="241" t="s">
        <v>796</v>
      </c>
      <c r="T198" s="241" t="s">
        <v>796</v>
      </c>
      <c r="U198" s="241" t="s">
        <v>796</v>
      </c>
      <c r="V198" s="241">
        <v>13348</v>
      </c>
      <c r="W198" s="242" t="s">
        <v>839</v>
      </c>
    </row>
    <row r="199" spans="1:23" s="241" customFormat="1" ht="6.75" customHeight="1" x14ac:dyDescent="0.15">
      <c r="A199" s="464"/>
      <c r="W199" s="242"/>
    </row>
    <row r="200" spans="1:23" s="241" customFormat="1" ht="9.75" customHeight="1" x14ac:dyDescent="0.15">
      <c r="A200" s="448" t="s">
        <v>840</v>
      </c>
      <c r="B200" s="241" t="s">
        <v>796</v>
      </c>
      <c r="C200" s="241" t="s">
        <v>796</v>
      </c>
      <c r="D200" s="241">
        <v>20</v>
      </c>
      <c r="E200" s="241">
        <v>20</v>
      </c>
      <c r="F200" s="241">
        <v>427080</v>
      </c>
      <c r="G200" s="241">
        <v>161925</v>
      </c>
      <c r="H200" s="241">
        <v>61924</v>
      </c>
      <c r="I200" s="241" t="s">
        <v>796</v>
      </c>
      <c r="J200" s="241" t="s">
        <v>796</v>
      </c>
      <c r="K200" s="241" t="s">
        <v>796</v>
      </c>
      <c r="L200" s="241" t="s">
        <v>796</v>
      </c>
      <c r="M200" s="241" t="s">
        <v>796</v>
      </c>
      <c r="N200" s="241" t="s">
        <v>796</v>
      </c>
      <c r="O200" s="241" t="s">
        <v>796</v>
      </c>
      <c r="P200" s="241">
        <v>50010</v>
      </c>
      <c r="Q200" s="241" t="s">
        <v>796</v>
      </c>
      <c r="R200" s="241">
        <v>49991</v>
      </c>
      <c r="S200" s="241" t="s">
        <v>796</v>
      </c>
      <c r="T200" s="241" t="s">
        <v>796</v>
      </c>
      <c r="U200" s="241" t="s">
        <v>796</v>
      </c>
      <c r="V200" s="241" t="s">
        <v>796</v>
      </c>
      <c r="W200" s="242" t="s">
        <v>788</v>
      </c>
    </row>
    <row r="201" spans="1:23" s="241" customFormat="1" ht="9.75" customHeight="1" x14ac:dyDescent="0.15">
      <c r="A201" s="448" t="s">
        <v>562</v>
      </c>
      <c r="B201" s="241" t="s">
        <v>796</v>
      </c>
      <c r="C201" s="241" t="s">
        <v>796</v>
      </c>
      <c r="D201" s="241">
        <v>16</v>
      </c>
      <c r="E201" s="241">
        <v>16</v>
      </c>
      <c r="F201" s="241">
        <v>360946</v>
      </c>
      <c r="G201" s="241">
        <v>49301</v>
      </c>
      <c r="H201" s="241" t="s">
        <v>796</v>
      </c>
      <c r="I201" s="241" t="s">
        <v>796</v>
      </c>
      <c r="J201" s="241" t="s">
        <v>796</v>
      </c>
      <c r="K201" s="241" t="s">
        <v>796</v>
      </c>
      <c r="L201" s="241" t="s">
        <v>796</v>
      </c>
      <c r="M201" s="241" t="s">
        <v>796</v>
      </c>
      <c r="N201" s="241" t="s">
        <v>796</v>
      </c>
      <c r="O201" s="241" t="s">
        <v>796</v>
      </c>
      <c r="P201" s="241">
        <v>49301</v>
      </c>
      <c r="Q201" s="241" t="s">
        <v>796</v>
      </c>
      <c r="R201" s="241" t="s">
        <v>796</v>
      </c>
      <c r="S201" s="241" t="s">
        <v>796</v>
      </c>
      <c r="T201" s="241" t="s">
        <v>796</v>
      </c>
      <c r="U201" s="241" t="s">
        <v>796</v>
      </c>
      <c r="V201" s="241" t="s">
        <v>796</v>
      </c>
      <c r="W201" s="242" t="s">
        <v>66</v>
      </c>
    </row>
    <row r="202" spans="1:23" s="241" customFormat="1" ht="9.75" customHeight="1" x14ac:dyDescent="0.15">
      <c r="A202" s="448" t="s">
        <v>563</v>
      </c>
      <c r="B202" s="241" t="s">
        <v>796</v>
      </c>
      <c r="C202" s="241" t="s">
        <v>796</v>
      </c>
      <c r="D202" s="241">
        <v>8</v>
      </c>
      <c r="E202" s="241">
        <v>8</v>
      </c>
      <c r="F202" s="241">
        <v>695507</v>
      </c>
      <c r="G202" s="241">
        <v>366103</v>
      </c>
      <c r="H202" s="241">
        <v>27297</v>
      </c>
      <c r="I202" s="241">
        <v>99415</v>
      </c>
      <c r="J202" s="241" t="s">
        <v>796</v>
      </c>
      <c r="K202" s="241">
        <v>48801</v>
      </c>
      <c r="L202" s="241" t="s">
        <v>796</v>
      </c>
      <c r="M202" s="241" t="s">
        <v>796</v>
      </c>
      <c r="N202" s="241" t="s">
        <v>796</v>
      </c>
      <c r="O202" s="241" t="s">
        <v>796</v>
      </c>
      <c r="P202" s="241">
        <v>140590</v>
      </c>
      <c r="Q202" s="241" t="s">
        <v>796</v>
      </c>
      <c r="R202" s="241">
        <v>50000</v>
      </c>
      <c r="S202" s="241" t="s">
        <v>796</v>
      </c>
      <c r="T202" s="241" t="s">
        <v>796</v>
      </c>
      <c r="U202" s="241" t="s">
        <v>796</v>
      </c>
      <c r="V202" s="241" t="s">
        <v>796</v>
      </c>
      <c r="W202" s="242" t="s">
        <v>67</v>
      </c>
    </row>
    <row r="203" spans="1:23" s="241" customFormat="1" ht="9.75" customHeight="1" x14ac:dyDescent="0.15">
      <c r="A203" s="448" t="s">
        <v>564</v>
      </c>
      <c r="B203" s="241" t="s">
        <v>796</v>
      </c>
      <c r="C203" s="241" t="s">
        <v>796</v>
      </c>
      <c r="D203" s="241">
        <v>4</v>
      </c>
      <c r="E203" s="241">
        <v>4</v>
      </c>
      <c r="F203" s="241">
        <v>217835</v>
      </c>
      <c r="G203" s="241">
        <v>69964</v>
      </c>
      <c r="H203" s="241">
        <v>19970</v>
      </c>
      <c r="I203" s="241" t="s">
        <v>796</v>
      </c>
      <c r="J203" s="241" t="s">
        <v>796</v>
      </c>
      <c r="K203" s="241" t="s">
        <v>796</v>
      </c>
      <c r="L203" s="241" t="s">
        <v>796</v>
      </c>
      <c r="M203" s="241" t="s">
        <v>796</v>
      </c>
      <c r="N203" s="241" t="s">
        <v>796</v>
      </c>
      <c r="O203" s="241" t="s">
        <v>796</v>
      </c>
      <c r="P203" s="241">
        <v>49994</v>
      </c>
      <c r="Q203" s="241" t="s">
        <v>796</v>
      </c>
      <c r="R203" s="241" t="s">
        <v>796</v>
      </c>
      <c r="S203" s="241" t="s">
        <v>796</v>
      </c>
      <c r="T203" s="241" t="s">
        <v>796</v>
      </c>
      <c r="U203" s="241" t="s">
        <v>796</v>
      </c>
      <c r="V203" s="241" t="s">
        <v>796</v>
      </c>
      <c r="W203" s="242" t="s">
        <v>68</v>
      </c>
    </row>
    <row r="204" spans="1:23" s="241" customFormat="1" ht="9.75" customHeight="1" x14ac:dyDescent="0.15">
      <c r="A204" s="448" t="s">
        <v>565</v>
      </c>
      <c r="B204" s="241">
        <v>14330</v>
      </c>
      <c r="C204" s="241">
        <v>14330</v>
      </c>
      <c r="D204" s="241">
        <v>2</v>
      </c>
      <c r="E204" s="241">
        <v>2</v>
      </c>
      <c r="F204" s="241">
        <v>287002</v>
      </c>
      <c r="G204" s="241">
        <v>89980</v>
      </c>
      <c r="H204" s="241">
        <v>40000</v>
      </c>
      <c r="I204" s="241" t="s">
        <v>796</v>
      </c>
      <c r="J204" s="241" t="s">
        <v>796</v>
      </c>
      <c r="K204" s="241" t="s">
        <v>796</v>
      </c>
      <c r="L204" s="241" t="s">
        <v>796</v>
      </c>
      <c r="M204" s="241" t="s">
        <v>796</v>
      </c>
      <c r="N204" s="241" t="s">
        <v>796</v>
      </c>
      <c r="O204" s="241" t="s">
        <v>796</v>
      </c>
      <c r="P204" s="241" t="s">
        <v>796</v>
      </c>
      <c r="Q204" s="241" t="s">
        <v>796</v>
      </c>
      <c r="R204" s="241">
        <v>49980</v>
      </c>
      <c r="S204" s="241" t="s">
        <v>796</v>
      </c>
      <c r="T204" s="241" t="s">
        <v>796</v>
      </c>
      <c r="U204" s="241" t="s">
        <v>796</v>
      </c>
      <c r="V204" s="241" t="s">
        <v>796</v>
      </c>
      <c r="W204" s="242" t="s">
        <v>81</v>
      </c>
    </row>
    <row r="205" spans="1:23" s="241" customFormat="1" ht="9.75" customHeight="1" x14ac:dyDescent="0.15">
      <c r="A205" s="448" t="s">
        <v>566</v>
      </c>
      <c r="B205" s="241">
        <v>18590</v>
      </c>
      <c r="C205" s="241">
        <v>18590</v>
      </c>
      <c r="D205" s="241" t="s">
        <v>796</v>
      </c>
      <c r="E205" s="241" t="s">
        <v>796</v>
      </c>
      <c r="F205" s="241">
        <v>468962</v>
      </c>
      <c r="G205" s="241">
        <v>191669</v>
      </c>
      <c r="H205" s="241">
        <v>93457</v>
      </c>
      <c r="I205" s="241">
        <v>16910</v>
      </c>
      <c r="J205" s="241" t="s">
        <v>796</v>
      </c>
      <c r="K205" s="241" t="s">
        <v>796</v>
      </c>
      <c r="L205" s="241">
        <v>31300</v>
      </c>
      <c r="M205" s="241" t="s">
        <v>796</v>
      </c>
      <c r="N205" s="241">
        <v>25313</v>
      </c>
      <c r="O205" s="241" t="s">
        <v>796</v>
      </c>
      <c r="P205" s="241">
        <v>24689</v>
      </c>
      <c r="Q205" s="241" t="s">
        <v>796</v>
      </c>
      <c r="R205" s="241" t="s">
        <v>796</v>
      </c>
      <c r="S205" s="241" t="s">
        <v>796</v>
      </c>
      <c r="T205" s="241" t="s">
        <v>796</v>
      </c>
      <c r="U205" s="241" t="s">
        <v>796</v>
      </c>
      <c r="V205" s="241" t="s">
        <v>796</v>
      </c>
      <c r="W205" s="242" t="s">
        <v>82</v>
      </c>
    </row>
    <row r="206" spans="1:23" s="241" customFormat="1" ht="9.75" customHeight="1" x14ac:dyDescent="0.15">
      <c r="A206" s="448" t="s">
        <v>567</v>
      </c>
      <c r="B206" s="241">
        <v>18150</v>
      </c>
      <c r="C206" s="241">
        <v>18150</v>
      </c>
      <c r="D206" s="241" t="s">
        <v>796</v>
      </c>
      <c r="E206" s="241" t="s">
        <v>796</v>
      </c>
      <c r="F206" s="241">
        <v>355231</v>
      </c>
      <c r="G206" s="241">
        <v>160520</v>
      </c>
      <c r="H206" s="241">
        <v>112760</v>
      </c>
      <c r="I206" s="241">
        <v>47760</v>
      </c>
      <c r="J206" s="241" t="s">
        <v>796</v>
      </c>
      <c r="K206" s="241" t="s">
        <v>796</v>
      </c>
      <c r="L206" s="241" t="s">
        <v>796</v>
      </c>
      <c r="M206" s="241" t="s">
        <v>796</v>
      </c>
      <c r="N206" s="241" t="s">
        <v>796</v>
      </c>
      <c r="O206" s="241" t="s">
        <v>796</v>
      </c>
      <c r="P206" s="241" t="s">
        <v>796</v>
      </c>
      <c r="Q206" s="241" t="s">
        <v>796</v>
      </c>
      <c r="R206" s="241" t="s">
        <v>796</v>
      </c>
      <c r="S206" s="241" t="s">
        <v>796</v>
      </c>
      <c r="T206" s="241" t="s">
        <v>796</v>
      </c>
      <c r="U206" s="241" t="s">
        <v>796</v>
      </c>
      <c r="V206" s="241" t="s">
        <v>796</v>
      </c>
      <c r="W206" s="242" t="s">
        <v>83</v>
      </c>
    </row>
    <row r="207" spans="1:23" s="241" customFormat="1" ht="9.75" customHeight="1" x14ac:dyDescent="0.15">
      <c r="A207" s="448" t="s">
        <v>568</v>
      </c>
      <c r="B207" s="241" t="s">
        <v>796</v>
      </c>
      <c r="C207" s="241" t="s">
        <v>796</v>
      </c>
      <c r="D207" s="241" t="s">
        <v>796</v>
      </c>
      <c r="E207" s="241" t="s">
        <v>796</v>
      </c>
      <c r="F207" s="241">
        <v>353310</v>
      </c>
      <c r="G207" s="241">
        <v>256792</v>
      </c>
      <c r="H207" s="241">
        <v>256792</v>
      </c>
      <c r="I207" s="241" t="s">
        <v>796</v>
      </c>
      <c r="J207" s="241" t="s">
        <v>796</v>
      </c>
      <c r="K207" s="241" t="s">
        <v>796</v>
      </c>
      <c r="L207" s="241" t="s">
        <v>796</v>
      </c>
      <c r="M207" s="241" t="s">
        <v>796</v>
      </c>
      <c r="N207" s="241" t="s">
        <v>796</v>
      </c>
      <c r="O207" s="241" t="s">
        <v>796</v>
      </c>
      <c r="P207" s="241" t="s">
        <v>796</v>
      </c>
      <c r="Q207" s="241" t="s">
        <v>796</v>
      </c>
      <c r="R207" s="241" t="s">
        <v>796</v>
      </c>
      <c r="S207" s="241" t="s">
        <v>796</v>
      </c>
      <c r="T207" s="241" t="s">
        <v>796</v>
      </c>
      <c r="U207" s="241" t="s">
        <v>796</v>
      </c>
      <c r="V207" s="241" t="s">
        <v>796</v>
      </c>
      <c r="W207" s="242" t="s">
        <v>84</v>
      </c>
    </row>
    <row r="208" spans="1:23" s="241" customFormat="1" ht="9.75" customHeight="1" x14ac:dyDescent="0.15">
      <c r="A208" s="448" t="s">
        <v>569</v>
      </c>
      <c r="B208" s="241" t="s">
        <v>796</v>
      </c>
      <c r="C208" s="241" t="s">
        <v>796</v>
      </c>
      <c r="D208" s="241" t="s">
        <v>796</v>
      </c>
      <c r="E208" s="241" t="s">
        <v>796</v>
      </c>
      <c r="F208" s="241">
        <v>426370</v>
      </c>
      <c r="G208" s="241">
        <v>122465</v>
      </c>
      <c r="H208" s="241">
        <v>122465</v>
      </c>
      <c r="I208" s="241" t="s">
        <v>796</v>
      </c>
      <c r="J208" s="241" t="s">
        <v>796</v>
      </c>
      <c r="K208" s="241" t="s">
        <v>796</v>
      </c>
      <c r="L208" s="241" t="s">
        <v>796</v>
      </c>
      <c r="M208" s="241" t="s">
        <v>796</v>
      </c>
      <c r="N208" s="241" t="s">
        <v>796</v>
      </c>
      <c r="O208" s="241" t="s">
        <v>796</v>
      </c>
      <c r="P208" s="241" t="s">
        <v>796</v>
      </c>
      <c r="Q208" s="241" t="s">
        <v>796</v>
      </c>
      <c r="R208" s="241" t="s">
        <v>796</v>
      </c>
      <c r="S208" s="241" t="s">
        <v>796</v>
      </c>
      <c r="T208" s="241" t="s">
        <v>796</v>
      </c>
      <c r="U208" s="241" t="s">
        <v>796</v>
      </c>
      <c r="V208" s="241" t="s">
        <v>796</v>
      </c>
      <c r="W208" s="242" t="s">
        <v>85</v>
      </c>
    </row>
    <row r="209" spans="1:23" s="241" customFormat="1" ht="9.75" customHeight="1" x14ac:dyDescent="0.15">
      <c r="A209" s="448" t="s">
        <v>570</v>
      </c>
      <c r="B209" s="241" t="s">
        <v>796</v>
      </c>
      <c r="C209" s="241" t="s">
        <v>796</v>
      </c>
      <c r="D209" s="241">
        <v>8</v>
      </c>
      <c r="E209" s="241">
        <v>8</v>
      </c>
      <c r="F209" s="241">
        <v>372712</v>
      </c>
      <c r="G209" s="241">
        <v>80406</v>
      </c>
      <c r="H209" s="241">
        <v>58105</v>
      </c>
      <c r="I209" s="241" t="s">
        <v>796</v>
      </c>
      <c r="J209" s="241" t="s">
        <v>796</v>
      </c>
      <c r="K209" s="241" t="s">
        <v>796</v>
      </c>
      <c r="L209" s="241" t="s">
        <v>796</v>
      </c>
      <c r="M209" s="241" t="s">
        <v>796</v>
      </c>
      <c r="N209" s="241" t="s">
        <v>796</v>
      </c>
      <c r="O209" s="241" t="s">
        <v>796</v>
      </c>
      <c r="P209" s="241">
        <v>22301</v>
      </c>
      <c r="Q209" s="241" t="s">
        <v>796</v>
      </c>
      <c r="R209" s="241" t="s">
        <v>796</v>
      </c>
      <c r="S209" s="241" t="s">
        <v>796</v>
      </c>
      <c r="T209" s="241" t="s">
        <v>796</v>
      </c>
      <c r="U209" s="241" t="s">
        <v>796</v>
      </c>
      <c r="V209" s="241" t="s">
        <v>796</v>
      </c>
      <c r="W209" s="242" t="s">
        <v>69</v>
      </c>
    </row>
    <row r="210" spans="1:23" s="241" customFormat="1" ht="9.75" customHeight="1" x14ac:dyDescent="0.15">
      <c r="A210" s="448" t="s">
        <v>571</v>
      </c>
      <c r="B210" s="241" t="s">
        <v>796</v>
      </c>
      <c r="C210" s="241" t="s">
        <v>796</v>
      </c>
      <c r="D210" s="241">
        <v>8</v>
      </c>
      <c r="E210" s="241">
        <v>8</v>
      </c>
      <c r="F210" s="241">
        <v>418534</v>
      </c>
      <c r="G210" s="241">
        <v>238778</v>
      </c>
      <c r="H210" s="241">
        <v>67676</v>
      </c>
      <c r="I210" s="241" t="s">
        <v>796</v>
      </c>
      <c r="J210" s="241" t="s">
        <v>796</v>
      </c>
      <c r="K210" s="241" t="s">
        <v>796</v>
      </c>
      <c r="L210" s="241">
        <v>10157</v>
      </c>
      <c r="M210" s="241" t="s">
        <v>796</v>
      </c>
      <c r="N210" s="241" t="s">
        <v>796</v>
      </c>
      <c r="O210" s="241" t="s">
        <v>796</v>
      </c>
      <c r="P210" s="241">
        <v>121251</v>
      </c>
      <c r="Q210" s="241" t="s">
        <v>796</v>
      </c>
      <c r="R210" s="241">
        <v>39694</v>
      </c>
      <c r="S210" s="241" t="s">
        <v>796</v>
      </c>
      <c r="T210" s="241" t="s">
        <v>796</v>
      </c>
      <c r="U210" s="241" t="s">
        <v>796</v>
      </c>
      <c r="V210" s="241" t="s">
        <v>796</v>
      </c>
      <c r="W210" s="242" t="s">
        <v>70</v>
      </c>
    </row>
    <row r="211" spans="1:23" s="241" customFormat="1" ht="9.75" customHeight="1" x14ac:dyDescent="0.15">
      <c r="A211" s="448" t="s">
        <v>572</v>
      </c>
      <c r="B211" s="241" t="s">
        <v>796</v>
      </c>
      <c r="C211" s="241" t="s">
        <v>796</v>
      </c>
      <c r="D211" s="241" t="s">
        <v>796</v>
      </c>
      <c r="E211" s="241" t="s">
        <v>796</v>
      </c>
      <c r="F211" s="241">
        <v>582987</v>
      </c>
      <c r="G211" s="241">
        <v>319495</v>
      </c>
      <c r="H211" s="241">
        <v>19321</v>
      </c>
      <c r="I211" s="241" t="s">
        <v>796</v>
      </c>
      <c r="J211" s="241" t="s">
        <v>796</v>
      </c>
      <c r="K211" s="241">
        <v>44133</v>
      </c>
      <c r="L211" s="241" t="s">
        <v>796</v>
      </c>
      <c r="M211" s="241" t="s">
        <v>796</v>
      </c>
      <c r="N211" s="241" t="s">
        <v>796</v>
      </c>
      <c r="O211" s="241" t="s">
        <v>796</v>
      </c>
      <c r="P211" s="241">
        <v>206394</v>
      </c>
      <c r="Q211" s="241" t="s">
        <v>796</v>
      </c>
      <c r="R211" s="241">
        <v>49647</v>
      </c>
      <c r="S211" s="241" t="s">
        <v>796</v>
      </c>
      <c r="T211" s="241" t="s">
        <v>796</v>
      </c>
      <c r="U211" s="241" t="s">
        <v>796</v>
      </c>
      <c r="V211" s="241" t="s">
        <v>796</v>
      </c>
      <c r="W211" s="242" t="s">
        <v>71</v>
      </c>
    </row>
    <row r="212" spans="1:23" s="241" customFormat="1" ht="9.75" customHeight="1" x14ac:dyDescent="0.15">
      <c r="A212" s="448" t="s">
        <v>841</v>
      </c>
      <c r="B212" s="241" t="s">
        <v>796</v>
      </c>
      <c r="C212" s="241" t="s">
        <v>796</v>
      </c>
      <c r="D212" s="241" t="s">
        <v>796</v>
      </c>
      <c r="E212" s="241" t="s">
        <v>796</v>
      </c>
      <c r="F212" s="241">
        <v>526883</v>
      </c>
      <c r="G212" s="241">
        <v>168016</v>
      </c>
      <c r="H212" s="241">
        <v>25304</v>
      </c>
      <c r="I212" s="241" t="s">
        <v>796</v>
      </c>
      <c r="J212" s="241" t="s">
        <v>796</v>
      </c>
      <c r="K212" s="241" t="s">
        <v>796</v>
      </c>
      <c r="L212" s="241">
        <v>22422</v>
      </c>
      <c r="M212" s="241" t="s">
        <v>796</v>
      </c>
      <c r="N212" s="241" t="s">
        <v>796</v>
      </c>
      <c r="O212" s="241" t="s">
        <v>796</v>
      </c>
      <c r="P212" s="241">
        <v>74790</v>
      </c>
      <c r="Q212" s="241" t="s">
        <v>796</v>
      </c>
      <c r="R212" s="241">
        <v>45500</v>
      </c>
      <c r="S212" s="241" t="s">
        <v>796</v>
      </c>
      <c r="T212" s="241" t="s">
        <v>796</v>
      </c>
      <c r="U212" s="241" t="s">
        <v>796</v>
      </c>
      <c r="V212" s="241">
        <v>6674</v>
      </c>
      <c r="W212" s="242" t="s">
        <v>842</v>
      </c>
    </row>
    <row r="213" spans="1:23" s="241" customFormat="1" ht="9.75" customHeight="1" x14ac:dyDescent="0.15">
      <c r="A213" s="448" t="s">
        <v>573</v>
      </c>
      <c r="B213" s="241" t="s">
        <v>796</v>
      </c>
      <c r="C213" s="241" t="s">
        <v>796</v>
      </c>
      <c r="D213" s="241" t="s">
        <v>796</v>
      </c>
      <c r="E213" s="241" t="s">
        <v>796</v>
      </c>
      <c r="F213" s="241">
        <v>381946</v>
      </c>
      <c r="G213" s="241">
        <v>300203</v>
      </c>
      <c r="H213" s="241">
        <v>39764</v>
      </c>
      <c r="I213" s="241" t="s">
        <v>796</v>
      </c>
      <c r="J213" s="241" t="s">
        <v>796</v>
      </c>
      <c r="K213" s="241">
        <v>24700</v>
      </c>
      <c r="L213" s="241" t="s">
        <v>796</v>
      </c>
      <c r="M213" s="241" t="s">
        <v>796</v>
      </c>
      <c r="N213" s="241">
        <v>47851</v>
      </c>
      <c r="O213" s="241" t="s">
        <v>796</v>
      </c>
      <c r="P213" s="241">
        <v>137833</v>
      </c>
      <c r="Q213" s="241" t="s">
        <v>796</v>
      </c>
      <c r="R213" s="241">
        <v>50055</v>
      </c>
      <c r="S213" s="241" t="s">
        <v>796</v>
      </c>
      <c r="T213" s="241" t="s">
        <v>796</v>
      </c>
      <c r="U213" s="241" t="s">
        <v>796</v>
      </c>
      <c r="V213" s="241">
        <v>6674</v>
      </c>
      <c r="W213" s="242" t="s">
        <v>66</v>
      </c>
    </row>
    <row r="214" spans="1:23" s="241" customFormat="1" ht="9.75" customHeight="1" x14ac:dyDescent="0.15">
      <c r="A214" s="795" t="s">
        <v>574</v>
      </c>
      <c r="B214" s="796" t="s">
        <v>796</v>
      </c>
      <c r="C214" s="797" t="s">
        <v>796</v>
      </c>
      <c r="D214" s="797" t="s">
        <v>796</v>
      </c>
      <c r="E214" s="797" t="s">
        <v>796</v>
      </c>
      <c r="F214" s="797">
        <v>229982</v>
      </c>
      <c r="G214" s="797">
        <v>129320</v>
      </c>
      <c r="H214" s="797">
        <v>15250</v>
      </c>
      <c r="I214" s="797" t="s">
        <v>796</v>
      </c>
      <c r="J214" s="797" t="s">
        <v>796</v>
      </c>
      <c r="K214" s="797">
        <v>69900</v>
      </c>
      <c r="L214" s="797">
        <v>44170</v>
      </c>
      <c r="M214" s="797" t="s">
        <v>796</v>
      </c>
      <c r="N214" s="797" t="s">
        <v>796</v>
      </c>
      <c r="O214" s="797" t="s">
        <v>796</v>
      </c>
      <c r="P214" s="797" t="s">
        <v>796</v>
      </c>
      <c r="Q214" s="797" t="s">
        <v>796</v>
      </c>
      <c r="R214" s="797" t="s">
        <v>796</v>
      </c>
      <c r="S214" s="797" t="s">
        <v>796</v>
      </c>
      <c r="T214" s="797" t="s">
        <v>796</v>
      </c>
      <c r="U214" s="797" t="s">
        <v>796</v>
      </c>
      <c r="V214" s="797" t="s">
        <v>796</v>
      </c>
      <c r="W214" s="798" t="s">
        <v>67</v>
      </c>
    </row>
    <row r="215" spans="1:23" ht="12" customHeight="1" x14ac:dyDescent="0.15"/>
    <row r="216" spans="1:23" ht="12" customHeight="1" x14ac:dyDescent="0.15"/>
    <row r="217" spans="1:23" ht="12" customHeight="1" x14ac:dyDescent="0.15">
      <c r="K217" s="246" t="s">
        <v>86</v>
      </c>
      <c r="V217" s="249" t="s">
        <v>924</v>
      </c>
    </row>
    <row r="218" spans="1:23" s="244" customFormat="1" ht="21" customHeight="1" x14ac:dyDescent="0.15">
      <c r="A218" s="1026" t="s">
        <v>153</v>
      </c>
      <c r="B218" s="799" t="s">
        <v>311</v>
      </c>
      <c r="C218" s="790"/>
      <c r="D218" s="790"/>
      <c r="E218" s="790"/>
      <c r="F218" s="790"/>
      <c r="G218" s="790"/>
      <c r="H218" s="790"/>
      <c r="I218" s="790"/>
      <c r="J218" s="790"/>
      <c r="K218" s="790"/>
      <c r="L218" s="790"/>
      <c r="M218" s="790"/>
      <c r="N218" s="790"/>
      <c r="O218" s="790"/>
      <c r="P218" s="790"/>
      <c r="Q218" s="790"/>
      <c r="R218" s="790"/>
      <c r="S218" s="790"/>
      <c r="T218" s="790"/>
      <c r="U218" s="788"/>
      <c r="V218" s="789" t="s">
        <v>269</v>
      </c>
      <c r="W218" s="1029" t="s">
        <v>72</v>
      </c>
    </row>
    <row r="219" spans="1:23" s="244" customFormat="1" ht="21" customHeight="1" x14ac:dyDescent="0.15">
      <c r="A219" s="1027"/>
      <c r="B219" s="799" t="s">
        <v>715</v>
      </c>
      <c r="C219" s="788"/>
      <c r="D219" s="789" t="s">
        <v>236</v>
      </c>
      <c r="E219" s="790"/>
      <c r="F219" s="790"/>
      <c r="G219" s="788"/>
      <c r="H219" s="789" t="s">
        <v>221</v>
      </c>
      <c r="I219" s="790"/>
      <c r="J219" s="788"/>
      <c r="K219" s="789" t="s">
        <v>220</v>
      </c>
      <c r="L219" s="790"/>
      <c r="M219" s="790"/>
      <c r="N219" s="790"/>
      <c r="O219" s="790"/>
      <c r="P219" s="790"/>
      <c r="Q219" s="790"/>
      <c r="R219" s="788"/>
      <c r="S219" s="789" t="s">
        <v>716</v>
      </c>
      <c r="T219" s="790"/>
      <c r="U219" s="788"/>
      <c r="V219" s="1030" t="s">
        <v>267</v>
      </c>
      <c r="W219" s="1030"/>
    </row>
    <row r="220" spans="1:23" s="244" customFormat="1" ht="52.5" customHeight="1" x14ac:dyDescent="0.15">
      <c r="A220" s="1028"/>
      <c r="B220" s="245" t="s">
        <v>223</v>
      </c>
      <c r="C220" s="245" t="s">
        <v>276</v>
      </c>
      <c r="D220" s="530" t="s">
        <v>923</v>
      </c>
      <c r="E220" s="245" t="s">
        <v>295</v>
      </c>
      <c r="F220" s="245" t="s">
        <v>222</v>
      </c>
      <c r="G220" s="245" t="s">
        <v>294</v>
      </c>
      <c r="H220" s="530" t="s">
        <v>21</v>
      </c>
      <c r="I220" s="248" t="s">
        <v>936</v>
      </c>
      <c r="J220" s="245" t="s">
        <v>947</v>
      </c>
      <c r="K220" s="530" t="s">
        <v>45</v>
      </c>
      <c r="L220" s="245" t="s">
        <v>215</v>
      </c>
      <c r="M220" s="245" t="s">
        <v>709</v>
      </c>
      <c r="N220" s="245" t="s">
        <v>942</v>
      </c>
      <c r="O220" s="245" t="s">
        <v>310</v>
      </c>
      <c r="P220" s="245" t="s">
        <v>391</v>
      </c>
      <c r="Q220" s="248" t="s">
        <v>803</v>
      </c>
      <c r="R220" s="245" t="s">
        <v>309</v>
      </c>
      <c r="S220" s="530" t="s">
        <v>292</v>
      </c>
      <c r="T220" s="245" t="s">
        <v>308</v>
      </c>
      <c r="U220" s="245" t="s">
        <v>291</v>
      </c>
      <c r="V220" s="1031"/>
      <c r="W220" s="1031"/>
    </row>
    <row r="221" spans="1:23" s="241" customFormat="1" ht="9.75" customHeight="1" x14ac:dyDescent="0.15">
      <c r="A221" s="645" t="s">
        <v>831</v>
      </c>
      <c r="B221" s="792">
        <v>12680</v>
      </c>
      <c r="C221" s="793" t="s">
        <v>796</v>
      </c>
      <c r="D221" s="793">
        <v>83186</v>
      </c>
      <c r="E221" s="793" t="s">
        <v>796</v>
      </c>
      <c r="F221" s="793" t="s">
        <v>796</v>
      </c>
      <c r="G221" s="793">
        <v>83186</v>
      </c>
      <c r="H221" s="793">
        <v>114000</v>
      </c>
      <c r="I221" s="793">
        <v>114000</v>
      </c>
      <c r="J221" s="793" t="s">
        <v>796</v>
      </c>
      <c r="K221" s="793">
        <v>2002000</v>
      </c>
      <c r="L221" s="793">
        <v>1780657</v>
      </c>
      <c r="M221" s="793" t="s">
        <v>796</v>
      </c>
      <c r="N221" s="793">
        <v>185720</v>
      </c>
      <c r="O221" s="793">
        <v>29573</v>
      </c>
      <c r="P221" s="793" t="s">
        <v>796</v>
      </c>
      <c r="Q221" s="793" t="s">
        <v>796</v>
      </c>
      <c r="R221" s="793">
        <v>6050</v>
      </c>
      <c r="S221" s="793">
        <v>86798</v>
      </c>
      <c r="T221" s="793">
        <v>75672</v>
      </c>
      <c r="U221" s="793">
        <v>11126</v>
      </c>
      <c r="V221" s="793">
        <v>1327820</v>
      </c>
      <c r="W221" s="794" t="s">
        <v>517</v>
      </c>
    </row>
    <row r="222" spans="1:23" s="241" customFormat="1" ht="9.75" customHeight="1" x14ac:dyDescent="0.15">
      <c r="A222" s="448" t="s">
        <v>557</v>
      </c>
      <c r="B222" s="241">
        <v>51081</v>
      </c>
      <c r="C222" s="241">
        <v>49204</v>
      </c>
      <c r="D222" s="241">
        <v>833501</v>
      </c>
      <c r="E222" s="241">
        <v>136060</v>
      </c>
      <c r="F222" s="241">
        <v>97652</v>
      </c>
      <c r="G222" s="241">
        <v>599789</v>
      </c>
      <c r="H222" s="241">
        <v>100031</v>
      </c>
      <c r="I222" s="241" t="s">
        <v>796</v>
      </c>
      <c r="J222" s="241">
        <v>100031</v>
      </c>
      <c r="K222" s="241">
        <v>2064434</v>
      </c>
      <c r="L222" s="241">
        <v>1800341</v>
      </c>
      <c r="M222" s="241" t="s">
        <v>796</v>
      </c>
      <c r="N222" s="241">
        <v>141069</v>
      </c>
      <c r="O222" s="241">
        <v>112694</v>
      </c>
      <c r="P222" s="241">
        <v>10330</v>
      </c>
      <c r="Q222" s="241" t="s">
        <v>796</v>
      </c>
      <c r="R222" s="241" t="s">
        <v>796</v>
      </c>
      <c r="S222" s="241">
        <v>142775</v>
      </c>
      <c r="T222" s="241">
        <v>128773</v>
      </c>
      <c r="U222" s="241">
        <v>14002</v>
      </c>
      <c r="V222" s="241">
        <v>775956</v>
      </c>
      <c r="W222" s="242" t="s">
        <v>558</v>
      </c>
    </row>
    <row r="223" spans="1:23" s="241" customFormat="1" ht="9.75" customHeight="1" x14ac:dyDescent="0.15">
      <c r="A223" s="448" t="s">
        <v>682</v>
      </c>
      <c r="B223" s="241">
        <v>89353</v>
      </c>
      <c r="C223" s="241">
        <v>347559</v>
      </c>
      <c r="D223" s="241">
        <v>949279</v>
      </c>
      <c r="E223" s="241">
        <v>90681</v>
      </c>
      <c r="F223" s="241" t="s">
        <v>796</v>
      </c>
      <c r="G223" s="241">
        <v>858598</v>
      </c>
      <c r="H223" s="241" t="s">
        <v>796</v>
      </c>
      <c r="I223" s="241" t="s">
        <v>796</v>
      </c>
      <c r="J223" s="241" t="s">
        <v>796</v>
      </c>
      <c r="K223" s="241">
        <v>3568987</v>
      </c>
      <c r="L223" s="241">
        <v>3003069</v>
      </c>
      <c r="M223" s="241" t="s">
        <v>796</v>
      </c>
      <c r="N223" s="241">
        <v>518570</v>
      </c>
      <c r="O223" s="241">
        <v>47348</v>
      </c>
      <c r="P223" s="241" t="s">
        <v>796</v>
      </c>
      <c r="Q223" s="241" t="s">
        <v>796</v>
      </c>
      <c r="R223" s="241" t="s">
        <v>796</v>
      </c>
      <c r="S223" s="241">
        <v>66243</v>
      </c>
      <c r="T223" s="241">
        <v>55618</v>
      </c>
      <c r="U223" s="241">
        <v>10625</v>
      </c>
      <c r="V223" s="241">
        <v>204144</v>
      </c>
      <c r="W223" s="242" t="s">
        <v>683</v>
      </c>
    </row>
    <row r="224" spans="1:23" s="241" customFormat="1" ht="9.75" customHeight="1" x14ac:dyDescent="0.15">
      <c r="A224" s="448" t="s">
        <v>784</v>
      </c>
      <c r="B224" s="241">
        <v>62149</v>
      </c>
      <c r="C224" s="241">
        <v>567207</v>
      </c>
      <c r="D224" s="241">
        <v>985722</v>
      </c>
      <c r="E224" s="241">
        <v>90366</v>
      </c>
      <c r="F224" s="241">
        <v>97541</v>
      </c>
      <c r="G224" s="241">
        <v>797815</v>
      </c>
      <c r="H224" s="241" t="s">
        <v>796</v>
      </c>
      <c r="I224" s="241" t="s">
        <v>796</v>
      </c>
      <c r="J224" s="241" t="s">
        <v>796</v>
      </c>
      <c r="K224" s="241">
        <v>2797011</v>
      </c>
      <c r="L224" s="241">
        <v>2190353</v>
      </c>
      <c r="M224" s="241" t="s">
        <v>796</v>
      </c>
      <c r="N224" s="241">
        <v>565347</v>
      </c>
      <c r="O224" s="241">
        <v>37338</v>
      </c>
      <c r="P224" s="241" t="s">
        <v>796</v>
      </c>
      <c r="Q224" s="241">
        <v>3973</v>
      </c>
      <c r="R224" s="241" t="s">
        <v>796</v>
      </c>
      <c r="S224" s="241">
        <v>64683</v>
      </c>
      <c r="T224" s="241">
        <v>51599</v>
      </c>
      <c r="U224" s="241">
        <v>13084</v>
      </c>
      <c r="V224" s="241">
        <v>109014</v>
      </c>
      <c r="W224" s="242" t="s">
        <v>785</v>
      </c>
    </row>
    <row r="225" spans="1:23" s="241" customFormat="1" ht="9.75" customHeight="1" x14ac:dyDescent="0.15">
      <c r="A225" s="448" t="s">
        <v>832</v>
      </c>
      <c r="B225" s="241" t="s">
        <v>796</v>
      </c>
      <c r="C225" s="241" t="s">
        <v>796</v>
      </c>
      <c r="D225" s="241">
        <v>448228</v>
      </c>
      <c r="E225" s="241" t="s">
        <v>796</v>
      </c>
      <c r="F225" s="241">
        <v>50050</v>
      </c>
      <c r="G225" s="241">
        <v>398178</v>
      </c>
      <c r="H225" s="241" t="s">
        <v>796</v>
      </c>
      <c r="I225" s="241" t="s">
        <v>796</v>
      </c>
      <c r="J225" s="241" t="s">
        <v>796</v>
      </c>
      <c r="K225" s="241">
        <v>2344250</v>
      </c>
      <c r="L225" s="241">
        <v>1865765</v>
      </c>
      <c r="M225" s="241">
        <v>25663</v>
      </c>
      <c r="N225" s="241">
        <v>452822</v>
      </c>
      <c r="O225" s="241" t="s">
        <v>796</v>
      </c>
      <c r="P225" s="241" t="s">
        <v>796</v>
      </c>
      <c r="Q225" s="241" t="s">
        <v>796</v>
      </c>
      <c r="R225" s="241" t="s">
        <v>796</v>
      </c>
      <c r="S225" s="241">
        <v>66600</v>
      </c>
      <c r="T225" s="241">
        <v>43712</v>
      </c>
      <c r="U225" s="241">
        <v>22888</v>
      </c>
      <c r="V225" s="241">
        <v>84451</v>
      </c>
      <c r="W225" s="242" t="s">
        <v>833</v>
      </c>
    </row>
    <row r="226" spans="1:23" s="241" customFormat="1" ht="6.75" customHeight="1" x14ac:dyDescent="0.15">
      <c r="A226" s="464"/>
      <c r="W226" s="242"/>
    </row>
    <row r="227" spans="1:23" s="241" customFormat="1" ht="9.75" customHeight="1" x14ac:dyDescent="0.15">
      <c r="A227" s="448" t="s">
        <v>834</v>
      </c>
      <c r="B227" s="241">
        <v>62149</v>
      </c>
      <c r="C227" s="241">
        <v>197186</v>
      </c>
      <c r="D227" s="241">
        <v>886607</v>
      </c>
      <c r="E227" s="241">
        <v>90366</v>
      </c>
      <c r="F227" s="241">
        <v>98491</v>
      </c>
      <c r="G227" s="241">
        <v>697750</v>
      </c>
      <c r="H227" s="241" t="s">
        <v>796</v>
      </c>
      <c r="I227" s="241" t="s">
        <v>796</v>
      </c>
      <c r="J227" s="241" t="s">
        <v>796</v>
      </c>
      <c r="K227" s="241">
        <v>2544460</v>
      </c>
      <c r="L227" s="241">
        <v>1777307</v>
      </c>
      <c r="M227" s="241">
        <v>12315</v>
      </c>
      <c r="N227" s="241">
        <v>713527</v>
      </c>
      <c r="O227" s="241">
        <v>37338</v>
      </c>
      <c r="P227" s="241" t="s">
        <v>796</v>
      </c>
      <c r="Q227" s="241">
        <v>3973</v>
      </c>
      <c r="R227" s="241" t="s">
        <v>796</v>
      </c>
      <c r="S227" s="241">
        <v>63737</v>
      </c>
      <c r="T227" s="241">
        <v>49584</v>
      </c>
      <c r="U227" s="241">
        <v>14153</v>
      </c>
      <c r="V227" s="241">
        <v>90893</v>
      </c>
      <c r="W227" s="242" t="s">
        <v>786</v>
      </c>
    </row>
    <row r="228" spans="1:23" s="241" customFormat="1" ht="9.75" customHeight="1" x14ac:dyDescent="0.15">
      <c r="A228" s="448" t="s">
        <v>835</v>
      </c>
      <c r="B228" s="241">
        <v>13348</v>
      </c>
      <c r="C228" s="241" t="s">
        <v>796</v>
      </c>
      <c r="D228" s="241">
        <v>297373</v>
      </c>
      <c r="E228" s="241" t="s">
        <v>796</v>
      </c>
      <c r="F228" s="241" t="s">
        <v>796</v>
      </c>
      <c r="G228" s="241">
        <v>297373</v>
      </c>
      <c r="H228" s="241" t="s">
        <v>796</v>
      </c>
      <c r="I228" s="241" t="s">
        <v>796</v>
      </c>
      <c r="J228" s="241" t="s">
        <v>796</v>
      </c>
      <c r="K228" s="241">
        <v>2126885</v>
      </c>
      <c r="L228" s="241">
        <v>1849615</v>
      </c>
      <c r="M228" s="241">
        <v>13348</v>
      </c>
      <c r="N228" s="241">
        <v>263922</v>
      </c>
      <c r="O228" s="241" t="s">
        <v>796</v>
      </c>
      <c r="P228" s="241" t="s">
        <v>796</v>
      </c>
      <c r="Q228" s="241" t="s">
        <v>796</v>
      </c>
      <c r="R228" s="241" t="s">
        <v>796</v>
      </c>
      <c r="S228" s="241">
        <v>56540</v>
      </c>
      <c r="T228" s="241">
        <v>36301</v>
      </c>
      <c r="U228" s="241">
        <v>20239</v>
      </c>
      <c r="V228" s="241">
        <v>122610</v>
      </c>
      <c r="W228" s="242" t="s">
        <v>836</v>
      </c>
    </row>
    <row r="229" spans="1:23" s="241" customFormat="1" ht="6.75" customHeight="1" x14ac:dyDescent="0.15">
      <c r="A229" s="464"/>
      <c r="W229" s="242"/>
    </row>
    <row r="230" spans="1:23" s="241" customFormat="1" ht="9.75" customHeight="1" x14ac:dyDescent="0.15">
      <c r="A230" s="448" t="s">
        <v>837</v>
      </c>
      <c r="B230" s="241" t="s">
        <v>796</v>
      </c>
      <c r="C230" s="241" t="s">
        <v>796</v>
      </c>
      <c r="D230" s="241">
        <v>150855</v>
      </c>
      <c r="E230" s="241" t="s">
        <v>796</v>
      </c>
      <c r="F230" s="241">
        <v>50050</v>
      </c>
      <c r="G230" s="241">
        <v>100805</v>
      </c>
      <c r="H230" s="241" t="s">
        <v>796</v>
      </c>
      <c r="I230" s="241" t="s">
        <v>796</v>
      </c>
      <c r="J230" s="241" t="s">
        <v>796</v>
      </c>
      <c r="K230" s="241">
        <v>735191</v>
      </c>
      <c r="L230" s="241">
        <v>460463</v>
      </c>
      <c r="M230" s="241">
        <v>12315</v>
      </c>
      <c r="N230" s="241">
        <v>262413</v>
      </c>
      <c r="O230" s="241" t="s">
        <v>796</v>
      </c>
      <c r="P230" s="241" t="s">
        <v>796</v>
      </c>
      <c r="Q230" s="241" t="s">
        <v>796</v>
      </c>
      <c r="R230" s="241" t="s">
        <v>796</v>
      </c>
      <c r="S230" s="241">
        <v>20158</v>
      </c>
      <c r="T230" s="241">
        <v>15356</v>
      </c>
      <c r="U230" s="241">
        <v>4802</v>
      </c>
      <c r="V230" s="241">
        <v>23819</v>
      </c>
      <c r="W230" s="242" t="s">
        <v>787</v>
      </c>
    </row>
    <row r="231" spans="1:23" s="241" customFormat="1" ht="9.75" customHeight="1" x14ac:dyDescent="0.15">
      <c r="A231" s="448" t="s">
        <v>559</v>
      </c>
      <c r="B231" s="241" t="s">
        <v>796</v>
      </c>
      <c r="C231" s="241" t="s">
        <v>796</v>
      </c>
      <c r="D231" s="241">
        <v>50004</v>
      </c>
      <c r="E231" s="241" t="s">
        <v>796</v>
      </c>
      <c r="F231" s="241" t="s">
        <v>796</v>
      </c>
      <c r="G231" s="241">
        <v>50004</v>
      </c>
      <c r="H231" s="241" t="s">
        <v>796</v>
      </c>
      <c r="I231" s="241" t="s">
        <v>796</v>
      </c>
      <c r="J231" s="241" t="s">
        <v>796</v>
      </c>
      <c r="K231" s="241">
        <v>559115</v>
      </c>
      <c r="L231" s="241">
        <v>545767</v>
      </c>
      <c r="M231" s="241">
        <v>13348</v>
      </c>
      <c r="N231" s="241" t="s">
        <v>796</v>
      </c>
      <c r="O231" s="241" t="s">
        <v>796</v>
      </c>
      <c r="P231" s="241" t="s">
        <v>796</v>
      </c>
      <c r="Q231" s="241" t="s">
        <v>796</v>
      </c>
      <c r="R231" s="241" t="s">
        <v>796</v>
      </c>
      <c r="S231" s="241">
        <v>13067</v>
      </c>
      <c r="T231" s="241">
        <v>8148</v>
      </c>
      <c r="U231" s="241">
        <v>4919</v>
      </c>
      <c r="V231" s="241">
        <v>2324</v>
      </c>
      <c r="W231" s="242" t="s">
        <v>78</v>
      </c>
    </row>
    <row r="232" spans="1:23" s="241" customFormat="1" ht="9.75" customHeight="1" x14ac:dyDescent="0.15">
      <c r="A232" s="448" t="s">
        <v>560</v>
      </c>
      <c r="B232" s="241" t="s">
        <v>796</v>
      </c>
      <c r="C232" s="241" t="s">
        <v>796</v>
      </c>
      <c r="D232" s="241">
        <v>99997</v>
      </c>
      <c r="E232" s="241" t="s">
        <v>796</v>
      </c>
      <c r="F232" s="241" t="s">
        <v>796</v>
      </c>
      <c r="G232" s="241">
        <v>99997</v>
      </c>
      <c r="H232" s="241" t="s">
        <v>796</v>
      </c>
      <c r="I232" s="241" t="s">
        <v>796</v>
      </c>
      <c r="J232" s="241" t="s">
        <v>796</v>
      </c>
      <c r="K232" s="241">
        <v>475967</v>
      </c>
      <c r="L232" s="241">
        <v>428364</v>
      </c>
      <c r="M232" s="241" t="s">
        <v>796</v>
      </c>
      <c r="N232" s="241">
        <v>47603</v>
      </c>
      <c r="O232" s="241" t="s">
        <v>796</v>
      </c>
      <c r="P232" s="241" t="s">
        <v>796</v>
      </c>
      <c r="Q232" s="241" t="s">
        <v>796</v>
      </c>
      <c r="R232" s="241" t="s">
        <v>796</v>
      </c>
      <c r="S232" s="241">
        <v>19170</v>
      </c>
      <c r="T232" s="241">
        <v>8722</v>
      </c>
      <c r="U232" s="241">
        <v>10448</v>
      </c>
      <c r="V232" s="241">
        <v>10991</v>
      </c>
      <c r="W232" s="242" t="s">
        <v>79</v>
      </c>
    </row>
    <row r="233" spans="1:23" s="241" customFormat="1" ht="9.75" customHeight="1" x14ac:dyDescent="0.15">
      <c r="A233" s="448" t="s">
        <v>561</v>
      </c>
      <c r="B233" s="241" t="s">
        <v>796</v>
      </c>
      <c r="C233" s="241" t="s">
        <v>796</v>
      </c>
      <c r="D233" s="241">
        <v>147372</v>
      </c>
      <c r="E233" s="241" t="s">
        <v>796</v>
      </c>
      <c r="F233" s="241" t="s">
        <v>796</v>
      </c>
      <c r="G233" s="241">
        <v>147372</v>
      </c>
      <c r="H233" s="241" t="s">
        <v>796</v>
      </c>
      <c r="I233" s="241" t="s">
        <v>796</v>
      </c>
      <c r="J233" s="241" t="s">
        <v>796</v>
      </c>
      <c r="K233" s="241">
        <v>573977</v>
      </c>
      <c r="L233" s="241">
        <v>431171</v>
      </c>
      <c r="M233" s="241" t="s">
        <v>796</v>
      </c>
      <c r="N233" s="241">
        <v>142806</v>
      </c>
      <c r="O233" s="241" t="s">
        <v>796</v>
      </c>
      <c r="P233" s="241" t="s">
        <v>796</v>
      </c>
      <c r="Q233" s="241" t="s">
        <v>796</v>
      </c>
      <c r="R233" s="241" t="s">
        <v>796</v>
      </c>
      <c r="S233" s="241">
        <v>14205</v>
      </c>
      <c r="T233" s="241">
        <v>11486</v>
      </c>
      <c r="U233" s="241">
        <v>2719</v>
      </c>
      <c r="V233" s="241">
        <v>47317</v>
      </c>
      <c r="W233" s="242" t="s">
        <v>80</v>
      </c>
    </row>
    <row r="234" spans="1:23" s="241" customFormat="1" ht="9.75" customHeight="1" x14ac:dyDescent="0.15">
      <c r="A234" s="448" t="s">
        <v>838</v>
      </c>
      <c r="B234" s="241">
        <v>13348</v>
      </c>
      <c r="C234" s="241" t="s">
        <v>796</v>
      </c>
      <c r="D234" s="241" t="s">
        <v>796</v>
      </c>
      <c r="E234" s="241" t="s">
        <v>796</v>
      </c>
      <c r="F234" s="241" t="s">
        <v>796</v>
      </c>
      <c r="G234" s="241" t="s">
        <v>796</v>
      </c>
      <c r="H234" s="241" t="s">
        <v>796</v>
      </c>
      <c r="I234" s="241" t="s">
        <v>796</v>
      </c>
      <c r="J234" s="241" t="s">
        <v>796</v>
      </c>
      <c r="K234" s="241">
        <v>517826</v>
      </c>
      <c r="L234" s="241">
        <v>444313</v>
      </c>
      <c r="M234" s="241" t="s">
        <v>796</v>
      </c>
      <c r="N234" s="241">
        <v>73513</v>
      </c>
      <c r="O234" s="241" t="s">
        <v>796</v>
      </c>
      <c r="P234" s="241" t="s">
        <v>796</v>
      </c>
      <c r="Q234" s="241" t="s">
        <v>796</v>
      </c>
      <c r="R234" s="241" t="s">
        <v>796</v>
      </c>
      <c r="S234" s="241">
        <v>10098</v>
      </c>
      <c r="T234" s="241">
        <v>7945</v>
      </c>
      <c r="U234" s="241">
        <v>2153</v>
      </c>
      <c r="V234" s="241">
        <v>61978</v>
      </c>
      <c r="W234" s="242" t="s">
        <v>839</v>
      </c>
    </row>
    <row r="235" spans="1:23" s="241" customFormat="1" ht="6.75" customHeight="1" x14ac:dyDescent="0.15">
      <c r="A235" s="464"/>
      <c r="W235" s="242"/>
    </row>
    <row r="236" spans="1:23" s="241" customFormat="1" ht="9.75" customHeight="1" x14ac:dyDescent="0.15">
      <c r="A236" s="448" t="s">
        <v>840</v>
      </c>
      <c r="B236" s="241" t="s">
        <v>796</v>
      </c>
      <c r="C236" s="241" t="s">
        <v>796</v>
      </c>
      <c r="D236" s="241">
        <v>100805</v>
      </c>
      <c r="E236" s="241" t="s">
        <v>796</v>
      </c>
      <c r="F236" s="241" t="s">
        <v>796</v>
      </c>
      <c r="G236" s="241">
        <v>100805</v>
      </c>
      <c r="H236" s="241" t="s">
        <v>796</v>
      </c>
      <c r="I236" s="241" t="s">
        <v>796</v>
      </c>
      <c r="J236" s="241" t="s">
        <v>796</v>
      </c>
      <c r="K236" s="241">
        <v>157417</v>
      </c>
      <c r="L236" s="241">
        <v>95344</v>
      </c>
      <c r="M236" s="241" t="s">
        <v>796</v>
      </c>
      <c r="N236" s="241">
        <v>62073</v>
      </c>
      <c r="O236" s="241" t="s">
        <v>796</v>
      </c>
      <c r="P236" s="241" t="s">
        <v>796</v>
      </c>
      <c r="Q236" s="241" t="s">
        <v>796</v>
      </c>
      <c r="R236" s="241" t="s">
        <v>796</v>
      </c>
      <c r="S236" s="241">
        <v>6933</v>
      </c>
      <c r="T236" s="241">
        <v>5709</v>
      </c>
      <c r="U236" s="241">
        <v>1224</v>
      </c>
      <c r="V236" s="241">
        <v>687</v>
      </c>
      <c r="W236" s="242" t="s">
        <v>788</v>
      </c>
    </row>
    <row r="237" spans="1:23" s="241" customFormat="1" ht="9.75" customHeight="1" x14ac:dyDescent="0.15">
      <c r="A237" s="448" t="s">
        <v>562</v>
      </c>
      <c r="B237" s="241" t="s">
        <v>796</v>
      </c>
      <c r="C237" s="241" t="s">
        <v>796</v>
      </c>
      <c r="D237" s="241" t="s">
        <v>796</v>
      </c>
      <c r="E237" s="241" t="s">
        <v>796</v>
      </c>
      <c r="F237" s="241" t="s">
        <v>796</v>
      </c>
      <c r="G237" s="241" t="s">
        <v>796</v>
      </c>
      <c r="H237" s="241" t="s">
        <v>796</v>
      </c>
      <c r="I237" s="241" t="s">
        <v>796</v>
      </c>
      <c r="J237" s="241" t="s">
        <v>796</v>
      </c>
      <c r="K237" s="241">
        <v>305618</v>
      </c>
      <c r="L237" s="241">
        <v>200129</v>
      </c>
      <c r="M237" s="241">
        <v>12315</v>
      </c>
      <c r="N237" s="241">
        <v>93174</v>
      </c>
      <c r="O237" s="241" t="s">
        <v>796</v>
      </c>
      <c r="P237" s="241" t="s">
        <v>796</v>
      </c>
      <c r="Q237" s="241" t="s">
        <v>796</v>
      </c>
      <c r="R237" s="241" t="s">
        <v>796</v>
      </c>
      <c r="S237" s="241">
        <v>6027</v>
      </c>
      <c r="T237" s="241">
        <v>4900</v>
      </c>
      <c r="U237" s="241">
        <v>1127</v>
      </c>
      <c r="V237" s="241">
        <v>567</v>
      </c>
      <c r="W237" s="242" t="s">
        <v>66</v>
      </c>
    </row>
    <row r="238" spans="1:23" s="241" customFormat="1" ht="9.75" customHeight="1" x14ac:dyDescent="0.15">
      <c r="A238" s="448" t="s">
        <v>563</v>
      </c>
      <c r="B238" s="241" t="s">
        <v>796</v>
      </c>
      <c r="C238" s="241" t="s">
        <v>796</v>
      </c>
      <c r="D238" s="241">
        <v>50050</v>
      </c>
      <c r="E238" s="241" t="s">
        <v>796</v>
      </c>
      <c r="F238" s="241">
        <v>50050</v>
      </c>
      <c r="G238" s="241" t="s">
        <v>796</v>
      </c>
      <c r="H238" s="241" t="s">
        <v>796</v>
      </c>
      <c r="I238" s="241" t="s">
        <v>796</v>
      </c>
      <c r="J238" s="241" t="s">
        <v>796</v>
      </c>
      <c r="K238" s="241">
        <v>272156</v>
      </c>
      <c r="L238" s="241">
        <v>164990</v>
      </c>
      <c r="M238" s="241" t="s">
        <v>796</v>
      </c>
      <c r="N238" s="241">
        <v>107166</v>
      </c>
      <c r="O238" s="241" t="s">
        <v>796</v>
      </c>
      <c r="P238" s="241" t="s">
        <v>796</v>
      </c>
      <c r="Q238" s="241" t="s">
        <v>796</v>
      </c>
      <c r="R238" s="241" t="s">
        <v>796</v>
      </c>
      <c r="S238" s="241">
        <v>7198</v>
      </c>
      <c r="T238" s="241">
        <v>4747</v>
      </c>
      <c r="U238" s="241">
        <v>2451</v>
      </c>
      <c r="V238" s="241">
        <v>22565</v>
      </c>
      <c r="W238" s="242" t="s">
        <v>67</v>
      </c>
    </row>
    <row r="239" spans="1:23" s="241" customFormat="1" ht="9.75" customHeight="1" x14ac:dyDescent="0.15">
      <c r="A239" s="448" t="s">
        <v>564</v>
      </c>
      <c r="B239" s="241" t="s">
        <v>796</v>
      </c>
      <c r="C239" s="241" t="s">
        <v>796</v>
      </c>
      <c r="D239" s="241" t="s">
        <v>796</v>
      </c>
      <c r="E239" s="241" t="s">
        <v>796</v>
      </c>
      <c r="F239" s="241" t="s">
        <v>796</v>
      </c>
      <c r="G239" s="241" t="s">
        <v>796</v>
      </c>
      <c r="H239" s="241" t="s">
        <v>796</v>
      </c>
      <c r="I239" s="241" t="s">
        <v>796</v>
      </c>
      <c r="J239" s="241" t="s">
        <v>796</v>
      </c>
      <c r="K239" s="241">
        <v>142537</v>
      </c>
      <c r="L239" s="241">
        <v>142537</v>
      </c>
      <c r="M239" s="241" t="s">
        <v>796</v>
      </c>
      <c r="N239" s="241" t="s">
        <v>796</v>
      </c>
      <c r="O239" s="241" t="s">
        <v>796</v>
      </c>
      <c r="P239" s="241" t="s">
        <v>796</v>
      </c>
      <c r="Q239" s="241" t="s">
        <v>796</v>
      </c>
      <c r="R239" s="241" t="s">
        <v>796</v>
      </c>
      <c r="S239" s="241">
        <v>5334</v>
      </c>
      <c r="T239" s="241">
        <v>3361</v>
      </c>
      <c r="U239" s="241">
        <v>1973</v>
      </c>
      <c r="V239" s="241">
        <v>1066</v>
      </c>
      <c r="W239" s="242" t="s">
        <v>68</v>
      </c>
    </row>
    <row r="240" spans="1:23" s="241" customFormat="1" ht="9.75" customHeight="1" x14ac:dyDescent="0.15">
      <c r="A240" s="448" t="s">
        <v>565</v>
      </c>
      <c r="B240" s="241" t="s">
        <v>796</v>
      </c>
      <c r="C240" s="241" t="s">
        <v>796</v>
      </c>
      <c r="D240" s="241">
        <v>50004</v>
      </c>
      <c r="E240" s="241" t="s">
        <v>796</v>
      </c>
      <c r="F240" s="241" t="s">
        <v>796</v>
      </c>
      <c r="G240" s="241">
        <v>50004</v>
      </c>
      <c r="H240" s="241" t="s">
        <v>796</v>
      </c>
      <c r="I240" s="241" t="s">
        <v>796</v>
      </c>
      <c r="J240" s="241" t="s">
        <v>796</v>
      </c>
      <c r="K240" s="241">
        <v>142560</v>
      </c>
      <c r="L240" s="241">
        <v>129212</v>
      </c>
      <c r="M240" s="241">
        <v>13348</v>
      </c>
      <c r="N240" s="241" t="s">
        <v>796</v>
      </c>
      <c r="O240" s="241" t="s">
        <v>796</v>
      </c>
      <c r="P240" s="241" t="s">
        <v>796</v>
      </c>
      <c r="Q240" s="241" t="s">
        <v>796</v>
      </c>
      <c r="R240" s="241" t="s">
        <v>796</v>
      </c>
      <c r="S240" s="241">
        <v>4458</v>
      </c>
      <c r="T240" s="241">
        <v>2545</v>
      </c>
      <c r="U240" s="241">
        <v>1913</v>
      </c>
      <c r="V240" s="241">
        <v>871</v>
      </c>
      <c r="W240" s="242" t="s">
        <v>81</v>
      </c>
    </row>
    <row r="241" spans="1:23" s="241" customFormat="1" ht="9.75" customHeight="1" x14ac:dyDescent="0.15">
      <c r="A241" s="448" t="s">
        <v>566</v>
      </c>
      <c r="B241" s="241" t="s">
        <v>796</v>
      </c>
      <c r="C241" s="241" t="s">
        <v>796</v>
      </c>
      <c r="D241" s="241" t="s">
        <v>796</v>
      </c>
      <c r="E241" s="241" t="s">
        <v>796</v>
      </c>
      <c r="F241" s="241" t="s">
        <v>796</v>
      </c>
      <c r="G241" s="241" t="s">
        <v>796</v>
      </c>
      <c r="H241" s="241" t="s">
        <v>796</v>
      </c>
      <c r="I241" s="241" t="s">
        <v>796</v>
      </c>
      <c r="J241" s="241" t="s">
        <v>796</v>
      </c>
      <c r="K241" s="241">
        <v>274018</v>
      </c>
      <c r="L241" s="241">
        <v>274018</v>
      </c>
      <c r="M241" s="241" t="s">
        <v>796</v>
      </c>
      <c r="N241" s="241" t="s">
        <v>796</v>
      </c>
      <c r="O241" s="241" t="s">
        <v>796</v>
      </c>
      <c r="P241" s="241" t="s">
        <v>796</v>
      </c>
      <c r="Q241" s="241" t="s">
        <v>796</v>
      </c>
      <c r="R241" s="241" t="s">
        <v>796</v>
      </c>
      <c r="S241" s="241">
        <v>3275</v>
      </c>
      <c r="T241" s="241">
        <v>2242</v>
      </c>
      <c r="U241" s="241">
        <v>1033</v>
      </c>
      <c r="V241" s="241">
        <v>387</v>
      </c>
      <c r="W241" s="242" t="s">
        <v>82</v>
      </c>
    </row>
    <row r="242" spans="1:23" s="241" customFormat="1" ht="9.75" customHeight="1" x14ac:dyDescent="0.15">
      <c r="A242" s="448" t="s">
        <v>567</v>
      </c>
      <c r="B242" s="241" t="s">
        <v>796</v>
      </c>
      <c r="C242" s="241" t="s">
        <v>796</v>
      </c>
      <c r="D242" s="241" t="s">
        <v>796</v>
      </c>
      <c r="E242" s="241" t="s">
        <v>796</v>
      </c>
      <c r="F242" s="241" t="s">
        <v>796</v>
      </c>
      <c r="G242" s="241" t="s">
        <v>796</v>
      </c>
      <c r="H242" s="241" t="s">
        <v>796</v>
      </c>
      <c r="I242" s="241" t="s">
        <v>796</v>
      </c>
      <c r="J242" s="241" t="s">
        <v>796</v>
      </c>
      <c r="K242" s="241">
        <v>190709</v>
      </c>
      <c r="L242" s="241">
        <v>190709</v>
      </c>
      <c r="M242" s="241" t="s">
        <v>796</v>
      </c>
      <c r="N242" s="241" t="s">
        <v>796</v>
      </c>
      <c r="O242" s="241" t="s">
        <v>796</v>
      </c>
      <c r="P242" s="241" t="s">
        <v>796</v>
      </c>
      <c r="Q242" s="241" t="s">
        <v>796</v>
      </c>
      <c r="R242" s="241" t="s">
        <v>796</v>
      </c>
      <c r="S242" s="241">
        <v>4002</v>
      </c>
      <c r="T242" s="241">
        <v>2921</v>
      </c>
      <c r="U242" s="241">
        <v>1081</v>
      </c>
      <c r="V242" s="241">
        <v>946</v>
      </c>
      <c r="W242" s="242" t="s">
        <v>83</v>
      </c>
    </row>
    <row r="243" spans="1:23" s="241" customFormat="1" ht="9.75" customHeight="1" x14ac:dyDescent="0.15">
      <c r="A243" s="448" t="s">
        <v>568</v>
      </c>
      <c r="B243" s="241" t="s">
        <v>796</v>
      </c>
      <c r="C243" s="241" t="s">
        <v>796</v>
      </c>
      <c r="D243" s="241" t="s">
        <v>796</v>
      </c>
      <c r="E243" s="241" t="s">
        <v>796</v>
      </c>
      <c r="F243" s="241" t="s">
        <v>796</v>
      </c>
      <c r="G243" s="241" t="s">
        <v>796</v>
      </c>
      <c r="H243" s="241" t="s">
        <v>796</v>
      </c>
      <c r="I243" s="241" t="s">
        <v>796</v>
      </c>
      <c r="J243" s="241" t="s">
        <v>796</v>
      </c>
      <c r="K243" s="241">
        <v>92954</v>
      </c>
      <c r="L243" s="241">
        <v>45351</v>
      </c>
      <c r="M243" s="241" t="s">
        <v>796</v>
      </c>
      <c r="N243" s="241">
        <v>47603</v>
      </c>
      <c r="O243" s="241" t="s">
        <v>796</v>
      </c>
      <c r="P243" s="241" t="s">
        <v>796</v>
      </c>
      <c r="Q243" s="241" t="s">
        <v>796</v>
      </c>
      <c r="R243" s="241" t="s">
        <v>796</v>
      </c>
      <c r="S243" s="241">
        <v>3564</v>
      </c>
      <c r="T243" s="241">
        <v>2382</v>
      </c>
      <c r="U243" s="241">
        <v>1182</v>
      </c>
      <c r="V243" s="241">
        <v>225</v>
      </c>
      <c r="W243" s="242" t="s">
        <v>84</v>
      </c>
    </row>
    <row r="244" spans="1:23" s="241" customFormat="1" ht="9.75" customHeight="1" x14ac:dyDescent="0.15">
      <c r="A244" s="448" t="s">
        <v>569</v>
      </c>
      <c r="B244" s="241" t="s">
        <v>796</v>
      </c>
      <c r="C244" s="241" t="s">
        <v>796</v>
      </c>
      <c r="D244" s="241">
        <v>99997</v>
      </c>
      <c r="E244" s="241" t="s">
        <v>796</v>
      </c>
      <c r="F244" s="241" t="s">
        <v>796</v>
      </c>
      <c r="G244" s="241">
        <v>99997</v>
      </c>
      <c r="H244" s="241" t="s">
        <v>796</v>
      </c>
      <c r="I244" s="241" t="s">
        <v>796</v>
      </c>
      <c r="J244" s="241" t="s">
        <v>796</v>
      </c>
      <c r="K244" s="241">
        <v>192304</v>
      </c>
      <c r="L244" s="241">
        <v>192304</v>
      </c>
      <c r="M244" s="241" t="s">
        <v>796</v>
      </c>
      <c r="N244" s="241" t="s">
        <v>796</v>
      </c>
      <c r="O244" s="241" t="s">
        <v>796</v>
      </c>
      <c r="P244" s="241" t="s">
        <v>796</v>
      </c>
      <c r="Q244" s="241" t="s">
        <v>796</v>
      </c>
      <c r="R244" s="241" t="s">
        <v>796</v>
      </c>
      <c r="S244" s="241">
        <v>11604</v>
      </c>
      <c r="T244" s="241">
        <v>3419</v>
      </c>
      <c r="U244" s="241">
        <v>8185</v>
      </c>
      <c r="V244" s="241">
        <v>9820</v>
      </c>
      <c r="W244" s="242" t="s">
        <v>85</v>
      </c>
    </row>
    <row r="245" spans="1:23" s="241" customFormat="1" ht="9.75" customHeight="1" x14ac:dyDescent="0.15">
      <c r="A245" s="448" t="s">
        <v>570</v>
      </c>
      <c r="B245" s="241" t="s">
        <v>796</v>
      </c>
      <c r="C245" s="241" t="s">
        <v>796</v>
      </c>
      <c r="D245" s="241">
        <v>99953</v>
      </c>
      <c r="E245" s="241" t="s">
        <v>796</v>
      </c>
      <c r="F245" s="241" t="s">
        <v>796</v>
      </c>
      <c r="G245" s="241">
        <v>99953</v>
      </c>
      <c r="H245" s="241" t="s">
        <v>796</v>
      </c>
      <c r="I245" s="241" t="s">
        <v>796</v>
      </c>
      <c r="J245" s="241" t="s">
        <v>796</v>
      </c>
      <c r="K245" s="241">
        <v>187658</v>
      </c>
      <c r="L245" s="241">
        <v>92455</v>
      </c>
      <c r="M245" s="241" t="s">
        <v>796</v>
      </c>
      <c r="N245" s="241">
        <v>95203</v>
      </c>
      <c r="O245" s="241" t="s">
        <v>796</v>
      </c>
      <c r="P245" s="241" t="s">
        <v>796</v>
      </c>
      <c r="Q245" s="241" t="s">
        <v>796</v>
      </c>
      <c r="R245" s="241" t="s">
        <v>796</v>
      </c>
      <c r="S245" s="241">
        <v>4695</v>
      </c>
      <c r="T245" s="241">
        <v>4001</v>
      </c>
      <c r="U245" s="241">
        <v>694</v>
      </c>
      <c r="V245" s="241">
        <v>11174</v>
      </c>
      <c r="W245" s="242" t="s">
        <v>69</v>
      </c>
    </row>
    <row r="246" spans="1:23" s="241" customFormat="1" ht="9.75" customHeight="1" x14ac:dyDescent="0.15">
      <c r="A246" s="448" t="s">
        <v>571</v>
      </c>
      <c r="B246" s="241" t="s">
        <v>796</v>
      </c>
      <c r="C246" s="241" t="s">
        <v>796</v>
      </c>
      <c r="D246" s="241" t="s">
        <v>796</v>
      </c>
      <c r="E246" s="241" t="s">
        <v>796</v>
      </c>
      <c r="F246" s="241" t="s">
        <v>796</v>
      </c>
      <c r="G246" s="241" t="s">
        <v>796</v>
      </c>
      <c r="H246" s="241" t="s">
        <v>796</v>
      </c>
      <c r="I246" s="241" t="s">
        <v>796</v>
      </c>
      <c r="J246" s="241" t="s">
        <v>796</v>
      </c>
      <c r="K246" s="241">
        <v>174061</v>
      </c>
      <c r="L246" s="241">
        <v>126458</v>
      </c>
      <c r="M246" s="241" t="s">
        <v>796</v>
      </c>
      <c r="N246" s="241">
        <v>47603</v>
      </c>
      <c r="O246" s="241" t="s">
        <v>796</v>
      </c>
      <c r="P246" s="241" t="s">
        <v>796</v>
      </c>
      <c r="Q246" s="241" t="s">
        <v>796</v>
      </c>
      <c r="R246" s="241" t="s">
        <v>796</v>
      </c>
      <c r="S246" s="241">
        <v>5695</v>
      </c>
      <c r="T246" s="241">
        <v>4217</v>
      </c>
      <c r="U246" s="241">
        <v>1478</v>
      </c>
      <c r="V246" s="241">
        <v>5878</v>
      </c>
      <c r="W246" s="242" t="s">
        <v>70</v>
      </c>
    </row>
    <row r="247" spans="1:23" s="241" customFormat="1" ht="9.75" customHeight="1" x14ac:dyDescent="0.15">
      <c r="A247" s="448" t="s">
        <v>572</v>
      </c>
      <c r="B247" s="241" t="s">
        <v>796</v>
      </c>
      <c r="C247" s="241" t="s">
        <v>796</v>
      </c>
      <c r="D247" s="241">
        <v>47419</v>
      </c>
      <c r="E247" s="241" t="s">
        <v>796</v>
      </c>
      <c r="F247" s="241" t="s">
        <v>796</v>
      </c>
      <c r="G247" s="241">
        <v>47419</v>
      </c>
      <c r="H247" s="241" t="s">
        <v>796</v>
      </c>
      <c r="I247" s="241" t="s">
        <v>796</v>
      </c>
      <c r="J247" s="241" t="s">
        <v>796</v>
      </c>
      <c r="K247" s="241">
        <v>212258</v>
      </c>
      <c r="L247" s="241">
        <v>212258</v>
      </c>
      <c r="M247" s="241" t="s">
        <v>796</v>
      </c>
      <c r="N247" s="241" t="s">
        <v>796</v>
      </c>
      <c r="O247" s="241" t="s">
        <v>796</v>
      </c>
      <c r="P247" s="241" t="s">
        <v>796</v>
      </c>
      <c r="Q247" s="241" t="s">
        <v>796</v>
      </c>
      <c r="R247" s="241" t="s">
        <v>796</v>
      </c>
      <c r="S247" s="241">
        <v>3815</v>
      </c>
      <c r="T247" s="241">
        <v>3268</v>
      </c>
      <c r="U247" s="241">
        <v>547</v>
      </c>
      <c r="V247" s="241">
        <v>30265</v>
      </c>
      <c r="W247" s="242" t="s">
        <v>71</v>
      </c>
    </row>
    <row r="248" spans="1:23" s="241" customFormat="1" ht="9.75" customHeight="1" x14ac:dyDescent="0.15">
      <c r="A248" s="448" t="s">
        <v>841</v>
      </c>
      <c r="B248" s="241">
        <v>6674</v>
      </c>
      <c r="C248" s="241" t="s">
        <v>796</v>
      </c>
      <c r="D248" s="241" t="s">
        <v>796</v>
      </c>
      <c r="E248" s="241" t="s">
        <v>796</v>
      </c>
      <c r="F248" s="241" t="s">
        <v>796</v>
      </c>
      <c r="G248" s="241" t="s">
        <v>796</v>
      </c>
      <c r="H248" s="241" t="s">
        <v>796</v>
      </c>
      <c r="I248" s="241" t="s">
        <v>796</v>
      </c>
      <c r="J248" s="241" t="s">
        <v>796</v>
      </c>
      <c r="K248" s="241">
        <v>347920</v>
      </c>
      <c r="L248" s="241">
        <v>347920</v>
      </c>
      <c r="M248" s="241" t="s">
        <v>796</v>
      </c>
      <c r="N248" s="241" t="s">
        <v>796</v>
      </c>
      <c r="O248" s="241" t="s">
        <v>796</v>
      </c>
      <c r="P248" s="241" t="s">
        <v>796</v>
      </c>
      <c r="Q248" s="241" t="s">
        <v>796</v>
      </c>
      <c r="R248" s="241" t="s">
        <v>796</v>
      </c>
      <c r="S248" s="241">
        <v>4273</v>
      </c>
      <c r="T248" s="241">
        <v>3586</v>
      </c>
      <c r="U248" s="241">
        <v>687</v>
      </c>
      <c r="V248" s="241">
        <v>27213</v>
      </c>
      <c r="W248" s="242" t="s">
        <v>842</v>
      </c>
    </row>
    <row r="249" spans="1:23" s="241" customFormat="1" ht="9.75" customHeight="1" x14ac:dyDescent="0.15">
      <c r="A249" s="448" t="s">
        <v>573</v>
      </c>
      <c r="B249" s="241">
        <v>6674</v>
      </c>
      <c r="C249" s="241" t="s">
        <v>796</v>
      </c>
      <c r="D249" s="241" t="s">
        <v>796</v>
      </c>
      <c r="E249" s="241" t="s">
        <v>796</v>
      </c>
      <c r="F249" s="241" t="s">
        <v>796</v>
      </c>
      <c r="G249" s="241" t="s">
        <v>796</v>
      </c>
      <c r="H249" s="241" t="s">
        <v>796</v>
      </c>
      <c r="I249" s="241" t="s">
        <v>796</v>
      </c>
      <c r="J249" s="241" t="s">
        <v>796</v>
      </c>
      <c r="K249" s="241">
        <v>72027</v>
      </c>
      <c r="L249" s="241">
        <v>48043</v>
      </c>
      <c r="M249" s="241" t="s">
        <v>796</v>
      </c>
      <c r="N249" s="241">
        <v>23984</v>
      </c>
      <c r="O249" s="241" t="s">
        <v>796</v>
      </c>
      <c r="P249" s="241" t="s">
        <v>796</v>
      </c>
      <c r="Q249" s="241" t="s">
        <v>796</v>
      </c>
      <c r="R249" s="241" t="s">
        <v>796</v>
      </c>
      <c r="S249" s="241">
        <v>3042</v>
      </c>
      <c r="T249" s="241">
        <v>2211</v>
      </c>
      <c r="U249" s="241">
        <v>831</v>
      </c>
      <c r="V249" s="241">
        <v>22110</v>
      </c>
      <c r="W249" s="242" t="s">
        <v>66</v>
      </c>
    </row>
    <row r="250" spans="1:23" s="241" customFormat="1" ht="9.75" customHeight="1" x14ac:dyDescent="0.15">
      <c r="A250" s="795" t="s">
        <v>574</v>
      </c>
      <c r="B250" s="796" t="s">
        <v>796</v>
      </c>
      <c r="C250" s="797" t="s">
        <v>796</v>
      </c>
      <c r="D250" s="797" t="s">
        <v>796</v>
      </c>
      <c r="E250" s="797" t="s">
        <v>796</v>
      </c>
      <c r="F250" s="797" t="s">
        <v>796</v>
      </c>
      <c r="G250" s="797" t="s">
        <v>796</v>
      </c>
      <c r="H250" s="797" t="s">
        <v>796</v>
      </c>
      <c r="I250" s="797" t="s">
        <v>796</v>
      </c>
      <c r="J250" s="797" t="s">
        <v>796</v>
      </c>
      <c r="K250" s="797">
        <v>97879</v>
      </c>
      <c r="L250" s="797">
        <v>48350</v>
      </c>
      <c r="M250" s="797" t="s">
        <v>796</v>
      </c>
      <c r="N250" s="797">
        <v>49529</v>
      </c>
      <c r="O250" s="797" t="s">
        <v>796</v>
      </c>
      <c r="P250" s="797" t="s">
        <v>796</v>
      </c>
      <c r="Q250" s="797" t="s">
        <v>796</v>
      </c>
      <c r="R250" s="797" t="s">
        <v>796</v>
      </c>
      <c r="S250" s="797">
        <v>2783</v>
      </c>
      <c r="T250" s="797">
        <v>2148</v>
      </c>
      <c r="U250" s="797">
        <v>635</v>
      </c>
      <c r="V250" s="797">
        <v>12655</v>
      </c>
      <c r="W250" s="798" t="s">
        <v>67</v>
      </c>
    </row>
    <row r="251" spans="1:23" ht="12" customHeight="1" x14ac:dyDescent="0.15"/>
    <row r="252" spans="1:23" ht="12" customHeight="1" x14ac:dyDescent="0.15"/>
    <row r="253" spans="1:23" ht="12" customHeight="1" x14ac:dyDescent="0.15">
      <c r="K253" s="246" t="s">
        <v>86</v>
      </c>
    </row>
    <row r="254" spans="1:23" s="244" customFormat="1" ht="21" customHeight="1" x14ac:dyDescent="0.15">
      <c r="A254" s="1026" t="s">
        <v>153</v>
      </c>
      <c r="B254" s="799" t="s">
        <v>717</v>
      </c>
      <c r="C254" s="790"/>
      <c r="D254" s="790"/>
      <c r="E254" s="790"/>
      <c r="F254" s="790"/>
      <c r="G254" s="790"/>
      <c r="H254" s="790"/>
      <c r="I254" s="788"/>
      <c r="J254" s="789" t="s">
        <v>948</v>
      </c>
      <c r="K254" s="790"/>
      <c r="L254" s="790"/>
      <c r="M254" s="790"/>
      <c r="N254" s="790"/>
      <c r="O254" s="790"/>
      <c r="P254" s="790"/>
      <c r="Q254" s="790"/>
      <c r="R254" s="790"/>
      <c r="S254" s="790"/>
      <c r="T254" s="790"/>
      <c r="U254" s="790"/>
      <c r="V254" s="790"/>
      <c r="W254" s="1029" t="s">
        <v>72</v>
      </c>
    </row>
    <row r="255" spans="1:23" s="244" customFormat="1" ht="21" customHeight="1" x14ac:dyDescent="0.15">
      <c r="A255" s="1027"/>
      <c r="B255" s="789" t="s">
        <v>244</v>
      </c>
      <c r="C255" s="790"/>
      <c r="D255" s="790"/>
      <c r="E255" s="790"/>
      <c r="F255" s="790"/>
      <c r="G255" s="788"/>
      <c r="H255" s="789" t="s">
        <v>716</v>
      </c>
      <c r="I255" s="788"/>
      <c r="J255" s="1034" t="s">
        <v>711</v>
      </c>
      <c r="K255" s="789" t="s">
        <v>244</v>
      </c>
      <c r="L255" s="790"/>
      <c r="M255" s="790"/>
      <c r="N255" s="790"/>
      <c r="O255" s="790"/>
      <c r="P255" s="790"/>
      <c r="Q255" s="790"/>
      <c r="R255" s="788"/>
      <c r="S255" s="789" t="s">
        <v>237</v>
      </c>
      <c r="T255" s="788"/>
      <c r="U255" s="789" t="s">
        <v>220</v>
      </c>
      <c r="V255" s="790"/>
      <c r="W255" s="1030"/>
    </row>
    <row r="256" spans="1:23" s="244" customFormat="1" ht="52.5" customHeight="1" x14ac:dyDescent="0.15">
      <c r="A256" s="1028"/>
      <c r="B256" s="530" t="s">
        <v>920</v>
      </c>
      <c r="C256" s="245" t="s">
        <v>235</v>
      </c>
      <c r="D256" s="245" t="s">
        <v>1084</v>
      </c>
      <c r="E256" s="245" t="s">
        <v>234</v>
      </c>
      <c r="F256" s="245" t="s">
        <v>233</v>
      </c>
      <c r="G256" s="245" t="s">
        <v>231</v>
      </c>
      <c r="H256" s="530" t="s">
        <v>292</v>
      </c>
      <c r="I256" s="245" t="s">
        <v>291</v>
      </c>
      <c r="J256" s="1035"/>
      <c r="K256" s="530" t="s">
        <v>920</v>
      </c>
      <c r="L256" s="245" t="s">
        <v>235</v>
      </c>
      <c r="M256" s="245" t="s">
        <v>921</v>
      </c>
      <c r="N256" s="245" t="s">
        <v>250</v>
      </c>
      <c r="O256" s="245" t="s">
        <v>256</v>
      </c>
      <c r="P256" s="245" t="s">
        <v>234</v>
      </c>
      <c r="Q256" s="245" t="s">
        <v>233</v>
      </c>
      <c r="R256" s="245" t="s">
        <v>231</v>
      </c>
      <c r="S256" s="530" t="s">
        <v>96</v>
      </c>
      <c r="T256" s="245" t="s">
        <v>223</v>
      </c>
      <c r="U256" s="530" t="s">
        <v>45</v>
      </c>
      <c r="V256" s="247" t="s">
        <v>215</v>
      </c>
      <c r="W256" s="1031"/>
    </row>
    <row r="257" spans="1:23" s="241" customFormat="1" ht="9.75" customHeight="1" x14ac:dyDescent="0.15">
      <c r="A257" s="645" t="s">
        <v>831</v>
      </c>
      <c r="B257" s="792">
        <v>1261782</v>
      </c>
      <c r="C257" s="793">
        <v>391582</v>
      </c>
      <c r="D257" s="793">
        <v>259238</v>
      </c>
      <c r="E257" s="793">
        <v>118025</v>
      </c>
      <c r="F257" s="793">
        <v>486497</v>
      </c>
      <c r="G257" s="793">
        <v>6440</v>
      </c>
      <c r="H257" s="793">
        <v>66038</v>
      </c>
      <c r="I257" s="793">
        <v>66038</v>
      </c>
      <c r="J257" s="793">
        <v>7623042</v>
      </c>
      <c r="K257" s="793">
        <v>2488615</v>
      </c>
      <c r="L257" s="793">
        <v>666325</v>
      </c>
      <c r="M257" s="793">
        <v>374103</v>
      </c>
      <c r="N257" s="793" t="s">
        <v>796</v>
      </c>
      <c r="O257" s="793" t="s">
        <v>796</v>
      </c>
      <c r="P257" s="793">
        <v>920692</v>
      </c>
      <c r="Q257" s="793">
        <v>509745</v>
      </c>
      <c r="R257" s="793">
        <v>17750</v>
      </c>
      <c r="S257" s="793">
        <v>22565</v>
      </c>
      <c r="T257" s="793">
        <v>22565</v>
      </c>
      <c r="U257" s="793" t="s">
        <v>796</v>
      </c>
      <c r="V257" s="793" t="s">
        <v>796</v>
      </c>
      <c r="W257" s="794" t="s">
        <v>517</v>
      </c>
    </row>
    <row r="258" spans="1:23" s="241" customFormat="1" ht="9.75" customHeight="1" x14ac:dyDescent="0.15">
      <c r="A258" s="448" t="s">
        <v>557</v>
      </c>
      <c r="B258" s="241">
        <v>728535</v>
      </c>
      <c r="C258" s="241">
        <v>158221</v>
      </c>
      <c r="D258" s="241">
        <v>74654</v>
      </c>
      <c r="E258" s="241">
        <v>173230</v>
      </c>
      <c r="F258" s="241">
        <v>170488</v>
      </c>
      <c r="G258" s="241">
        <v>151942</v>
      </c>
      <c r="H258" s="241">
        <v>47421</v>
      </c>
      <c r="I258" s="241">
        <v>47421</v>
      </c>
      <c r="J258" s="241">
        <v>7383184</v>
      </c>
      <c r="K258" s="241">
        <v>2027048</v>
      </c>
      <c r="L258" s="241">
        <v>583734</v>
      </c>
      <c r="M258" s="241">
        <v>94875</v>
      </c>
      <c r="N258" s="241" t="s">
        <v>796</v>
      </c>
      <c r="O258" s="241" t="s">
        <v>796</v>
      </c>
      <c r="P258" s="241">
        <v>993440</v>
      </c>
      <c r="Q258" s="241">
        <v>354999</v>
      </c>
      <c r="R258" s="241" t="s">
        <v>796</v>
      </c>
      <c r="S258" s="241" t="s">
        <v>796</v>
      </c>
      <c r="T258" s="241" t="s">
        <v>796</v>
      </c>
      <c r="U258" s="241" t="s">
        <v>796</v>
      </c>
      <c r="V258" s="241" t="s">
        <v>796</v>
      </c>
      <c r="W258" s="242" t="s">
        <v>558</v>
      </c>
    </row>
    <row r="259" spans="1:23" s="241" customFormat="1" ht="9.75" customHeight="1" x14ac:dyDescent="0.15">
      <c r="A259" s="448" t="s">
        <v>682</v>
      </c>
      <c r="B259" s="241">
        <v>187035</v>
      </c>
      <c r="C259" s="241">
        <v>103181</v>
      </c>
      <c r="D259" s="241">
        <v>24978</v>
      </c>
      <c r="E259" s="241">
        <v>24362</v>
      </c>
      <c r="F259" s="241">
        <v>34514</v>
      </c>
      <c r="G259" s="241" t="s">
        <v>796</v>
      </c>
      <c r="H259" s="241">
        <v>17109</v>
      </c>
      <c r="I259" s="241">
        <v>17109</v>
      </c>
      <c r="J259" s="241">
        <v>8342946</v>
      </c>
      <c r="K259" s="241">
        <v>3121817</v>
      </c>
      <c r="L259" s="241">
        <v>387607</v>
      </c>
      <c r="M259" s="241">
        <v>333506</v>
      </c>
      <c r="N259" s="241">
        <v>55900</v>
      </c>
      <c r="O259" s="241">
        <v>142338</v>
      </c>
      <c r="P259" s="241">
        <v>1965426</v>
      </c>
      <c r="Q259" s="241">
        <v>237040</v>
      </c>
      <c r="R259" s="241" t="s">
        <v>796</v>
      </c>
      <c r="S259" s="241">
        <v>101597</v>
      </c>
      <c r="T259" s="241">
        <v>101597</v>
      </c>
      <c r="U259" s="241" t="s">
        <v>796</v>
      </c>
      <c r="V259" s="241" t="s">
        <v>796</v>
      </c>
      <c r="W259" s="242" t="s">
        <v>683</v>
      </c>
    </row>
    <row r="260" spans="1:23" s="241" customFormat="1" ht="9.75" customHeight="1" x14ac:dyDescent="0.15">
      <c r="A260" s="448" t="s">
        <v>784</v>
      </c>
      <c r="B260" s="241">
        <v>98747</v>
      </c>
      <c r="C260" s="241">
        <v>30258</v>
      </c>
      <c r="D260" s="241">
        <v>68489</v>
      </c>
      <c r="E260" s="241" t="s">
        <v>796</v>
      </c>
      <c r="F260" s="241" t="s">
        <v>796</v>
      </c>
      <c r="G260" s="241" t="s">
        <v>796</v>
      </c>
      <c r="H260" s="241">
        <v>10267</v>
      </c>
      <c r="I260" s="241">
        <v>10267</v>
      </c>
      <c r="J260" s="241">
        <v>7752146</v>
      </c>
      <c r="K260" s="241">
        <v>2945569</v>
      </c>
      <c r="L260" s="241">
        <v>546589</v>
      </c>
      <c r="M260" s="241">
        <v>1845404</v>
      </c>
      <c r="N260" s="241" t="s">
        <v>796</v>
      </c>
      <c r="O260" s="241" t="s">
        <v>796</v>
      </c>
      <c r="P260" s="241">
        <v>447184</v>
      </c>
      <c r="Q260" s="241">
        <v>106392</v>
      </c>
      <c r="R260" s="241" t="s">
        <v>796</v>
      </c>
      <c r="S260" s="241" t="s">
        <v>796</v>
      </c>
      <c r="T260" s="241" t="s">
        <v>796</v>
      </c>
      <c r="U260" s="241" t="s">
        <v>796</v>
      </c>
      <c r="V260" s="241" t="s">
        <v>796</v>
      </c>
      <c r="W260" s="242" t="s">
        <v>785</v>
      </c>
    </row>
    <row r="261" spans="1:23" s="241" customFormat="1" ht="9.75" customHeight="1" x14ac:dyDescent="0.15">
      <c r="A261" s="448" t="s">
        <v>832</v>
      </c>
      <c r="B261" s="241">
        <v>75975</v>
      </c>
      <c r="C261" s="241">
        <v>14399</v>
      </c>
      <c r="D261" s="241">
        <v>56274</v>
      </c>
      <c r="E261" s="241" t="s">
        <v>796</v>
      </c>
      <c r="F261" s="241">
        <v>5302</v>
      </c>
      <c r="G261" s="241" t="s">
        <v>796</v>
      </c>
      <c r="H261" s="241">
        <v>8476</v>
      </c>
      <c r="I261" s="241">
        <v>8476</v>
      </c>
      <c r="J261" s="241">
        <v>7241791</v>
      </c>
      <c r="K261" s="241">
        <v>3181721</v>
      </c>
      <c r="L261" s="241">
        <v>1093866</v>
      </c>
      <c r="M261" s="241">
        <v>1395028</v>
      </c>
      <c r="N261" s="241">
        <v>10000</v>
      </c>
      <c r="O261" s="241">
        <v>37071</v>
      </c>
      <c r="P261" s="241">
        <v>588603</v>
      </c>
      <c r="Q261" s="241">
        <v>57153</v>
      </c>
      <c r="R261" s="241" t="s">
        <v>796</v>
      </c>
      <c r="S261" s="241">
        <v>50005</v>
      </c>
      <c r="T261" s="241">
        <v>50005</v>
      </c>
      <c r="U261" s="241" t="s">
        <v>796</v>
      </c>
      <c r="V261" s="241" t="s">
        <v>796</v>
      </c>
      <c r="W261" s="242" t="s">
        <v>833</v>
      </c>
    </row>
    <row r="262" spans="1:23" s="241" customFormat="1" ht="6.75" customHeight="1" x14ac:dyDescent="0.15">
      <c r="A262" s="464"/>
      <c r="W262" s="242"/>
    </row>
    <row r="263" spans="1:23" s="241" customFormat="1" ht="9.75" customHeight="1" x14ac:dyDescent="0.15">
      <c r="A263" s="448" t="s">
        <v>834</v>
      </c>
      <c r="B263" s="241">
        <v>80606</v>
      </c>
      <c r="C263" s="241">
        <v>22784</v>
      </c>
      <c r="D263" s="241">
        <v>57822</v>
      </c>
      <c r="E263" s="241" t="s">
        <v>796</v>
      </c>
      <c r="F263" s="241" t="s">
        <v>796</v>
      </c>
      <c r="G263" s="241" t="s">
        <v>796</v>
      </c>
      <c r="H263" s="241">
        <v>10287</v>
      </c>
      <c r="I263" s="241">
        <v>10287</v>
      </c>
      <c r="J263" s="241">
        <v>7836893</v>
      </c>
      <c r="K263" s="241">
        <v>3191382</v>
      </c>
      <c r="L263" s="241">
        <v>594493</v>
      </c>
      <c r="M263" s="241">
        <v>2111069</v>
      </c>
      <c r="N263" s="241" t="s">
        <v>796</v>
      </c>
      <c r="O263" s="241" t="s">
        <v>796</v>
      </c>
      <c r="P263" s="241">
        <v>472206</v>
      </c>
      <c r="Q263" s="241">
        <v>13614</v>
      </c>
      <c r="R263" s="241" t="s">
        <v>796</v>
      </c>
      <c r="S263" s="241">
        <v>50005</v>
      </c>
      <c r="T263" s="241">
        <v>50005</v>
      </c>
      <c r="U263" s="241" t="s">
        <v>796</v>
      </c>
      <c r="V263" s="241" t="s">
        <v>796</v>
      </c>
      <c r="W263" s="242" t="s">
        <v>786</v>
      </c>
    </row>
    <row r="264" spans="1:23" s="241" customFormat="1" ht="9.75" customHeight="1" x14ac:dyDescent="0.15">
      <c r="A264" s="448" t="s">
        <v>835</v>
      </c>
      <c r="B264" s="241">
        <v>113782</v>
      </c>
      <c r="C264" s="241">
        <v>40920</v>
      </c>
      <c r="D264" s="241">
        <v>67560</v>
      </c>
      <c r="E264" s="241" t="s">
        <v>796</v>
      </c>
      <c r="F264" s="241">
        <v>5302</v>
      </c>
      <c r="G264" s="241" t="s">
        <v>796</v>
      </c>
      <c r="H264" s="241">
        <v>8828</v>
      </c>
      <c r="I264" s="241">
        <v>8828</v>
      </c>
      <c r="J264" s="241">
        <v>6708096</v>
      </c>
      <c r="K264" s="241">
        <v>2813373</v>
      </c>
      <c r="L264" s="241">
        <v>1039350</v>
      </c>
      <c r="M264" s="241">
        <v>1375807</v>
      </c>
      <c r="N264" s="241">
        <v>10000</v>
      </c>
      <c r="O264" s="241">
        <v>37071</v>
      </c>
      <c r="P264" s="241">
        <v>307606</v>
      </c>
      <c r="Q264" s="241">
        <v>43539</v>
      </c>
      <c r="R264" s="241" t="s">
        <v>796</v>
      </c>
      <c r="S264" s="241" t="s">
        <v>796</v>
      </c>
      <c r="T264" s="241" t="s">
        <v>796</v>
      </c>
      <c r="U264" s="241">
        <v>6650</v>
      </c>
      <c r="V264" s="241">
        <v>6650</v>
      </c>
      <c r="W264" s="242" t="s">
        <v>836</v>
      </c>
    </row>
    <row r="265" spans="1:23" s="241" customFormat="1" ht="6.75" customHeight="1" x14ac:dyDescent="0.15">
      <c r="A265" s="464"/>
      <c r="W265" s="242"/>
    </row>
    <row r="266" spans="1:23" s="241" customFormat="1" ht="9.75" customHeight="1" x14ac:dyDescent="0.15">
      <c r="A266" s="448" t="s">
        <v>837</v>
      </c>
      <c r="B266" s="241">
        <v>21870</v>
      </c>
      <c r="C266" s="241">
        <v>2056</v>
      </c>
      <c r="D266" s="241">
        <v>19814</v>
      </c>
      <c r="E266" s="241" t="s">
        <v>796</v>
      </c>
      <c r="F266" s="241" t="s">
        <v>796</v>
      </c>
      <c r="G266" s="241" t="s">
        <v>796</v>
      </c>
      <c r="H266" s="241">
        <v>1949</v>
      </c>
      <c r="I266" s="241">
        <v>1949</v>
      </c>
      <c r="J266" s="241">
        <v>2227465</v>
      </c>
      <c r="K266" s="241">
        <v>1064030</v>
      </c>
      <c r="L266" s="241">
        <v>175020</v>
      </c>
      <c r="M266" s="241">
        <v>594399</v>
      </c>
      <c r="N266" s="241" t="s">
        <v>796</v>
      </c>
      <c r="O266" s="241" t="s">
        <v>796</v>
      </c>
      <c r="P266" s="241">
        <v>280997</v>
      </c>
      <c r="Q266" s="241">
        <v>13614</v>
      </c>
      <c r="R266" s="241" t="s">
        <v>796</v>
      </c>
      <c r="S266" s="241">
        <v>50005</v>
      </c>
      <c r="T266" s="241">
        <v>50005</v>
      </c>
      <c r="U266" s="241" t="s">
        <v>796</v>
      </c>
      <c r="V266" s="241" t="s">
        <v>796</v>
      </c>
      <c r="W266" s="242" t="s">
        <v>787</v>
      </c>
    </row>
    <row r="267" spans="1:23" s="241" customFormat="1" ht="9.75" customHeight="1" x14ac:dyDescent="0.15">
      <c r="A267" s="448" t="s">
        <v>559</v>
      </c>
      <c r="B267" s="241" t="s">
        <v>796</v>
      </c>
      <c r="C267" s="241" t="s">
        <v>796</v>
      </c>
      <c r="D267" s="241" t="s">
        <v>796</v>
      </c>
      <c r="E267" s="241" t="s">
        <v>796</v>
      </c>
      <c r="F267" s="241" t="s">
        <v>796</v>
      </c>
      <c r="G267" s="241" t="s">
        <v>796</v>
      </c>
      <c r="H267" s="241">
        <v>2324</v>
      </c>
      <c r="I267" s="241">
        <v>2324</v>
      </c>
      <c r="J267" s="241">
        <v>1370349</v>
      </c>
      <c r="K267" s="241">
        <v>421394</v>
      </c>
      <c r="L267" s="241">
        <v>44202</v>
      </c>
      <c r="M267" s="241">
        <v>151118</v>
      </c>
      <c r="N267" s="241">
        <v>10000</v>
      </c>
      <c r="O267" s="241">
        <v>37071</v>
      </c>
      <c r="P267" s="241">
        <v>135464</v>
      </c>
      <c r="Q267" s="241">
        <v>43539</v>
      </c>
      <c r="R267" s="241" t="s">
        <v>796</v>
      </c>
      <c r="S267" s="241" t="s">
        <v>796</v>
      </c>
      <c r="T267" s="241" t="s">
        <v>796</v>
      </c>
      <c r="U267" s="241" t="s">
        <v>796</v>
      </c>
      <c r="V267" s="241" t="s">
        <v>796</v>
      </c>
      <c r="W267" s="242" t="s">
        <v>78</v>
      </c>
    </row>
    <row r="268" spans="1:23" s="241" customFormat="1" ht="9.75" customHeight="1" x14ac:dyDescent="0.15">
      <c r="A268" s="448" t="s">
        <v>560</v>
      </c>
      <c r="B268" s="241">
        <v>9000</v>
      </c>
      <c r="C268" s="241" t="s">
        <v>796</v>
      </c>
      <c r="D268" s="241">
        <v>9000</v>
      </c>
      <c r="E268" s="241" t="s">
        <v>796</v>
      </c>
      <c r="F268" s="241" t="s">
        <v>796</v>
      </c>
      <c r="G268" s="241" t="s">
        <v>796</v>
      </c>
      <c r="H268" s="241">
        <v>1991</v>
      </c>
      <c r="I268" s="241">
        <v>1991</v>
      </c>
      <c r="J268" s="241">
        <v>1582785</v>
      </c>
      <c r="K268" s="241">
        <v>719593</v>
      </c>
      <c r="L268" s="241">
        <v>447172</v>
      </c>
      <c r="M268" s="241">
        <v>209651</v>
      </c>
      <c r="N268" s="241" t="s">
        <v>796</v>
      </c>
      <c r="O268" s="241" t="s">
        <v>796</v>
      </c>
      <c r="P268" s="241">
        <v>62770</v>
      </c>
      <c r="Q268" s="241" t="s">
        <v>796</v>
      </c>
      <c r="R268" s="241" t="s">
        <v>796</v>
      </c>
      <c r="S268" s="241" t="s">
        <v>796</v>
      </c>
      <c r="T268" s="241" t="s">
        <v>796</v>
      </c>
      <c r="U268" s="241" t="s">
        <v>796</v>
      </c>
      <c r="V268" s="241" t="s">
        <v>796</v>
      </c>
      <c r="W268" s="242" t="s">
        <v>79</v>
      </c>
    </row>
    <row r="269" spans="1:23" s="241" customFormat="1" ht="9.75" customHeight="1" x14ac:dyDescent="0.15">
      <c r="A269" s="448" t="s">
        <v>561</v>
      </c>
      <c r="B269" s="241">
        <v>45105</v>
      </c>
      <c r="C269" s="241">
        <v>12343</v>
      </c>
      <c r="D269" s="241">
        <v>27460</v>
      </c>
      <c r="E269" s="241" t="s">
        <v>796</v>
      </c>
      <c r="F269" s="241">
        <v>5302</v>
      </c>
      <c r="G269" s="241" t="s">
        <v>796</v>
      </c>
      <c r="H269" s="241">
        <v>2212</v>
      </c>
      <c r="I269" s="241">
        <v>2212</v>
      </c>
      <c r="J269" s="241">
        <v>2061192</v>
      </c>
      <c r="K269" s="241">
        <v>976704</v>
      </c>
      <c r="L269" s="241">
        <v>427472</v>
      </c>
      <c r="M269" s="241">
        <v>439860</v>
      </c>
      <c r="N269" s="241" t="s">
        <v>796</v>
      </c>
      <c r="O269" s="241" t="s">
        <v>796</v>
      </c>
      <c r="P269" s="241">
        <v>109372</v>
      </c>
      <c r="Q269" s="241" t="s">
        <v>796</v>
      </c>
      <c r="R269" s="241" t="s">
        <v>796</v>
      </c>
      <c r="S269" s="241" t="s">
        <v>796</v>
      </c>
      <c r="T269" s="241" t="s">
        <v>796</v>
      </c>
      <c r="U269" s="241" t="s">
        <v>796</v>
      </c>
      <c r="V269" s="241" t="s">
        <v>796</v>
      </c>
      <c r="W269" s="242" t="s">
        <v>80</v>
      </c>
    </row>
    <row r="270" spans="1:23" s="241" customFormat="1" ht="9.75" customHeight="1" x14ac:dyDescent="0.15">
      <c r="A270" s="448" t="s">
        <v>838</v>
      </c>
      <c r="B270" s="241">
        <v>59677</v>
      </c>
      <c r="C270" s="241">
        <v>28577</v>
      </c>
      <c r="D270" s="241">
        <v>31100</v>
      </c>
      <c r="E270" s="241" t="s">
        <v>796</v>
      </c>
      <c r="F270" s="241" t="s">
        <v>796</v>
      </c>
      <c r="G270" s="241" t="s">
        <v>796</v>
      </c>
      <c r="H270" s="241">
        <v>2301</v>
      </c>
      <c r="I270" s="241">
        <v>2301</v>
      </c>
      <c r="J270" s="241">
        <v>1693770</v>
      </c>
      <c r="K270" s="241">
        <v>695682</v>
      </c>
      <c r="L270" s="241">
        <v>120504</v>
      </c>
      <c r="M270" s="241">
        <v>575178</v>
      </c>
      <c r="N270" s="241" t="s">
        <v>796</v>
      </c>
      <c r="O270" s="241" t="s">
        <v>796</v>
      </c>
      <c r="P270" s="241" t="s">
        <v>796</v>
      </c>
      <c r="Q270" s="241" t="s">
        <v>796</v>
      </c>
      <c r="R270" s="241" t="s">
        <v>796</v>
      </c>
      <c r="S270" s="241" t="s">
        <v>796</v>
      </c>
      <c r="T270" s="241" t="s">
        <v>796</v>
      </c>
      <c r="U270" s="241">
        <v>6650</v>
      </c>
      <c r="V270" s="241">
        <v>6650</v>
      </c>
      <c r="W270" s="242" t="s">
        <v>839</v>
      </c>
    </row>
    <row r="271" spans="1:23" s="241" customFormat="1" ht="6.75" customHeight="1" x14ac:dyDescent="0.15">
      <c r="A271" s="464"/>
      <c r="W271" s="242"/>
    </row>
    <row r="272" spans="1:23" s="241" customFormat="1" ht="9.75" customHeight="1" x14ac:dyDescent="0.15">
      <c r="A272" s="448" t="s">
        <v>840</v>
      </c>
      <c r="B272" s="241" t="s">
        <v>796</v>
      </c>
      <c r="C272" s="241" t="s">
        <v>796</v>
      </c>
      <c r="D272" s="241" t="s">
        <v>796</v>
      </c>
      <c r="E272" s="241" t="s">
        <v>796</v>
      </c>
      <c r="F272" s="241" t="s">
        <v>796</v>
      </c>
      <c r="G272" s="241" t="s">
        <v>796</v>
      </c>
      <c r="H272" s="241">
        <v>687</v>
      </c>
      <c r="I272" s="241">
        <v>687</v>
      </c>
      <c r="J272" s="241">
        <v>671287</v>
      </c>
      <c r="K272" s="241">
        <v>308468</v>
      </c>
      <c r="L272" s="241">
        <v>56342</v>
      </c>
      <c r="M272" s="241">
        <v>208881</v>
      </c>
      <c r="N272" s="241" t="s">
        <v>796</v>
      </c>
      <c r="O272" s="241" t="s">
        <v>796</v>
      </c>
      <c r="P272" s="241">
        <v>43245</v>
      </c>
      <c r="Q272" s="241" t="s">
        <v>796</v>
      </c>
      <c r="R272" s="241" t="s">
        <v>796</v>
      </c>
      <c r="S272" s="241" t="s">
        <v>796</v>
      </c>
      <c r="T272" s="241" t="s">
        <v>796</v>
      </c>
      <c r="U272" s="241" t="s">
        <v>796</v>
      </c>
      <c r="V272" s="241" t="s">
        <v>796</v>
      </c>
      <c r="W272" s="242" t="s">
        <v>788</v>
      </c>
    </row>
    <row r="273" spans="1:23" s="241" customFormat="1" ht="9.75" customHeight="1" x14ac:dyDescent="0.15">
      <c r="A273" s="448" t="s">
        <v>562</v>
      </c>
      <c r="B273" s="241" t="s">
        <v>796</v>
      </c>
      <c r="C273" s="241" t="s">
        <v>796</v>
      </c>
      <c r="D273" s="241" t="s">
        <v>796</v>
      </c>
      <c r="E273" s="241" t="s">
        <v>796</v>
      </c>
      <c r="F273" s="241" t="s">
        <v>796</v>
      </c>
      <c r="G273" s="241" t="s">
        <v>796</v>
      </c>
      <c r="H273" s="241">
        <v>567</v>
      </c>
      <c r="I273" s="241">
        <v>567</v>
      </c>
      <c r="J273" s="241">
        <v>736855</v>
      </c>
      <c r="K273" s="241">
        <v>315396</v>
      </c>
      <c r="L273" s="241">
        <v>53837</v>
      </c>
      <c r="M273" s="241">
        <v>173140</v>
      </c>
      <c r="N273" s="241" t="s">
        <v>796</v>
      </c>
      <c r="O273" s="241" t="s">
        <v>796</v>
      </c>
      <c r="P273" s="241">
        <v>88419</v>
      </c>
      <c r="Q273" s="241" t="s">
        <v>796</v>
      </c>
      <c r="R273" s="241" t="s">
        <v>796</v>
      </c>
      <c r="S273" s="241">
        <v>50005</v>
      </c>
      <c r="T273" s="241">
        <v>50005</v>
      </c>
      <c r="U273" s="241" t="s">
        <v>796</v>
      </c>
      <c r="V273" s="241" t="s">
        <v>796</v>
      </c>
      <c r="W273" s="242" t="s">
        <v>66</v>
      </c>
    </row>
    <row r="274" spans="1:23" s="241" customFormat="1" ht="9.75" customHeight="1" x14ac:dyDescent="0.15">
      <c r="A274" s="448" t="s">
        <v>563</v>
      </c>
      <c r="B274" s="241">
        <v>21870</v>
      </c>
      <c r="C274" s="241">
        <v>2056</v>
      </c>
      <c r="D274" s="241">
        <v>19814</v>
      </c>
      <c r="E274" s="241" t="s">
        <v>796</v>
      </c>
      <c r="F274" s="241" t="s">
        <v>796</v>
      </c>
      <c r="G274" s="241" t="s">
        <v>796</v>
      </c>
      <c r="H274" s="241">
        <v>695</v>
      </c>
      <c r="I274" s="241">
        <v>695</v>
      </c>
      <c r="J274" s="241">
        <v>819323</v>
      </c>
      <c r="K274" s="241">
        <v>440166</v>
      </c>
      <c r="L274" s="241">
        <v>64841</v>
      </c>
      <c r="M274" s="241">
        <v>212378</v>
      </c>
      <c r="N274" s="241" t="s">
        <v>796</v>
      </c>
      <c r="O274" s="241" t="s">
        <v>796</v>
      </c>
      <c r="P274" s="241">
        <v>149333</v>
      </c>
      <c r="Q274" s="241">
        <v>13614</v>
      </c>
      <c r="R274" s="241" t="s">
        <v>796</v>
      </c>
      <c r="S274" s="241" t="s">
        <v>796</v>
      </c>
      <c r="T274" s="241" t="s">
        <v>796</v>
      </c>
      <c r="U274" s="241" t="s">
        <v>796</v>
      </c>
      <c r="V274" s="241" t="s">
        <v>796</v>
      </c>
      <c r="W274" s="242" t="s">
        <v>67</v>
      </c>
    </row>
    <row r="275" spans="1:23" s="241" customFormat="1" ht="9.75" customHeight="1" x14ac:dyDescent="0.15">
      <c r="A275" s="448" t="s">
        <v>564</v>
      </c>
      <c r="B275" s="241" t="s">
        <v>796</v>
      </c>
      <c r="C275" s="241" t="s">
        <v>796</v>
      </c>
      <c r="D275" s="241" t="s">
        <v>796</v>
      </c>
      <c r="E275" s="241" t="s">
        <v>796</v>
      </c>
      <c r="F275" s="241" t="s">
        <v>796</v>
      </c>
      <c r="G275" s="241" t="s">
        <v>796</v>
      </c>
      <c r="H275" s="241">
        <v>1066</v>
      </c>
      <c r="I275" s="241">
        <v>1066</v>
      </c>
      <c r="J275" s="241">
        <v>541315</v>
      </c>
      <c r="K275" s="241">
        <v>209381</v>
      </c>
      <c r="L275" s="241">
        <v>9400</v>
      </c>
      <c r="M275" s="241">
        <v>23968</v>
      </c>
      <c r="N275" s="241">
        <v>10000</v>
      </c>
      <c r="O275" s="241" t="s">
        <v>796</v>
      </c>
      <c r="P275" s="241">
        <v>122474</v>
      </c>
      <c r="Q275" s="241">
        <v>43539</v>
      </c>
      <c r="R275" s="241" t="s">
        <v>796</v>
      </c>
      <c r="S275" s="241" t="s">
        <v>796</v>
      </c>
      <c r="T275" s="241" t="s">
        <v>796</v>
      </c>
      <c r="U275" s="241" t="s">
        <v>796</v>
      </c>
      <c r="V275" s="241" t="s">
        <v>796</v>
      </c>
      <c r="W275" s="242" t="s">
        <v>68</v>
      </c>
    </row>
    <row r="276" spans="1:23" s="241" customFormat="1" ht="9.75" customHeight="1" x14ac:dyDescent="0.15">
      <c r="A276" s="448" t="s">
        <v>565</v>
      </c>
      <c r="B276" s="241" t="s">
        <v>796</v>
      </c>
      <c r="C276" s="241" t="s">
        <v>796</v>
      </c>
      <c r="D276" s="241" t="s">
        <v>796</v>
      </c>
      <c r="E276" s="241" t="s">
        <v>796</v>
      </c>
      <c r="F276" s="241" t="s">
        <v>796</v>
      </c>
      <c r="G276" s="241" t="s">
        <v>796</v>
      </c>
      <c r="H276" s="241">
        <v>871</v>
      </c>
      <c r="I276" s="241">
        <v>871</v>
      </c>
      <c r="J276" s="241">
        <v>378502</v>
      </c>
      <c r="K276" s="241">
        <v>59880</v>
      </c>
      <c r="L276" s="241">
        <v>17401</v>
      </c>
      <c r="M276" s="241">
        <v>42479</v>
      </c>
      <c r="N276" s="241" t="s">
        <v>796</v>
      </c>
      <c r="O276" s="241" t="s">
        <v>796</v>
      </c>
      <c r="P276" s="241" t="s">
        <v>796</v>
      </c>
      <c r="Q276" s="241" t="s">
        <v>796</v>
      </c>
      <c r="R276" s="241" t="s">
        <v>796</v>
      </c>
      <c r="S276" s="241" t="s">
        <v>796</v>
      </c>
      <c r="T276" s="241" t="s">
        <v>796</v>
      </c>
      <c r="U276" s="241" t="s">
        <v>796</v>
      </c>
      <c r="V276" s="241" t="s">
        <v>796</v>
      </c>
      <c r="W276" s="242" t="s">
        <v>81</v>
      </c>
    </row>
    <row r="277" spans="1:23" s="241" customFormat="1" ht="9.75" customHeight="1" x14ac:dyDescent="0.15">
      <c r="A277" s="448" t="s">
        <v>566</v>
      </c>
      <c r="B277" s="241" t="s">
        <v>796</v>
      </c>
      <c r="C277" s="241" t="s">
        <v>796</v>
      </c>
      <c r="D277" s="241" t="s">
        <v>796</v>
      </c>
      <c r="E277" s="241" t="s">
        <v>796</v>
      </c>
      <c r="F277" s="241" t="s">
        <v>796</v>
      </c>
      <c r="G277" s="241" t="s">
        <v>796</v>
      </c>
      <c r="H277" s="241">
        <v>387</v>
      </c>
      <c r="I277" s="241">
        <v>387</v>
      </c>
      <c r="J277" s="241">
        <v>450532</v>
      </c>
      <c r="K277" s="241">
        <v>152133</v>
      </c>
      <c r="L277" s="241">
        <v>17401</v>
      </c>
      <c r="M277" s="241">
        <v>84671</v>
      </c>
      <c r="N277" s="241" t="s">
        <v>796</v>
      </c>
      <c r="O277" s="241">
        <v>37071</v>
      </c>
      <c r="P277" s="241">
        <v>12990</v>
      </c>
      <c r="Q277" s="241" t="s">
        <v>796</v>
      </c>
      <c r="R277" s="241" t="s">
        <v>796</v>
      </c>
      <c r="S277" s="241" t="s">
        <v>796</v>
      </c>
      <c r="T277" s="241" t="s">
        <v>796</v>
      </c>
      <c r="U277" s="241" t="s">
        <v>796</v>
      </c>
      <c r="V277" s="241" t="s">
        <v>796</v>
      </c>
      <c r="W277" s="242" t="s">
        <v>82</v>
      </c>
    </row>
    <row r="278" spans="1:23" s="241" customFormat="1" ht="9.75" customHeight="1" x14ac:dyDescent="0.15">
      <c r="A278" s="448" t="s">
        <v>567</v>
      </c>
      <c r="B278" s="241" t="s">
        <v>796</v>
      </c>
      <c r="C278" s="241" t="s">
        <v>796</v>
      </c>
      <c r="D278" s="241" t="s">
        <v>796</v>
      </c>
      <c r="E278" s="241" t="s">
        <v>796</v>
      </c>
      <c r="F278" s="241" t="s">
        <v>796</v>
      </c>
      <c r="G278" s="241" t="s">
        <v>796</v>
      </c>
      <c r="H278" s="241">
        <v>946</v>
      </c>
      <c r="I278" s="241">
        <v>946</v>
      </c>
      <c r="J278" s="241">
        <v>487650</v>
      </c>
      <c r="K278" s="241">
        <v>166321</v>
      </c>
      <c r="L278" s="241">
        <v>103551</v>
      </c>
      <c r="M278" s="241" t="s">
        <v>796</v>
      </c>
      <c r="N278" s="241" t="s">
        <v>796</v>
      </c>
      <c r="O278" s="241" t="s">
        <v>796</v>
      </c>
      <c r="P278" s="241">
        <v>62770</v>
      </c>
      <c r="Q278" s="241" t="s">
        <v>796</v>
      </c>
      <c r="R278" s="241" t="s">
        <v>796</v>
      </c>
      <c r="S278" s="241" t="s">
        <v>796</v>
      </c>
      <c r="T278" s="241" t="s">
        <v>796</v>
      </c>
      <c r="U278" s="241" t="s">
        <v>796</v>
      </c>
      <c r="V278" s="241" t="s">
        <v>796</v>
      </c>
      <c r="W278" s="242" t="s">
        <v>83</v>
      </c>
    </row>
    <row r="279" spans="1:23" s="241" customFormat="1" ht="9.75" customHeight="1" x14ac:dyDescent="0.15">
      <c r="A279" s="448" t="s">
        <v>568</v>
      </c>
      <c r="B279" s="241" t="s">
        <v>796</v>
      </c>
      <c r="C279" s="241" t="s">
        <v>796</v>
      </c>
      <c r="D279" s="241" t="s">
        <v>796</v>
      </c>
      <c r="E279" s="241" t="s">
        <v>796</v>
      </c>
      <c r="F279" s="241" t="s">
        <v>796</v>
      </c>
      <c r="G279" s="241" t="s">
        <v>796</v>
      </c>
      <c r="H279" s="241">
        <v>225</v>
      </c>
      <c r="I279" s="241">
        <v>225</v>
      </c>
      <c r="J279" s="241">
        <v>504201</v>
      </c>
      <c r="K279" s="241">
        <v>275935</v>
      </c>
      <c r="L279" s="241">
        <v>202314</v>
      </c>
      <c r="M279" s="241">
        <v>73621</v>
      </c>
      <c r="N279" s="241" t="s">
        <v>796</v>
      </c>
      <c r="O279" s="241" t="s">
        <v>796</v>
      </c>
      <c r="P279" s="241" t="s">
        <v>796</v>
      </c>
      <c r="Q279" s="241" t="s">
        <v>796</v>
      </c>
      <c r="R279" s="241" t="s">
        <v>796</v>
      </c>
      <c r="S279" s="241" t="s">
        <v>796</v>
      </c>
      <c r="T279" s="241" t="s">
        <v>796</v>
      </c>
      <c r="U279" s="241" t="s">
        <v>796</v>
      </c>
      <c r="V279" s="241" t="s">
        <v>796</v>
      </c>
      <c r="W279" s="242" t="s">
        <v>84</v>
      </c>
    </row>
    <row r="280" spans="1:23" s="241" customFormat="1" ht="9.75" customHeight="1" x14ac:dyDescent="0.15">
      <c r="A280" s="448" t="s">
        <v>569</v>
      </c>
      <c r="B280" s="241">
        <v>9000</v>
      </c>
      <c r="C280" s="241" t="s">
        <v>796</v>
      </c>
      <c r="D280" s="241">
        <v>9000</v>
      </c>
      <c r="E280" s="241" t="s">
        <v>796</v>
      </c>
      <c r="F280" s="241" t="s">
        <v>796</v>
      </c>
      <c r="G280" s="241" t="s">
        <v>796</v>
      </c>
      <c r="H280" s="241">
        <v>820</v>
      </c>
      <c r="I280" s="241">
        <v>820</v>
      </c>
      <c r="J280" s="241">
        <v>590934</v>
      </c>
      <c r="K280" s="241">
        <v>277337</v>
      </c>
      <c r="L280" s="241">
        <v>141307</v>
      </c>
      <c r="M280" s="241">
        <v>136030</v>
      </c>
      <c r="N280" s="241" t="s">
        <v>796</v>
      </c>
      <c r="O280" s="241" t="s">
        <v>796</v>
      </c>
      <c r="P280" s="241" t="s">
        <v>796</v>
      </c>
      <c r="Q280" s="241" t="s">
        <v>796</v>
      </c>
      <c r="R280" s="241" t="s">
        <v>796</v>
      </c>
      <c r="S280" s="241" t="s">
        <v>796</v>
      </c>
      <c r="T280" s="241" t="s">
        <v>796</v>
      </c>
      <c r="U280" s="241" t="s">
        <v>796</v>
      </c>
      <c r="V280" s="241" t="s">
        <v>796</v>
      </c>
      <c r="W280" s="242" t="s">
        <v>85</v>
      </c>
    </row>
    <row r="281" spans="1:23" s="241" customFormat="1" ht="9.75" customHeight="1" x14ac:dyDescent="0.15">
      <c r="A281" s="448" t="s">
        <v>570</v>
      </c>
      <c r="B281" s="241">
        <v>10536</v>
      </c>
      <c r="C281" s="241">
        <v>5234</v>
      </c>
      <c r="D281" s="241" t="s">
        <v>796</v>
      </c>
      <c r="E281" s="241" t="s">
        <v>796</v>
      </c>
      <c r="F281" s="241">
        <v>5302</v>
      </c>
      <c r="G281" s="241" t="s">
        <v>796</v>
      </c>
      <c r="H281" s="241">
        <v>638</v>
      </c>
      <c r="I281" s="241">
        <v>638</v>
      </c>
      <c r="J281" s="241">
        <v>552377</v>
      </c>
      <c r="K281" s="241">
        <v>216740</v>
      </c>
      <c r="L281" s="241">
        <v>121783</v>
      </c>
      <c r="M281" s="241">
        <v>94957</v>
      </c>
      <c r="N281" s="241" t="s">
        <v>796</v>
      </c>
      <c r="O281" s="241" t="s">
        <v>796</v>
      </c>
      <c r="P281" s="241" t="s">
        <v>796</v>
      </c>
      <c r="Q281" s="241" t="s">
        <v>796</v>
      </c>
      <c r="R281" s="241" t="s">
        <v>796</v>
      </c>
      <c r="S281" s="241" t="s">
        <v>796</v>
      </c>
      <c r="T281" s="241" t="s">
        <v>796</v>
      </c>
      <c r="U281" s="241" t="s">
        <v>796</v>
      </c>
      <c r="V281" s="241" t="s">
        <v>796</v>
      </c>
      <c r="W281" s="242" t="s">
        <v>69</v>
      </c>
    </row>
    <row r="282" spans="1:23" s="241" customFormat="1" ht="9.75" customHeight="1" x14ac:dyDescent="0.15">
      <c r="A282" s="448" t="s">
        <v>571</v>
      </c>
      <c r="B282" s="241">
        <v>5223</v>
      </c>
      <c r="C282" s="241">
        <v>5223</v>
      </c>
      <c r="D282" s="241" t="s">
        <v>796</v>
      </c>
      <c r="E282" s="241" t="s">
        <v>796</v>
      </c>
      <c r="F282" s="241" t="s">
        <v>796</v>
      </c>
      <c r="G282" s="241" t="s">
        <v>796</v>
      </c>
      <c r="H282" s="241">
        <v>655</v>
      </c>
      <c r="I282" s="241">
        <v>655</v>
      </c>
      <c r="J282" s="241">
        <v>675476</v>
      </c>
      <c r="K282" s="241">
        <v>321192</v>
      </c>
      <c r="L282" s="241">
        <v>110425</v>
      </c>
      <c r="M282" s="241">
        <v>159355</v>
      </c>
      <c r="N282" s="241" t="s">
        <v>796</v>
      </c>
      <c r="O282" s="241" t="s">
        <v>796</v>
      </c>
      <c r="P282" s="241">
        <v>51412</v>
      </c>
      <c r="Q282" s="241" t="s">
        <v>796</v>
      </c>
      <c r="R282" s="241" t="s">
        <v>796</v>
      </c>
      <c r="S282" s="241" t="s">
        <v>796</v>
      </c>
      <c r="T282" s="241" t="s">
        <v>796</v>
      </c>
      <c r="U282" s="241" t="s">
        <v>796</v>
      </c>
      <c r="V282" s="241" t="s">
        <v>796</v>
      </c>
      <c r="W282" s="242" t="s">
        <v>70</v>
      </c>
    </row>
    <row r="283" spans="1:23" s="241" customFormat="1" ht="9.75" customHeight="1" x14ac:dyDescent="0.15">
      <c r="A283" s="448" t="s">
        <v>572</v>
      </c>
      <c r="B283" s="241">
        <v>29346</v>
      </c>
      <c r="C283" s="241">
        <v>1886</v>
      </c>
      <c r="D283" s="241">
        <v>27460</v>
      </c>
      <c r="E283" s="241" t="s">
        <v>796</v>
      </c>
      <c r="F283" s="241" t="s">
        <v>796</v>
      </c>
      <c r="G283" s="241" t="s">
        <v>796</v>
      </c>
      <c r="H283" s="241">
        <v>919</v>
      </c>
      <c r="I283" s="241">
        <v>919</v>
      </c>
      <c r="J283" s="241">
        <v>833339</v>
      </c>
      <c r="K283" s="241">
        <v>438772</v>
      </c>
      <c r="L283" s="241">
        <v>195264</v>
      </c>
      <c r="M283" s="241">
        <v>185548</v>
      </c>
      <c r="N283" s="241" t="s">
        <v>796</v>
      </c>
      <c r="O283" s="241" t="s">
        <v>796</v>
      </c>
      <c r="P283" s="241">
        <v>57960</v>
      </c>
      <c r="Q283" s="241" t="s">
        <v>796</v>
      </c>
      <c r="R283" s="241" t="s">
        <v>796</v>
      </c>
      <c r="S283" s="241" t="s">
        <v>796</v>
      </c>
      <c r="T283" s="241" t="s">
        <v>796</v>
      </c>
      <c r="U283" s="241" t="s">
        <v>796</v>
      </c>
      <c r="V283" s="241" t="s">
        <v>796</v>
      </c>
      <c r="W283" s="242" t="s">
        <v>71</v>
      </c>
    </row>
    <row r="284" spans="1:23" s="241" customFormat="1" ht="9.75" customHeight="1" x14ac:dyDescent="0.15">
      <c r="A284" s="448" t="s">
        <v>841</v>
      </c>
      <c r="B284" s="241">
        <v>26482</v>
      </c>
      <c r="C284" s="241">
        <v>10682</v>
      </c>
      <c r="D284" s="241">
        <v>15800</v>
      </c>
      <c r="E284" s="241" t="s">
        <v>796</v>
      </c>
      <c r="F284" s="241" t="s">
        <v>796</v>
      </c>
      <c r="G284" s="241" t="s">
        <v>796</v>
      </c>
      <c r="H284" s="241">
        <v>731</v>
      </c>
      <c r="I284" s="241">
        <v>731</v>
      </c>
      <c r="J284" s="241">
        <v>521424</v>
      </c>
      <c r="K284" s="241">
        <v>176760</v>
      </c>
      <c r="L284" s="241">
        <v>7002</v>
      </c>
      <c r="M284" s="241">
        <v>169758</v>
      </c>
      <c r="N284" s="241" t="s">
        <v>796</v>
      </c>
      <c r="O284" s="241" t="s">
        <v>796</v>
      </c>
      <c r="P284" s="241" t="s">
        <v>796</v>
      </c>
      <c r="Q284" s="241" t="s">
        <v>796</v>
      </c>
      <c r="R284" s="241" t="s">
        <v>796</v>
      </c>
      <c r="S284" s="241" t="s">
        <v>796</v>
      </c>
      <c r="T284" s="241" t="s">
        <v>796</v>
      </c>
      <c r="U284" s="241">
        <v>6650</v>
      </c>
      <c r="V284" s="241">
        <v>6650</v>
      </c>
      <c r="W284" s="242" t="s">
        <v>842</v>
      </c>
    </row>
    <row r="285" spans="1:23" s="241" customFormat="1" ht="9.75" customHeight="1" x14ac:dyDescent="0.15">
      <c r="A285" s="448" t="s">
        <v>573</v>
      </c>
      <c r="B285" s="241">
        <v>21408</v>
      </c>
      <c r="C285" s="241">
        <v>6108</v>
      </c>
      <c r="D285" s="241">
        <v>15300</v>
      </c>
      <c r="E285" s="241" t="s">
        <v>796</v>
      </c>
      <c r="F285" s="241" t="s">
        <v>796</v>
      </c>
      <c r="G285" s="241" t="s">
        <v>796</v>
      </c>
      <c r="H285" s="241">
        <v>702</v>
      </c>
      <c r="I285" s="241">
        <v>702</v>
      </c>
      <c r="J285" s="241">
        <v>468233</v>
      </c>
      <c r="K285" s="241">
        <v>148703</v>
      </c>
      <c r="L285" s="241">
        <v>7000</v>
      </c>
      <c r="M285" s="241">
        <v>141703</v>
      </c>
      <c r="N285" s="241" t="s">
        <v>796</v>
      </c>
      <c r="O285" s="241" t="s">
        <v>796</v>
      </c>
      <c r="P285" s="241" t="s">
        <v>796</v>
      </c>
      <c r="Q285" s="241" t="s">
        <v>796</v>
      </c>
      <c r="R285" s="241" t="s">
        <v>796</v>
      </c>
      <c r="S285" s="241" t="s">
        <v>796</v>
      </c>
      <c r="T285" s="241" t="s">
        <v>796</v>
      </c>
      <c r="U285" s="241" t="s">
        <v>796</v>
      </c>
      <c r="V285" s="241" t="s">
        <v>796</v>
      </c>
      <c r="W285" s="242" t="s">
        <v>66</v>
      </c>
    </row>
    <row r="286" spans="1:23" s="241" customFormat="1" ht="9.75" customHeight="1" x14ac:dyDescent="0.15">
      <c r="A286" s="795" t="s">
        <v>574</v>
      </c>
      <c r="B286" s="796">
        <v>11787</v>
      </c>
      <c r="C286" s="797">
        <v>11787</v>
      </c>
      <c r="D286" s="797" t="s">
        <v>796</v>
      </c>
      <c r="E286" s="797" t="s">
        <v>796</v>
      </c>
      <c r="F286" s="797" t="s">
        <v>796</v>
      </c>
      <c r="G286" s="797" t="s">
        <v>796</v>
      </c>
      <c r="H286" s="797">
        <v>868</v>
      </c>
      <c r="I286" s="797">
        <v>868</v>
      </c>
      <c r="J286" s="797">
        <v>704113</v>
      </c>
      <c r="K286" s="797">
        <v>370219</v>
      </c>
      <c r="L286" s="797">
        <v>106502</v>
      </c>
      <c r="M286" s="797">
        <v>263717</v>
      </c>
      <c r="N286" s="797" t="s">
        <v>796</v>
      </c>
      <c r="O286" s="797" t="s">
        <v>796</v>
      </c>
      <c r="P286" s="797" t="s">
        <v>796</v>
      </c>
      <c r="Q286" s="797" t="s">
        <v>796</v>
      </c>
      <c r="R286" s="797" t="s">
        <v>796</v>
      </c>
      <c r="S286" s="797" t="s">
        <v>796</v>
      </c>
      <c r="T286" s="797" t="s">
        <v>796</v>
      </c>
      <c r="U286" s="797" t="s">
        <v>796</v>
      </c>
      <c r="V286" s="797" t="s">
        <v>796</v>
      </c>
      <c r="W286" s="798" t="s">
        <v>67</v>
      </c>
    </row>
    <row r="287" spans="1:23" ht="12" customHeight="1" x14ac:dyDescent="0.15"/>
    <row r="288" spans="1:23" ht="12" customHeight="1" x14ac:dyDescent="0.15"/>
    <row r="289" spans="1:23" ht="12" customHeight="1" x14ac:dyDescent="0.15">
      <c r="K289" s="246" t="s">
        <v>86</v>
      </c>
      <c r="V289" s="249" t="s">
        <v>924</v>
      </c>
    </row>
    <row r="290" spans="1:23" s="244" customFormat="1" ht="21" customHeight="1" x14ac:dyDescent="0.15">
      <c r="A290" s="1026" t="s">
        <v>153</v>
      </c>
      <c r="B290" s="799" t="s">
        <v>949</v>
      </c>
      <c r="C290" s="788"/>
      <c r="D290" s="789" t="s">
        <v>266</v>
      </c>
      <c r="E290" s="790"/>
      <c r="F290" s="790"/>
      <c r="G290" s="790"/>
      <c r="H290" s="790"/>
      <c r="I290" s="790"/>
      <c r="J290" s="790"/>
      <c r="K290" s="790"/>
      <c r="L290" s="790"/>
      <c r="M290" s="790"/>
      <c r="N290" s="790"/>
      <c r="O290" s="790"/>
      <c r="P290" s="790"/>
      <c r="Q290" s="790"/>
      <c r="R290" s="790"/>
      <c r="S290" s="790"/>
      <c r="T290" s="790"/>
      <c r="U290" s="790"/>
      <c r="V290" s="790"/>
      <c r="W290" s="1029" t="s">
        <v>72</v>
      </c>
    </row>
    <row r="291" spans="1:23" s="244" customFormat="1" ht="21" customHeight="1" x14ac:dyDescent="0.15">
      <c r="A291" s="1027"/>
      <c r="B291" s="789" t="s">
        <v>716</v>
      </c>
      <c r="C291" s="788"/>
      <c r="D291" s="1032" t="s">
        <v>265</v>
      </c>
      <c r="E291" s="789" t="s">
        <v>244</v>
      </c>
      <c r="F291" s="790"/>
      <c r="G291" s="790"/>
      <c r="H291" s="790"/>
      <c r="I291" s="790"/>
      <c r="J291" s="790"/>
      <c r="K291" s="790"/>
      <c r="L291" s="790"/>
      <c r="M291" s="790"/>
      <c r="N291" s="790"/>
      <c r="O291" s="790"/>
      <c r="P291" s="790"/>
      <c r="Q291" s="790"/>
      <c r="R291" s="790"/>
      <c r="S291" s="790"/>
      <c r="T291" s="790"/>
      <c r="U291" s="790"/>
      <c r="V291" s="790"/>
      <c r="W291" s="1030"/>
    </row>
    <row r="292" spans="1:23" s="244" customFormat="1" ht="52.5" customHeight="1" x14ac:dyDescent="0.15">
      <c r="A292" s="1028"/>
      <c r="B292" s="530" t="s">
        <v>292</v>
      </c>
      <c r="C292" s="245" t="s">
        <v>291</v>
      </c>
      <c r="D292" s="1033"/>
      <c r="E292" s="530" t="s">
        <v>920</v>
      </c>
      <c r="F292" s="245" t="s">
        <v>235</v>
      </c>
      <c r="G292" s="245" t="s">
        <v>921</v>
      </c>
      <c r="H292" s="245" t="s">
        <v>250</v>
      </c>
      <c r="I292" s="245" t="s">
        <v>307</v>
      </c>
      <c r="J292" s="245" t="s">
        <v>256</v>
      </c>
      <c r="K292" s="245" t="s">
        <v>301</v>
      </c>
      <c r="L292" s="245" t="s">
        <v>255</v>
      </c>
      <c r="M292" s="245" t="s">
        <v>234</v>
      </c>
      <c r="N292" s="245" t="s">
        <v>233</v>
      </c>
      <c r="O292" s="245" t="s">
        <v>282</v>
      </c>
      <c r="P292" s="245" t="s">
        <v>231</v>
      </c>
      <c r="Q292" s="245" t="s">
        <v>306</v>
      </c>
      <c r="R292" s="245" t="s">
        <v>260</v>
      </c>
      <c r="S292" s="245" t="s">
        <v>281</v>
      </c>
      <c r="T292" s="245" t="s">
        <v>279</v>
      </c>
      <c r="U292" s="245" t="s">
        <v>243</v>
      </c>
      <c r="V292" s="247" t="s">
        <v>242</v>
      </c>
      <c r="W292" s="1031"/>
    </row>
    <row r="293" spans="1:23" s="241" customFormat="1" ht="9.75" customHeight="1" x14ac:dyDescent="0.15">
      <c r="A293" s="645" t="s">
        <v>831</v>
      </c>
      <c r="B293" s="792">
        <v>5111862</v>
      </c>
      <c r="C293" s="793">
        <v>5111862</v>
      </c>
      <c r="D293" s="793">
        <v>749232</v>
      </c>
      <c r="E293" s="793">
        <v>711893</v>
      </c>
      <c r="F293" s="793">
        <v>115989</v>
      </c>
      <c r="G293" s="793">
        <v>132449</v>
      </c>
      <c r="H293" s="793">
        <v>35919</v>
      </c>
      <c r="I293" s="793">
        <v>66</v>
      </c>
      <c r="J293" s="793">
        <v>6381</v>
      </c>
      <c r="K293" s="793">
        <v>24349</v>
      </c>
      <c r="L293" s="793">
        <v>44811</v>
      </c>
      <c r="M293" s="793">
        <v>327748</v>
      </c>
      <c r="N293" s="793">
        <v>11745</v>
      </c>
      <c r="O293" s="793">
        <v>2717</v>
      </c>
      <c r="P293" s="793">
        <v>6836</v>
      </c>
      <c r="Q293" s="793">
        <v>3</v>
      </c>
      <c r="R293" s="793">
        <v>2442</v>
      </c>
      <c r="S293" s="793">
        <v>3</v>
      </c>
      <c r="T293" s="793" t="s">
        <v>796</v>
      </c>
      <c r="U293" s="793">
        <v>4</v>
      </c>
      <c r="V293" s="793" t="s">
        <v>796</v>
      </c>
      <c r="W293" s="794" t="s">
        <v>517</v>
      </c>
    </row>
    <row r="294" spans="1:23" s="241" customFormat="1" ht="9.75" customHeight="1" x14ac:dyDescent="0.15">
      <c r="A294" s="448" t="s">
        <v>557</v>
      </c>
      <c r="B294" s="241">
        <v>5356136</v>
      </c>
      <c r="C294" s="241">
        <v>5356136</v>
      </c>
      <c r="D294" s="241">
        <v>766211</v>
      </c>
      <c r="E294" s="241">
        <v>726285</v>
      </c>
      <c r="F294" s="241">
        <v>117046</v>
      </c>
      <c r="G294" s="241">
        <v>153485</v>
      </c>
      <c r="H294" s="241">
        <v>35061</v>
      </c>
      <c r="I294" s="241">
        <v>60</v>
      </c>
      <c r="J294" s="241">
        <v>9758</v>
      </c>
      <c r="K294" s="241">
        <v>23855</v>
      </c>
      <c r="L294" s="241">
        <v>53273</v>
      </c>
      <c r="M294" s="241">
        <v>302197</v>
      </c>
      <c r="N294" s="241">
        <v>11340</v>
      </c>
      <c r="O294" s="241">
        <v>3308</v>
      </c>
      <c r="P294" s="241">
        <v>11239</v>
      </c>
      <c r="Q294" s="241" t="s">
        <v>796</v>
      </c>
      <c r="R294" s="241">
        <v>5017</v>
      </c>
      <c r="S294" s="241">
        <v>6</v>
      </c>
      <c r="T294" s="241" t="s">
        <v>796</v>
      </c>
      <c r="U294" s="241">
        <v>34</v>
      </c>
      <c r="V294" s="241">
        <v>14</v>
      </c>
      <c r="W294" s="242" t="s">
        <v>558</v>
      </c>
    </row>
    <row r="295" spans="1:23" s="241" customFormat="1" ht="9.75" customHeight="1" x14ac:dyDescent="0.15">
      <c r="A295" s="448" t="s">
        <v>682</v>
      </c>
      <c r="B295" s="241">
        <v>5119532</v>
      </c>
      <c r="C295" s="241">
        <v>5119532</v>
      </c>
      <c r="D295" s="241">
        <v>809205</v>
      </c>
      <c r="E295" s="241">
        <v>774492</v>
      </c>
      <c r="F295" s="241">
        <v>111112</v>
      </c>
      <c r="G295" s="241">
        <v>126531</v>
      </c>
      <c r="H295" s="241">
        <v>42154</v>
      </c>
      <c r="I295" s="241">
        <v>119</v>
      </c>
      <c r="J295" s="241">
        <v>1990</v>
      </c>
      <c r="K295" s="241">
        <v>22428</v>
      </c>
      <c r="L295" s="241">
        <v>54519</v>
      </c>
      <c r="M295" s="241">
        <v>392084</v>
      </c>
      <c r="N295" s="241">
        <v>7558</v>
      </c>
      <c r="O295" s="241">
        <v>525</v>
      </c>
      <c r="P295" s="241">
        <v>9532</v>
      </c>
      <c r="Q295" s="241" t="s">
        <v>796</v>
      </c>
      <c r="R295" s="241">
        <v>5179</v>
      </c>
      <c r="S295" s="241" t="s">
        <v>796</v>
      </c>
      <c r="T295" s="241">
        <v>16</v>
      </c>
      <c r="U295" s="241" t="s">
        <v>796</v>
      </c>
      <c r="V295" s="241" t="s">
        <v>796</v>
      </c>
      <c r="W295" s="242" t="s">
        <v>683</v>
      </c>
    </row>
    <row r="296" spans="1:23" s="241" customFormat="1" ht="9.75" customHeight="1" x14ac:dyDescent="0.15">
      <c r="A296" s="448" t="s">
        <v>784</v>
      </c>
      <c r="B296" s="241">
        <v>4806577</v>
      </c>
      <c r="C296" s="241">
        <v>4806577</v>
      </c>
      <c r="D296" s="241">
        <v>601426</v>
      </c>
      <c r="E296" s="241">
        <v>576568</v>
      </c>
      <c r="F296" s="241">
        <v>95968</v>
      </c>
      <c r="G296" s="241">
        <v>91780</v>
      </c>
      <c r="H296" s="241">
        <v>23977</v>
      </c>
      <c r="I296" s="241">
        <v>168</v>
      </c>
      <c r="J296" s="241">
        <v>206</v>
      </c>
      <c r="K296" s="241">
        <v>13953</v>
      </c>
      <c r="L296" s="241">
        <v>32537</v>
      </c>
      <c r="M296" s="241">
        <v>292355</v>
      </c>
      <c r="N296" s="241">
        <v>6905</v>
      </c>
      <c r="O296" s="241">
        <v>884</v>
      </c>
      <c r="P296" s="241">
        <v>8045</v>
      </c>
      <c r="Q296" s="241" t="s">
        <v>796</v>
      </c>
      <c r="R296" s="241">
        <v>8332</v>
      </c>
      <c r="S296" s="241" t="s">
        <v>796</v>
      </c>
      <c r="T296" s="241" t="s">
        <v>796</v>
      </c>
      <c r="U296" s="241">
        <v>19</v>
      </c>
      <c r="V296" s="241" t="s">
        <v>796</v>
      </c>
      <c r="W296" s="242" t="s">
        <v>785</v>
      </c>
    </row>
    <row r="297" spans="1:23" s="241" customFormat="1" ht="9.75" customHeight="1" x14ac:dyDescent="0.15">
      <c r="A297" s="448" t="s">
        <v>832</v>
      </c>
      <c r="B297" s="241">
        <v>4010065</v>
      </c>
      <c r="C297" s="241">
        <v>4010065</v>
      </c>
      <c r="D297" s="241">
        <v>379514</v>
      </c>
      <c r="E297" s="241">
        <v>362341</v>
      </c>
      <c r="F297" s="241">
        <v>76530</v>
      </c>
      <c r="G297" s="241">
        <v>68953</v>
      </c>
      <c r="H297" s="241">
        <v>23423</v>
      </c>
      <c r="I297" s="241">
        <v>65</v>
      </c>
      <c r="J297" s="241">
        <v>1144</v>
      </c>
      <c r="K297" s="241">
        <v>8779</v>
      </c>
      <c r="L297" s="241">
        <v>25840</v>
      </c>
      <c r="M297" s="241">
        <v>137616</v>
      </c>
      <c r="N297" s="241">
        <v>5267</v>
      </c>
      <c r="O297" s="241">
        <v>712</v>
      </c>
      <c r="P297" s="241">
        <v>6558</v>
      </c>
      <c r="Q297" s="241" t="s">
        <v>796</v>
      </c>
      <c r="R297" s="241">
        <v>6613</v>
      </c>
      <c r="S297" s="241" t="s">
        <v>796</v>
      </c>
      <c r="T297" s="241" t="s">
        <v>796</v>
      </c>
      <c r="U297" s="241">
        <v>3</v>
      </c>
      <c r="V297" s="241">
        <v>13</v>
      </c>
      <c r="W297" s="242" t="s">
        <v>833</v>
      </c>
    </row>
    <row r="298" spans="1:23" s="241" customFormat="1" ht="6.75" customHeight="1" x14ac:dyDescent="0.15">
      <c r="A298" s="464"/>
      <c r="W298" s="242"/>
    </row>
    <row r="299" spans="1:23" s="241" customFormat="1" ht="9.75" customHeight="1" x14ac:dyDescent="0.15">
      <c r="A299" s="448" t="s">
        <v>834</v>
      </c>
      <c r="B299" s="241">
        <v>4595506</v>
      </c>
      <c r="C299" s="241">
        <v>4595506</v>
      </c>
      <c r="D299" s="241">
        <v>523212</v>
      </c>
      <c r="E299" s="241">
        <v>501273</v>
      </c>
      <c r="F299" s="241">
        <v>92740</v>
      </c>
      <c r="G299" s="241">
        <v>82946</v>
      </c>
      <c r="H299" s="241">
        <v>23714</v>
      </c>
      <c r="I299" s="241">
        <v>132</v>
      </c>
      <c r="J299" s="241">
        <v>256</v>
      </c>
      <c r="K299" s="241">
        <v>9001</v>
      </c>
      <c r="L299" s="241">
        <v>27992</v>
      </c>
      <c r="M299" s="241">
        <v>239386</v>
      </c>
      <c r="N299" s="241">
        <v>7157</v>
      </c>
      <c r="O299" s="241">
        <v>891</v>
      </c>
      <c r="P299" s="241">
        <v>8036</v>
      </c>
      <c r="Q299" s="241" t="s">
        <v>796</v>
      </c>
      <c r="R299" s="241">
        <v>7725</v>
      </c>
      <c r="S299" s="241" t="s">
        <v>796</v>
      </c>
      <c r="T299" s="241" t="s">
        <v>796</v>
      </c>
      <c r="U299" s="241">
        <v>19</v>
      </c>
      <c r="V299" s="241" t="s">
        <v>796</v>
      </c>
      <c r="W299" s="242" t="s">
        <v>786</v>
      </c>
    </row>
    <row r="300" spans="1:23" s="241" customFormat="1" ht="9.75" customHeight="1" x14ac:dyDescent="0.15">
      <c r="A300" s="448" t="s">
        <v>835</v>
      </c>
      <c r="B300" s="241">
        <v>3888073</v>
      </c>
      <c r="C300" s="241">
        <v>3888073</v>
      </c>
      <c r="D300" s="241">
        <v>415978</v>
      </c>
      <c r="E300" s="241">
        <v>400200</v>
      </c>
      <c r="F300" s="241">
        <v>100575</v>
      </c>
      <c r="G300" s="241">
        <v>75095</v>
      </c>
      <c r="H300" s="241">
        <v>27269</v>
      </c>
      <c r="I300" s="241">
        <v>80</v>
      </c>
      <c r="J300" s="241">
        <v>1196</v>
      </c>
      <c r="K300" s="241">
        <v>7360</v>
      </c>
      <c r="L300" s="241">
        <v>27130</v>
      </c>
      <c r="M300" s="241">
        <v>142917</v>
      </c>
      <c r="N300" s="241">
        <v>5151</v>
      </c>
      <c r="O300" s="241">
        <v>528</v>
      </c>
      <c r="P300" s="241">
        <v>6722</v>
      </c>
      <c r="Q300" s="241" t="s">
        <v>796</v>
      </c>
      <c r="R300" s="241">
        <v>5383</v>
      </c>
      <c r="S300" s="241" t="s">
        <v>796</v>
      </c>
      <c r="T300" s="241" t="s">
        <v>796</v>
      </c>
      <c r="U300" s="241">
        <v>19</v>
      </c>
      <c r="V300" s="241">
        <v>13</v>
      </c>
      <c r="W300" s="242" t="s">
        <v>836</v>
      </c>
    </row>
    <row r="301" spans="1:23" s="241" customFormat="1" ht="6.75" customHeight="1" x14ac:dyDescent="0.15">
      <c r="A301" s="464"/>
      <c r="W301" s="242"/>
    </row>
    <row r="302" spans="1:23" s="241" customFormat="1" ht="9.75" customHeight="1" x14ac:dyDescent="0.15">
      <c r="A302" s="448" t="s">
        <v>837</v>
      </c>
      <c r="B302" s="241">
        <v>1113430</v>
      </c>
      <c r="C302" s="241">
        <v>1113430</v>
      </c>
      <c r="D302" s="241">
        <v>97488</v>
      </c>
      <c r="E302" s="241">
        <v>92437</v>
      </c>
      <c r="F302" s="241">
        <v>20035</v>
      </c>
      <c r="G302" s="241">
        <v>18698</v>
      </c>
      <c r="H302" s="241">
        <v>5333</v>
      </c>
      <c r="I302" s="241">
        <v>15</v>
      </c>
      <c r="J302" s="241">
        <v>67</v>
      </c>
      <c r="K302" s="241">
        <v>2508</v>
      </c>
      <c r="L302" s="241">
        <v>6709</v>
      </c>
      <c r="M302" s="241">
        <v>32647</v>
      </c>
      <c r="N302" s="241">
        <v>1862</v>
      </c>
      <c r="O302" s="241">
        <v>263</v>
      </c>
      <c r="P302" s="241">
        <v>1752</v>
      </c>
      <c r="Q302" s="241" t="s">
        <v>796</v>
      </c>
      <c r="R302" s="241">
        <v>2290</v>
      </c>
      <c r="S302" s="241" t="s">
        <v>796</v>
      </c>
      <c r="T302" s="241" t="s">
        <v>796</v>
      </c>
      <c r="U302" s="241" t="s">
        <v>796</v>
      </c>
      <c r="V302" s="241" t="s">
        <v>796</v>
      </c>
      <c r="W302" s="242" t="s">
        <v>787</v>
      </c>
    </row>
    <row r="303" spans="1:23" s="241" customFormat="1" ht="9.75" customHeight="1" x14ac:dyDescent="0.15">
      <c r="A303" s="448" t="s">
        <v>559</v>
      </c>
      <c r="B303" s="241">
        <v>948955</v>
      </c>
      <c r="C303" s="241">
        <v>948955</v>
      </c>
      <c r="D303" s="241">
        <v>104589</v>
      </c>
      <c r="E303" s="241">
        <v>100466</v>
      </c>
      <c r="F303" s="241">
        <v>23175</v>
      </c>
      <c r="G303" s="241">
        <v>16854</v>
      </c>
      <c r="H303" s="241">
        <v>6264</v>
      </c>
      <c r="I303" s="241">
        <v>8</v>
      </c>
      <c r="J303" s="241">
        <v>79</v>
      </c>
      <c r="K303" s="241">
        <v>4219</v>
      </c>
      <c r="L303" s="241">
        <v>8194</v>
      </c>
      <c r="M303" s="241">
        <v>37109</v>
      </c>
      <c r="N303" s="241">
        <v>985</v>
      </c>
      <c r="O303" s="241">
        <v>189</v>
      </c>
      <c r="P303" s="241">
        <v>1543</v>
      </c>
      <c r="Q303" s="241" t="s">
        <v>796</v>
      </c>
      <c r="R303" s="241">
        <v>1632</v>
      </c>
      <c r="S303" s="241" t="s">
        <v>796</v>
      </c>
      <c r="T303" s="241" t="s">
        <v>796</v>
      </c>
      <c r="U303" s="241" t="s">
        <v>796</v>
      </c>
      <c r="V303" s="241">
        <v>7</v>
      </c>
      <c r="W303" s="242" t="s">
        <v>78</v>
      </c>
    </row>
    <row r="304" spans="1:23" s="241" customFormat="1" ht="9.75" customHeight="1" x14ac:dyDescent="0.15">
      <c r="A304" s="448" t="s">
        <v>560</v>
      </c>
      <c r="B304" s="241">
        <v>863192</v>
      </c>
      <c r="C304" s="241">
        <v>863192</v>
      </c>
      <c r="D304" s="241">
        <v>90867</v>
      </c>
      <c r="E304" s="241">
        <v>86756</v>
      </c>
      <c r="F304" s="241">
        <v>14876</v>
      </c>
      <c r="G304" s="241">
        <v>14249</v>
      </c>
      <c r="H304" s="241">
        <v>6613</v>
      </c>
      <c r="I304" s="241">
        <v>17</v>
      </c>
      <c r="J304" s="241">
        <v>950</v>
      </c>
      <c r="K304" s="241">
        <v>1167</v>
      </c>
      <c r="L304" s="241">
        <v>6219</v>
      </c>
      <c r="M304" s="241">
        <v>37893</v>
      </c>
      <c r="N304" s="241">
        <v>1274</v>
      </c>
      <c r="O304" s="241">
        <v>96</v>
      </c>
      <c r="P304" s="241">
        <v>1580</v>
      </c>
      <c r="Q304" s="241" t="s">
        <v>796</v>
      </c>
      <c r="R304" s="241">
        <v>1523</v>
      </c>
      <c r="S304" s="241" t="s">
        <v>796</v>
      </c>
      <c r="T304" s="241" t="s">
        <v>796</v>
      </c>
      <c r="U304" s="241">
        <v>3</v>
      </c>
      <c r="V304" s="241" t="s">
        <v>796</v>
      </c>
      <c r="W304" s="242" t="s">
        <v>79</v>
      </c>
    </row>
    <row r="305" spans="1:23" s="241" customFormat="1" ht="9.75" customHeight="1" x14ac:dyDescent="0.15">
      <c r="A305" s="448" t="s">
        <v>561</v>
      </c>
      <c r="B305" s="241">
        <v>1084488</v>
      </c>
      <c r="C305" s="241">
        <v>1084488</v>
      </c>
      <c r="D305" s="241">
        <v>86570</v>
      </c>
      <c r="E305" s="241">
        <v>82682</v>
      </c>
      <c r="F305" s="241">
        <v>18444</v>
      </c>
      <c r="G305" s="241">
        <v>19152</v>
      </c>
      <c r="H305" s="241">
        <v>5213</v>
      </c>
      <c r="I305" s="241">
        <v>25</v>
      </c>
      <c r="J305" s="241">
        <v>48</v>
      </c>
      <c r="K305" s="241">
        <v>885</v>
      </c>
      <c r="L305" s="241">
        <v>4718</v>
      </c>
      <c r="M305" s="241">
        <v>29967</v>
      </c>
      <c r="N305" s="241">
        <v>1146</v>
      </c>
      <c r="O305" s="241">
        <v>164</v>
      </c>
      <c r="P305" s="241">
        <v>1683</v>
      </c>
      <c r="Q305" s="241" t="s">
        <v>796</v>
      </c>
      <c r="R305" s="241">
        <v>1168</v>
      </c>
      <c r="S305" s="241" t="s">
        <v>796</v>
      </c>
      <c r="T305" s="241" t="s">
        <v>796</v>
      </c>
      <c r="U305" s="241" t="s">
        <v>796</v>
      </c>
      <c r="V305" s="241">
        <v>6</v>
      </c>
      <c r="W305" s="242" t="s">
        <v>80</v>
      </c>
    </row>
    <row r="306" spans="1:23" s="241" customFormat="1" ht="9.75" customHeight="1" x14ac:dyDescent="0.15">
      <c r="A306" s="448" t="s">
        <v>838</v>
      </c>
      <c r="B306" s="241">
        <v>991438</v>
      </c>
      <c r="C306" s="241">
        <v>991438</v>
      </c>
      <c r="D306" s="241">
        <v>133952</v>
      </c>
      <c r="E306" s="241">
        <v>130296</v>
      </c>
      <c r="F306" s="241">
        <v>44080</v>
      </c>
      <c r="G306" s="241">
        <v>24840</v>
      </c>
      <c r="H306" s="241">
        <v>9179</v>
      </c>
      <c r="I306" s="241">
        <v>30</v>
      </c>
      <c r="J306" s="241">
        <v>119</v>
      </c>
      <c r="K306" s="241">
        <v>1089</v>
      </c>
      <c r="L306" s="241">
        <v>7999</v>
      </c>
      <c r="M306" s="241">
        <v>37948</v>
      </c>
      <c r="N306" s="241">
        <v>1746</v>
      </c>
      <c r="O306" s="241">
        <v>79</v>
      </c>
      <c r="P306" s="241">
        <v>1916</v>
      </c>
      <c r="Q306" s="241" t="s">
        <v>796</v>
      </c>
      <c r="R306" s="241">
        <v>1060</v>
      </c>
      <c r="S306" s="241" t="s">
        <v>796</v>
      </c>
      <c r="T306" s="241" t="s">
        <v>796</v>
      </c>
      <c r="U306" s="241">
        <v>16</v>
      </c>
      <c r="V306" s="241" t="s">
        <v>796</v>
      </c>
      <c r="W306" s="242" t="s">
        <v>839</v>
      </c>
    </row>
    <row r="307" spans="1:23" s="241" customFormat="1" ht="6.75" customHeight="1" x14ac:dyDescent="0.15">
      <c r="A307" s="464"/>
      <c r="W307" s="242"/>
    </row>
    <row r="308" spans="1:23" s="241" customFormat="1" ht="9.75" customHeight="1" x14ac:dyDescent="0.15">
      <c r="A308" s="448" t="s">
        <v>840</v>
      </c>
      <c r="B308" s="241">
        <v>362819</v>
      </c>
      <c r="C308" s="241">
        <v>362819</v>
      </c>
      <c r="D308" s="241">
        <v>31326</v>
      </c>
      <c r="E308" s="241">
        <v>29991</v>
      </c>
      <c r="F308" s="241">
        <v>6498</v>
      </c>
      <c r="G308" s="241">
        <v>6230</v>
      </c>
      <c r="H308" s="241">
        <v>3296</v>
      </c>
      <c r="I308" s="241">
        <v>4</v>
      </c>
      <c r="J308" s="241" t="s">
        <v>796</v>
      </c>
      <c r="K308" s="241">
        <v>257</v>
      </c>
      <c r="L308" s="241">
        <v>3087</v>
      </c>
      <c r="M308" s="241">
        <v>8636</v>
      </c>
      <c r="N308" s="241">
        <v>568</v>
      </c>
      <c r="O308" s="241">
        <v>29</v>
      </c>
      <c r="P308" s="241">
        <v>606</v>
      </c>
      <c r="Q308" s="241" t="s">
        <v>796</v>
      </c>
      <c r="R308" s="241">
        <v>716</v>
      </c>
      <c r="S308" s="241" t="s">
        <v>796</v>
      </c>
      <c r="T308" s="241" t="s">
        <v>796</v>
      </c>
      <c r="U308" s="241" t="s">
        <v>796</v>
      </c>
      <c r="V308" s="241" t="s">
        <v>796</v>
      </c>
      <c r="W308" s="242" t="s">
        <v>788</v>
      </c>
    </row>
    <row r="309" spans="1:23" s="241" customFormat="1" ht="9.75" customHeight="1" x14ac:dyDescent="0.15">
      <c r="A309" s="448" t="s">
        <v>562</v>
      </c>
      <c r="B309" s="241">
        <v>371454</v>
      </c>
      <c r="C309" s="241">
        <v>371454</v>
      </c>
      <c r="D309" s="241">
        <v>28001</v>
      </c>
      <c r="E309" s="241">
        <v>26198</v>
      </c>
      <c r="F309" s="241">
        <v>7537</v>
      </c>
      <c r="G309" s="241">
        <v>2994</v>
      </c>
      <c r="H309" s="241">
        <v>1106</v>
      </c>
      <c r="I309" s="241">
        <v>5</v>
      </c>
      <c r="J309" s="241">
        <v>41</v>
      </c>
      <c r="K309" s="241">
        <v>489</v>
      </c>
      <c r="L309" s="241">
        <v>1901</v>
      </c>
      <c r="M309" s="241">
        <v>9788</v>
      </c>
      <c r="N309" s="241">
        <v>732</v>
      </c>
      <c r="O309" s="241">
        <v>141</v>
      </c>
      <c r="P309" s="241">
        <v>639</v>
      </c>
      <c r="Q309" s="241" t="s">
        <v>796</v>
      </c>
      <c r="R309" s="241">
        <v>710</v>
      </c>
      <c r="S309" s="241" t="s">
        <v>796</v>
      </c>
      <c r="T309" s="241" t="s">
        <v>796</v>
      </c>
      <c r="U309" s="241" t="s">
        <v>796</v>
      </c>
      <c r="V309" s="241" t="s">
        <v>796</v>
      </c>
      <c r="W309" s="242" t="s">
        <v>66</v>
      </c>
    </row>
    <row r="310" spans="1:23" s="241" customFormat="1" ht="9.75" customHeight="1" x14ac:dyDescent="0.15">
      <c r="A310" s="448" t="s">
        <v>563</v>
      </c>
      <c r="B310" s="241">
        <v>379157</v>
      </c>
      <c r="C310" s="241">
        <v>379157</v>
      </c>
      <c r="D310" s="241">
        <v>38161</v>
      </c>
      <c r="E310" s="241">
        <v>36248</v>
      </c>
      <c r="F310" s="241">
        <v>6000</v>
      </c>
      <c r="G310" s="241">
        <v>9474</v>
      </c>
      <c r="H310" s="241">
        <v>931</v>
      </c>
      <c r="I310" s="241">
        <v>6</v>
      </c>
      <c r="J310" s="241">
        <v>26</v>
      </c>
      <c r="K310" s="241">
        <v>1762</v>
      </c>
      <c r="L310" s="241">
        <v>1721</v>
      </c>
      <c r="M310" s="241">
        <v>14223</v>
      </c>
      <c r="N310" s="241">
        <v>562</v>
      </c>
      <c r="O310" s="241">
        <v>93</v>
      </c>
      <c r="P310" s="241">
        <v>507</v>
      </c>
      <c r="Q310" s="241" t="s">
        <v>796</v>
      </c>
      <c r="R310" s="241">
        <v>864</v>
      </c>
      <c r="S310" s="241" t="s">
        <v>796</v>
      </c>
      <c r="T310" s="241" t="s">
        <v>796</v>
      </c>
      <c r="U310" s="241" t="s">
        <v>796</v>
      </c>
      <c r="V310" s="241" t="s">
        <v>796</v>
      </c>
      <c r="W310" s="242" t="s">
        <v>67</v>
      </c>
    </row>
    <row r="311" spans="1:23" s="241" customFormat="1" ht="9.75" customHeight="1" x14ac:dyDescent="0.15">
      <c r="A311" s="448" t="s">
        <v>564</v>
      </c>
      <c r="B311" s="241">
        <v>331934</v>
      </c>
      <c r="C311" s="241">
        <v>331934</v>
      </c>
      <c r="D311" s="241">
        <v>38902</v>
      </c>
      <c r="E311" s="241">
        <v>37267</v>
      </c>
      <c r="F311" s="241">
        <v>7628</v>
      </c>
      <c r="G311" s="241">
        <v>6311</v>
      </c>
      <c r="H311" s="241">
        <v>3013</v>
      </c>
      <c r="I311" s="241">
        <v>6</v>
      </c>
      <c r="J311" s="241" t="s">
        <v>796</v>
      </c>
      <c r="K311" s="241">
        <v>394</v>
      </c>
      <c r="L311" s="241">
        <v>4899</v>
      </c>
      <c r="M311" s="241">
        <v>12947</v>
      </c>
      <c r="N311" s="241">
        <v>592</v>
      </c>
      <c r="O311" s="241">
        <v>55</v>
      </c>
      <c r="P311" s="241">
        <v>704</v>
      </c>
      <c r="Q311" s="241" t="s">
        <v>796</v>
      </c>
      <c r="R311" s="241">
        <v>625</v>
      </c>
      <c r="S311" s="241" t="s">
        <v>796</v>
      </c>
      <c r="T311" s="241" t="s">
        <v>796</v>
      </c>
      <c r="U311" s="241" t="s">
        <v>796</v>
      </c>
      <c r="V311" s="241">
        <v>7</v>
      </c>
      <c r="W311" s="242" t="s">
        <v>68</v>
      </c>
    </row>
    <row r="312" spans="1:23" s="241" customFormat="1" ht="9.75" customHeight="1" x14ac:dyDescent="0.15">
      <c r="A312" s="448" t="s">
        <v>565</v>
      </c>
      <c r="B312" s="241">
        <v>318622</v>
      </c>
      <c r="C312" s="241">
        <v>318622</v>
      </c>
      <c r="D312" s="241">
        <v>25206</v>
      </c>
      <c r="E312" s="241">
        <v>23911</v>
      </c>
      <c r="F312" s="241">
        <v>8600</v>
      </c>
      <c r="G312" s="241">
        <v>4553</v>
      </c>
      <c r="H312" s="241">
        <v>1222</v>
      </c>
      <c r="I312" s="241">
        <v>1</v>
      </c>
      <c r="J312" s="241">
        <v>14</v>
      </c>
      <c r="K312" s="241">
        <v>289</v>
      </c>
      <c r="L312" s="241">
        <v>1535</v>
      </c>
      <c r="M312" s="241">
        <v>6204</v>
      </c>
      <c r="N312" s="241">
        <v>317</v>
      </c>
      <c r="O312" s="241">
        <v>34</v>
      </c>
      <c r="P312" s="241">
        <v>418</v>
      </c>
      <c r="Q312" s="241" t="s">
        <v>796</v>
      </c>
      <c r="R312" s="241">
        <v>719</v>
      </c>
      <c r="S312" s="241" t="s">
        <v>796</v>
      </c>
      <c r="T312" s="241" t="s">
        <v>796</v>
      </c>
      <c r="U312" s="241" t="s">
        <v>796</v>
      </c>
      <c r="V312" s="241" t="s">
        <v>796</v>
      </c>
      <c r="W312" s="242" t="s">
        <v>81</v>
      </c>
    </row>
    <row r="313" spans="1:23" s="241" customFormat="1" ht="9.75" customHeight="1" x14ac:dyDescent="0.15">
      <c r="A313" s="448" t="s">
        <v>566</v>
      </c>
      <c r="B313" s="241">
        <v>298399</v>
      </c>
      <c r="C313" s="241">
        <v>298399</v>
      </c>
      <c r="D313" s="241">
        <v>40481</v>
      </c>
      <c r="E313" s="241">
        <v>39288</v>
      </c>
      <c r="F313" s="241">
        <v>6947</v>
      </c>
      <c r="G313" s="241">
        <v>5990</v>
      </c>
      <c r="H313" s="241">
        <v>2029</v>
      </c>
      <c r="I313" s="241">
        <v>1</v>
      </c>
      <c r="J313" s="241">
        <v>65</v>
      </c>
      <c r="K313" s="241">
        <v>3536</v>
      </c>
      <c r="L313" s="241">
        <v>1760</v>
      </c>
      <c r="M313" s="241">
        <v>17958</v>
      </c>
      <c r="N313" s="241">
        <v>76</v>
      </c>
      <c r="O313" s="241">
        <v>100</v>
      </c>
      <c r="P313" s="241">
        <v>421</v>
      </c>
      <c r="Q313" s="241" t="s">
        <v>796</v>
      </c>
      <c r="R313" s="241">
        <v>288</v>
      </c>
      <c r="S313" s="241" t="s">
        <v>796</v>
      </c>
      <c r="T313" s="241" t="s">
        <v>796</v>
      </c>
      <c r="U313" s="241" t="s">
        <v>796</v>
      </c>
      <c r="V313" s="241" t="s">
        <v>796</v>
      </c>
      <c r="W313" s="242" t="s">
        <v>82</v>
      </c>
    </row>
    <row r="314" spans="1:23" s="241" customFormat="1" ht="9.75" customHeight="1" x14ac:dyDescent="0.15">
      <c r="A314" s="448" t="s">
        <v>567</v>
      </c>
      <c r="B314" s="241">
        <v>321329</v>
      </c>
      <c r="C314" s="241">
        <v>321329</v>
      </c>
      <c r="D314" s="241">
        <v>37056</v>
      </c>
      <c r="E314" s="241">
        <v>35498</v>
      </c>
      <c r="F314" s="241">
        <v>6124</v>
      </c>
      <c r="G314" s="241">
        <v>5191</v>
      </c>
      <c r="H314" s="241">
        <v>4430</v>
      </c>
      <c r="I314" s="241">
        <v>3</v>
      </c>
      <c r="J314" s="241">
        <v>728</v>
      </c>
      <c r="K314" s="241">
        <v>220</v>
      </c>
      <c r="L314" s="241">
        <v>1896</v>
      </c>
      <c r="M314" s="241">
        <v>14918</v>
      </c>
      <c r="N314" s="241">
        <v>437</v>
      </c>
      <c r="O314" s="241">
        <v>35</v>
      </c>
      <c r="P314" s="241">
        <v>577</v>
      </c>
      <c r="Q314" s="241" t="s">
        <v>796</v>
      </c>
      <c r="R314" s="241">
        <v>785</v>
      </c>
      <c r="S314" s="241" t="s">
        <v>796</v>
      </c>
      <c r="T314" s="241" t="s">
        <v>796</v>
      </c>
      <c r="U314" s="241" t="s">
        <v>796</v>
      </c>
      <c r="V314" s="241" t="s">
        <v>796</v>
      </c>
      <c r="W314" s="242" t="s">
        <v>83</v>
      </c>
    </row>
    <row r="315" spans="1:23" s="241" customFormat="1" ht="9.75" customHeight="1" x14ac:dyDescent="0.15">
      <c r="A315" s="448" t="s">
        <v>568</v>
      </c>
      <c r="B315" s="241">
        <v>228266</v>
      </c>
      <c r="C315" s="241">
        <v>228266</v>
      </c>
      <c r="D315" s="241">
        <v>28233</v>
      </c>
      <c r="E315" s="241">
        <v>27163</v>
      </c>
      <c r="F315" s="241">
        <v>3763</v>
      </c>
      <c r="G315" s="241">
        <v>6828</v>
      </c>
      <c r="H315" s="241">
        <v>1158</v>
      </c>
      <c r="I315" s="241">
        <v>4</v>
      </c>
      <c r="J315" s="241">
        <v>173</v>
      </c>
      <c r="K315" s="241">
        <v>730</v>
      </c>
      <c r="L315" s="241">
        <v>2949</v>
      </c>
      <c r="M315" s="241">
        <v>10396</v>
      </c>
      <c r="N315" s="241">
        <v>165</v>
      </c>
      <c r="O315" s="241">
        <v>53</v>
      </c>
      <c r="P315" s="241">
        <v>481</v>
      </c>
      <c r="Q315" s="241" t="s">
        <v>796</v>
      </c>
      <c r="R315" s="241">
        <v>373</v>
      </c>
      <c r="S315" s="241" t="s">
        <v>796</v>
      </c>
      <c r="T315" s="241" t="s">
        <v>796</v>
      </c>
      <c r="U315" s="241" t="s">
        <v>796</v>
      </c>
      <c r="V315" s="241" t="s">
        <v>796</v>
      </c>
      <c r="W315" s="242" t="s">
        <v>84</v>
      </c>
    </row>
    <row r="316" spans="1:23" s="241" customFormat="1" ht="9.75" customHeight="1" x14ac:dyDescent="0.15">
      <c r="A316" s="448" t="s">
        <v>569</v>
      </c>
      <c r="B316" s="241">
        <v>313597</v>
      </c>
      <c r="C316" s="241">
        <v>313597</v>
      </c>
      <c r="D316" s="241">
        <v>25578</v>
      </c>
      <c r="E316" s="241">
        <v>24095</v>
      </c>
      <c r="F316" s="241">
        <v>4989</v>
      </c>
      <c r="G316" s="241">
        <v>2230</v>
      </c>
      <c r="H316" s="241">
        <v>1025</v>
      </c>
      <c r="I316" s="241">
        <v>10</v>
      </c>
      <c r="J316" s="241">
        <v>49</v>
      </c>
      <c r="K316" s="241">
        <v>217</v>
      </c>
      <c r="L316" s="241">
        <v>1374</v>
      </c>
      <c r="M316" s="241">
        <v>12579</v>
      </c>
      <c r="N316" s="241">
        <v>672</v>
      </c>
      <c r="O316" s="241">
        <v>8</v>
      </c>
      <c r="P316" s="241">
        <v>522</v>
      </c>
      <c r="Q316" s="241" t="s">
        <v>796</v>
      </c>
      <c r="R316" s="241">
        <v>365</v>
      </c>
      <c r="S316" s="241" t="s">
        <v>796</v>
      </c>
      <c r="T316" s="241" t="s">
        <v>796</v>
      </c>
      <c r="U316" s="241">
        <v>3</v>
      </c>
      <c r="V316" s="241" t="s">
        <v>796</v>
      </c>
      <c r="W316" s="242" t="s">
        <v>85</v>
      </c>
    </row>
    <row r="317" spans="1:23" s="241" customFormat="1" ht="9.75" customHeight="1" x14ac:dyDescent="0.15">
      <c r="A317" s="448" t="s">
        <v>570</v>
      </c>
      <c r="B317" s="241">
        <v>335637</v>
      </c>
      <c r="C317" s="241">
        <v>335637</v>
      </c>
      <c r="D317" s="241">
        <v>36277</v>
      </c>
      <c r="E317" s="241">
        <v>34848</v>
      </c>
      <c r="F317" s="241">
        <v>9265</v>
      </c>
      <c r="G317" s="241">
        <v>5518</v>
      </c>
      <c r="H317" s="241">
        <v>1131</v>
      </c>
      <c r="I317" s="241">
        <v>10</v>
      </c>
      <c r="J317" s="241">
        <v>31</v>
      </c>
      <c r="K317" s="241">
        <v>284</v>
      </c>
      <c r="L317" s="241">
        <v>1581</v>
      </c>
      <c r="M317" s="241">
        <v>15263</v>
      </c>
      <c r="N317" s="241">
        <v>665</v>
      </c>
      <c r="O317" s="241">
        <v>72</v>
      </c>
      <c r="P317" s="241">
        <v>435</v>
      </c>
      <c r="Q317" s="241" t="s">
        <v>796</v>
      </c>
      <c r="R317" s="241">
        <v>586</v>
      </c>
      <c r="S317" s="241" t="s">
        <v>796</v>
      </c>
      <c r="T317" s="241" t="s">
        <v>796</v>
      </c>
      <c r="U317" s="241" t="s">
        <v>796</v>
      </c>
      <c r="V317" s="241" t="s">
        <v>796</v>
      </c>
      <c r="W317" s="242" t="s">
        <v>69</v>
      </c>
    </row>
    <row r="318" spans="1:23" s="241" customFormat="1" ht="9.75" customHeight="1" x14ac:dyDescent="0.15">
      <c r="A318" s="448" t="s">
        <v>571</v>
      </c>
      <c r="B318" s="241">
        <v>354284</v>
      </c>
      <c r="C318" s="241">
        <v>354284</v>
      </c>
      <c r="D318" s="241">
        <v>23973</v>
      </c>
      <c r="E318" s="241">
        <v>22891</v>
      </c>
      <c r="F318" s="241">
        <v>4313</v>
      </c>
      <c r="G318" s="241">
        <v>7211</v>
      </c>
      <c r="H318" s="241">
        <v>2859</v>
      </c>
      <c r="I318" s="241">
        <v>8</v>
      </c>
      <c r="J318" s="241">
        <v>17</v>
      </c>
      <c r="K318" s="241">
        <v>278</v>
      </c>
      <c r="L318" s="241">
        <v>1298</v>
      </c>
      <c r="M318" s="241">
        <v>5743</v>
      </c>
      <c r="N318" s="241">
        <v>156</v>
      </c>
      <c r="O318" s="241">
        <v>22</v>
      </c>
      <c r="P318" s="241">
        <v>657</v>
      </c>
      <c r="Q318" s="241" t="s">
        <v>796</v>
      </c>
      <c r="R318" s="241">
        <v>329</v>
      </c>
      <c r="S318" s="241" t="s">
        <v>796</v>
      </c>
      <c r="T318" s="241" t="s">
        <v>796</v>
      </c>
      <c r="U318" s="241" t="s">
        <v>796</v>
      </c>
      <c r="V318" s="241" t="s">
        <v>796</v>
      </c>
      <c r="W318" s="242" t="s">
        <v>70</v>
      </c>
    </row>
    <row r="319" spans="1:23" s="241" customFormat="1" ht="9.75" customHeight="1" x14ac:dyDescent="0.15">
      <c r="A319" s="448" t="s">
        <v>572</v>
      </c>
      <c r="B319" s="241">
        <v>394567</v>
      </c>
      <c r="C319" s="241">
        <v>394567</v>
      </c>
      <c r="D319" s="241">
        <v>26320</v>
      </c>
      <c r="E319" s="241">
        <v>24943</v>
      </c>
      <c r="F319" s="241">
        <v>4866</v>
      </c>
      <c r="G319" s="241">
        <v>6423</v>
      </c>
      <c r="H319" s="241">
        <v>1223</v>
      </c>
      <c r="I319" s="241">
        <v>7</v>
      </c>
      <c r="J319" s="241" t="s">
        <v>796</v>
      </c>
      <c r="K319" s="241">
        <v>323</v>
      </c>
      <c r="L319" s="241">
        <v>1839</v>
      </c>
      <c r="M319" s="241">
        <v>8961</v>
      </c>
      <c r="N319" s="241">
        <v>325</v>
      </c>
      <c r="O319" s="241">
        <v>70</v>
      </c>
      <c r="P319" s="241">
        <v>591</v>
      </c>
      <c r="Q319" s="241" t="s">
        <v>796</v>
      </c>
      <c r="R319" s="241">
        <v>253</v>
      </c>
      <c r="S319" s="241" t="s">
        <v>796</v>
      </c>
      <c r="T319" s="241" t="s">
        <v>796</v>
      </c>
      <c r="U319" s="241" t="s">
        <v>796</v>
      </c>
      <c r="V319" s="241">
        <v>6</v>
      </c>
      <c r="W319" s="242" t="s">
        <v>71</v>
      </c>
    </row>
    <row r="320" spans="1:23" s="241" customFormat="1" ht="9.75" customHeight="1" x14ac:dyDescent="0.15">
      <c r="A320" s="448" t="s">
        <v>841</v>
      </c>
      <c r="B320" s="241">
        <v>338014</v>
      </c>
      <c r="C320" s="241">
        <v>338014</v>
      </c>
      <c r="D320" s="241">
        <v>44967</v>
      </c>
      <c r="E320" s="241">
        <v>44060</v>
      </c>
      <c r="F320" s="241">
        <v>13580</v>
      </c>
      <c r="G320" s="241">
        <v>8816</v>
      </c>
      <c r="H320" s="241">
        <v>6402</v>
      </c>
      <c r="I320" s="241">
        <v>7</v>
      </c>
      <c r="J320" s="241">
        <v>25</v>
      </c>
      <c r="K320" s="241">
        <v>270</v>
      </c>
      <c r="L320" s="241">
        <v>1796</v>
      </c>
      <c r="M320" s="241">
        <v>11662</v>
      </c>
      <c r="N320" s="241">
        <v>538</v>
      </c>
      <c r="O320" s="241">
        <v>41</v>
      </c>
      <c r="P320" s="241">
        <v>631</v>
      </c>
      <c r="Q320" s="241" t="s">
        <v>796</v>
      </c>
      <c r="R320" s="241">
        <v>245</v>
      </c>
      <c r="S320" s="241" t="s">
        <v>796</v>
      </c>
      <c r="T320" s="241" t="s">
        <v>796</v>
      </c>
      <c r="U320" s="241">
        <v>16</v>
      </c>
      <c r="V320" s="241" t="s">
        <v>796</v>
      </c>
      <c r="W320" s="242" t="s">
        <v>842</v>
      </c>
    </row>
    <row r="321" spans="1:23" s="241" customFormat="1" ht="9.75" customHeight="1" x14ac:dyDescent="0.15">
      <c r="A321" s="448" t="s">
        <v>573</v>
      </c>
      <c r="B321" s="241">
        <v>319530</v>
      </c>
      <c r="C321" s="241">
        <v>319530</v>
      </c>
      <c r="D321" s="241">
        <v>33938</v>
      </c>
      <c r="E321" s="241">
        <v>32849</v>
      </c>
      <c r="F321" s="241">
        <v>13709</v>
      </c>
      <c r="G321" s="241">
        <v>7342</v>
      </c>
      <c r="H321" s="241">
        <v>1467</v>
      </c>
      <c r="I321" s="241">
        <v>12</v>
      </c>
      <c r="J321" s="241">
        <v>16</v>
      </c>
      <c r="K321" s="241">
        <v>393</v>
      </c>
      <c r="L321" s="241">
        <v>4024</v>
      </c>
      <c r="M321" s="241">
        <v>4433</v>
      </c>
      <c r="N321" s="241">
        <v>470</v>
      </c>
      <c r="O321" s="241">
        <v>18</v>
      </c>
      <c r="P321" s="241">
        <v>621</v>
      </c>
      <c r="Q321" s="241" t="s">
        <v>796</v>
      </c>
      <c r="R321" s="241">
        <v>277</v>
      </c>
      <c r="S321" s="241" t="s">
        <v>796</v>
      </c>
      <c r="T321" s="241" t="s">
        <v>796</v>
      </c>
      <c r="U321" s="241" t="s">
        <v>796</v>
      </c>
      <c r="V321" s="241" t="s">
        <v>796</v>
      </c>
      <c r="W321" s="242" t="s">
        <v>66</v>
      </c>
    </row>
    <row r="322" spans="1:23" s="241" customFormat="1" ht="9.75" customHeight="1" x14ac:dyDescent="0.15">
      <c r="A322" s="795" t="s">
        <v>574</v>
      </c>
      <c r="B322" s="796">
        <v>333894</v>
      </c>
      <c r="C322" s="797">
        <v>333894</v>
      </c>
      <c r="D322" s="797">
        <v>55047</v>
      </c>
      <c r="E322" s="797">
        <v>53387</v>
      </c>
      <c r="F322" s="797">
        <v>16791</v>
      </c>
      <c r="G322" s="797">
        <v>8682</v>
      </c>
      <c r="H322" s="797">
        <v>1310</v>
      </c>
      <c r="I322" s="797">
        <v>11</v>
      </c>
      <c r="J322" s="797">
        <v>78</v>
      </c>
      <c r="K322" s="797">
        <v>426</v>
      </c>
      <c r="L322" s="797">
        <v>2179</v>
      </c>
      <c r="M322" s="797">
        <v>21853</v>
      </c>
      <c r="N322" s="797">
        <v>738</v>
      </c>
      <c r="O322" s="797">
        <v>20</v>
      </c>
      <c r="P322" s="797">
        <v>664</v>
      </c>
      <c r="Q322" s="797" t="s">
        <v>796</v>
      </c>
      <c r="R322" s="797">
        <v>538</v>
      </c>
      <c r="S322" s="797" t="s">
        <v>796</v>
      </c>
      <c r="T322" s="797" t="s">
        <v>796</v>
      </c>
      <c r="U322" s="797" t="s">
        <v>796</v>
      </c>
      <c r="V322" s="797" t="s">
        <v>796</v>
      </c>
      <c r="W322" s="798" t="s">
        <v>67</v>
      </c>
    </row>
    <row r="323" spans="1:23" ht="12" customHeight="1" x14ac:dyDescent="0.15"/>
    <row r="324" spans="1:23" ht="12" customHeight="1" x14ac:dyDescent="0.15"/>
    <row r="325" spans="1:23" ht="12" customHeight="1" x14ac:dyDescent="0.15">
      <c r="K325" s="246" t="s">
        <v>86</v>
      </c>
    </row>
    <row r="326" spans="1:23" s="244" customFormat="1" ht="21" customHeight="1" x14ac:dyDescent="0.15">
      <c r="A326" s="1026" t="s">
        <v>153</v>
      </c>
      <c r="B326" s="799" t="s">
        <v>263</v>
      </c>
      <c r="C326" s="790"/>
      <c r="D326" s="790"/>
      <c r="E326" s="790"/>
      <c r="F326" s="790"/>
      <c r="G326" s="790"/>
      <c r="H326" s="790"/>
      <c r="I326" s="790"/>
      <c r="J326" s="790"/>
      <c r="K326" s="790"/>
      <c r="L326" s="790"/>
      <c r="M326" s="790"/>
      <c r="N326" s="790"/>
      <c r="O326" s="790"/>
      <c r="P326" s="790"/>
      <c r="Q326" s="790"/>
      <c r="R326" s="790"/>
      <c r="S326" s="790"/>
      <c r="T326" s="790"/>
      <c r="U326" s="790"/>
      <c r="V326" s="790"/>
      <c r="W326" s="1029" t="s">
        <v>72</v>
      </c>
    </row>
    <row r="327" spans="1:23" s="244" customFormat="1" ht="21" customHeight="1" x14ac:dyDescent="0.15">
      <c r="A327" s="1027"/>
      <c r="B327" s="799" t="s">
        <v>239</v>
      </c>
      <c r="C327" s="790"/>
      <c r="D327" s="790"/>
      <c r="E327" s="790"/>
      <c r="F327" s="790"/>
      <c r="G327" s="790"/>
      <c r="H327" s="788"/>
      <c r="I327" s="789" t="s">
        <v>238</v>
      </c>
      <c r="J327" s="790"/>
      <c r="K327" s="790"/>
      <c r="L327" s="790"/>
      <c r="M327" s="790"/>
      <c r="N327" s="790"/>
      <c r="O327" s="790"/>
      <c r="P327" s="790"/>
      <c r="Q327" s="790"/>
      <c r="R327" s="790"/>
      <c r="S327" s="790"/>
      <c r="T327" s="788"/>
      <c r="U327" s="789" t="s">
        <v>237</v>
      </c>
      <c r="V327" s="790"/>
      <c r="W327" s="1030"/>
    </row>
    <row r="328" spans="1:23" s="244" customFormat="1" ht="52.5" customHeight="1" x14ac:dyDescent="0.15">
      <c r="A328" s="1028"/>
      <c r="B328" s="245" t="s">
        <v>230</v>
      </c>
      <c r="C328" s="245" t="s">
        <v>305</v>
      </c>
      <c r="D328" s="245" t="s">
        <v>304</v>
      </c>
      <c r="E328" s="248" t="s">
        <v>943</v>
      </c>
      <c r="F328" s="248" t="s">
        <v>950</v>
      </c>
      <c r="G328" s="245" t="s">
        <v>718</v>
      </c>
      <c r="H328" s="248" t="s">
        <v>951</v>
      </c>
      <c r="I328" s="530" t="s">
        <v>94</v>
      </c>
      <c r="J328" s="245" t="s">
        <v>490</v>
      </c>
      <c r="K328" s="245" t="s">
        <v>303</v>
      </c>
      <c r="L328" s="245" t="s">
        <v>264</v>
      </c>
      <c r="M328" s="245" t="s">
        <v>131</v>
      </c>
      <c r="N328" s="245" t="s">
        <v>227</v>
      </c>
      <c r="O328" s="245" t="s">
        <v>226</v>
      </c>
      <c r="P328" s="245" t="s">
        <v>254</v>
      </c>
      <c r="Q328" s="245" t="s">
        <v>225</v>
      </c>
      <c r="R328" s="245" t="s">
        <v>224</v>
      </c>
      <c r="S328" s="245" t="s">
        <v>253</v>
      </c>
      <c r="T328" s="245" t="s">
        <v>491</v>
      </c>
      <c r="U328" s="530" t="s">
        <v>96</v>
      </c>
      <c r="V328" s="247" t="s">
        <v>223</v>
      </c>
      <c r="W328" s="1031"/>
    </row>
    <row r="329" spans="1:23" s="241" customFormat="1" ht="9.75" customHeight="1" x14ac:dyDescent="0.15">
      <c r="A329" s="645" t="s">
        <v>831</v>
      </c>
      <c r="B329" s="792" t="s">
        <v>796</v>
      </c>
      <c r="C329" s="793">
        <v>3</v>
      </c>
      <c r="D329" s="793">
        <v>2</v>
      </c>
      <c r="E329" s="793">
        <v>202</v>
      </c>
      <c r="F329" s="793">
        <v>224</v>
      </c>
      <c r="G329" s="793" t="s">
        <v>796</v>
      </c>
      <c r="H329" s="793" t="s">
        <v>796</v>
      </c>
      <c r="I329" s="793">
        <v>28684</v>
      </c>
      <c r="J329" s="793" t="s">
        <v>796</v>
      </c>
      <c r="K329" s="793">
        <v>45</v>
      </c>
      <c r="L329" s="793">
        <v>224</v>
      </c>
      <c r="M329" s="793">
        <v>16760</v>
      </c>
      <c r="N329" s="793">
        <v>471</v>
      </c>
      <c r="O329" s="793">
        <v>6</v>
      </c>
      <c r="P329" s="793">
        <v>2471</v>
      </c>
      <c r="Q329" s="793">
        <v>25</v>
      </c>
      <c r="R329" s="793">
        <v>6389</v>
      </c>
      <c r="S329" s="793">
        <v>1793</v>
      </c>
      <c r="T329" s="793">
        <v>500</v>
      </c>
      <c r="U329" s="793">
        <v>3840</v>
      </c>
      <c r="V329" s="793">
        <v>3252</v>
      </c>
      <c r="W329" s="794" t="s">
        <v>517</v>
      </c>
    </row>
    <row r="330" spans="1:23" s="241" customFormat="1" ht="9.75" customHeight="1" x14ac:dyDescent="0.15">
      <c r="A330" s="448" t="s">
        <v>557</v>
      </c>
      <c r="B330" s="241" t="s">
        <v>796</v>
      </c>
      <c r="C330" s="241">
        <v>3</v>
      </c>
      <c r="D330" s="241" t="s">
        <v>796</v>
      </c>
      <c r="E330" s="241">
        <v>189</v>
      </c>
      <c r="F330" s="241">
        <v>400</v>
      </c>
      <c r="G330" s="241" t="s">
        <v>796</v>
      </c>
      <c r="H330" s="241" t="s">
        <v>796</v>
      </c>
      <c r="I330" s="241">
        <v>30626</v>
      </c>
      <c r="J330" s="241" t="s">
        <v>796</v>
      </c>
      <c r="K330" s="241">
        <v>47</v>
      </c>
      <c r="L330" s="241">
        <v>161</v>
      </c>
      <c r="M330" s="241">
        <v>17882</v>
      </c>
      <c r="N330" s="241" t="s">
        <v>796</v>
      </c>
      <c r="O330" s="241">
        <v>12</v>
      </c>
      <c r="P330" s="241">
        <v>2584</v>
      </c>
      <c r="Q330" s="241">
        <v>18</v>
      </c>
      <c r="R330" s="241">
        <v>9221</v>
      </c>
      <c r="S330" s="241">
        <v>417</v>
      </c>
      <c r="T330" s="241">
        <v>284</v>
      </c>
      <c r="U330" s="241">
        <v>4954</v>
      </c>
      <c r="V330" s="241">
        <v>3834</v>
      </c>
      <c r="W330" s="242" t="s">
        <v>558</v>
      </c>
    </row>
    <row r="331" spans="1:23" s="241" customFormat="1" ht="9.75" customHeight="1" x14ac:dyDescent="0.15">
      <c r="A331" s="448" t="s">
        <v>682</v>
      </c>
      <c r="B331" s="241" t="s">
        <v>796</v>
      </c>
      <c r="C331" s="241">
        <v>6</v>
      </c>
      <c r="D331" s="241" t="s">
        <v>796</v>
      </c>
      <c r="E331" s="241">
        <v>313</v>
      </c>
      <c r="F331" s="241">
        <v>416</v>
      </c>
      <c r="G331" s="241" t="s">
        <v>796</v>
      </c>
      <c r="H331" s="241">
        <v>10</v>
      </c>
      <c r="I331" s="241">
        <v>25169</v>
      </c>
      <c r="J331" s="241">
        <v>15</v>
      </c>
      <c r="K331" s="241">
        <v>31</v>
      </c>
      <c r="L331" s="241">
        <v>92</v>
      </c>
      <c r="M331" s="241">
        <v>15777</v>
      </c>
      <c r="N331" s="241" t="s">
        <v>796</v>
      </c>
      <c r="O331" s="241" t="s">
        <v>796</v>
      </c>
      <c r="P331" s="241">
        <v>1072</v>
      </c>
      <c r="Q331" s="241">
        <v>33</v>
      </c>
      <c r="R331" s="241">
        <v>7736</v>
      </c>
      <c r="S331" s="241">
        <v>49</v>
      </c>
      <c r="T331" s="241">
        <v>364</v>
      </c>
      <c r="U331" s="241">
        <v>5532</v>
      </c>
      <c r="V331" s="241">
        <v>4410</v>
      </c>
      <c r="W331" s="242" t="s">
        <v>683</v>
      </c>
    </row>
    <row r="332" spans="1:23" s="241" customFormat="1" ht="9.75" customHeight="1" x14ac:dyDescent="0.15">
      <c r="A332" s="448" t="s">
        <v>784</v>
      </c>
      <c r="B332" s="241">
        <v>36</v>
      </c>
      <c r="C332" s="241" t="s">
        <v>796</v>
      </c>
      <c r="D332" s="241" t="s">
        <v>796</v>
      </c>
      <c r="E332" s="241">
        <v>225</v>
      </c>
      <c r="F332" s="241">
        <v>992</v>
      </c>
      <c r="G332" s="241">
        <v>45</v>
      </c>
      <c r="H332" s="241">
        <v>141</v>
      </c>
      <c r="I332" s="241">
        <v>16462</v>
      </c>
      <c r="J332" s="241" t="s">
        <v>796</v>
      </c>
      <c r="K332" s="241">
        <v>15</v>
      </c>
      <c r="L332" s="241" t="s">
        <v>796</v>
      </c>
      <c r="M332" s="241">
        <v>10862</v>
      </c>
      <c r="N332" s="241" t="s">
        <v>796</v>
      </c>
      <c r="O332" s="241" t="s">
        <v>796</v>
      </c>
      <c r="P332" s="241">
        <v>16</v>
      </c>
      <c r="Q332" s="241" t="s">
        <v>796</v>
      </c>
      <c r="R332" s="241">
        <v>5406</v>
      </c>
      <c r="S332" s="241" t="s">
        <v>796</v>
      </c>
      <c r="T332" s="241">
        <v>163</v>
      </c>
      <c r="U332" s="241">
        <v>4619</v>
      </c>
      <c r="V332" s="241">
        <v>3299</v>
      </c>
      <c r="W332" s="242" t="s">
        <v>785</v>
      </c>
    </row>
    <row r="333" spans="1:23" s="241" customFormat="1" ht="9.75" customHeight="1" x14ac:dyDescent="0.15">
      <c r="A333" s="448" t="s">
        <v>832</v>
      </c>
      <c r="B333" s="241" t="s">
        <v>796</v>
      </c>
      <c r="C333" s="241">
        <v>2</v>
      </c>
      <c r="D333" s="241">
        <v>1</v>
      </c>
      <c r="E333" s="241">
        <v>365</v>
      </c>
      <c r="F333" s="241">
        <v>320</v>
      </c>
      <c r="G333" s="241">
        <v>137</v>
      </c>
      <c r="H333" s="241" t="s">
        <v>796</v>
      </c>
      <c r="I333" s="241">
        <v>5837</v>
      </c>
      <c r="J333" s="241" t="s">
        <v>796</v>
      </c>
      <c r="K333" s="241" t="s">
        <v>796</v>
      </c>
      <c r="L333" s="241" t="s">
        <v>796</v>
      </c>
      <c r="M333" s="241">
        <v>3699</v>
      </c>
      <c r="N333" s="241" t="s">
        <v>796</v>
      </c>
      <c r="O333" s="241" t="s">
        <v>796</v>
      </c>
      <c r="P333" s="241">
        <v>6</v>
      </c>
      <c r="Q333" s="241">
        <v>10</v>
      </c>
      <c r="R333" s="241">
        <v>2106</v>
      </c>
      <c r="S333" s="241">
        <v>16</v>
      </c>
      <c r="T333" s="241" t="s">
        <v>796</v>
      </c>
      <c r="U333" s="241">
        <v>6639</v>
      </c>
      <c r="V333" s="241">
        <v>4453</v>
      </c>
      <c r="W333" s="242" t="s">
        <v>833</v>
      </c>
    </row>
    <row r="334" spans="1:23" s="241" customFormat="1" ht="6.75" customHeight="1" x14ac:dyDescent="0.15">
      <c r="A334" s="464"/>
      <c r="W334" s="242"/>
    </row>
    <row r="335" spans="1:23" s="241" customFormat="1" ht="9.75" customHeight="1" x14ac:dyDescent="0.15">
      <c r="A335" s="448" t="s">
        <v>834</v>
      </c>
      <c r="B335" s="241">
        <v>36</v>
      </c>
      <c r="C335" s="241">
        <v>1</v>
      </c>
      <c r="D335" s="241">
        <v>1</v>
      </c>
      <c r="E335" s="241">
        <v>270</v>
      </c>
      <c r="F335" s="241">
        <v>832</v>
      </c>
      <c r="G335" s="241">
        <v>30</v>
      </c>
      <c r="H335" s="241">
        <v>108</v>
      </c>
      <c r="I335" s="241">
        <v>13144</v>
      </c>
      <c r="J335" s="241" t="s">
        <v>796</v>
      </c>
      <c r="K335" s="241">
        <v>15</v>
      </c>
      <c r="L335" s="241" t="s">
        <v>796</v>
      </c>
      <c r="M335" s="241">
        <v>7870</v>
      </c>
      <c r="N335" s="241" t="s">
        <v>796</v>
      </c>
      <c r="O335" s="241" t="s">
        <v>796</v>
      </c>
      <c r="P335" s="241">
        <v>1</v>
      </c>
      <c r="Q335" s="241" t="s">
        <v>796</v>
      </c>
      <c r="R335" s="241">
        <v>5165</v>
      </c>
      <c r="S335" s="241" t="s">
        <v>796</v>
      </c>
      <c r="T335" s="241">
        <v>93</v>
      </c>
      <c r="U335" s="241">
        <v>4837</v>
      </c>
      <c r="V335" s="241">
        <v>3370</v>
      </c>
      <c r="W335" s="242" t="s">
        <v>786</v>
      </c>
    </row>
    <row r="336" spans="1:23" s="241" customFormat="1" ht="9.75" customHeight="1" x14ac:dyDescent="0.15">
      <c r="A336" s="448" t="s">
        <v>835</v>
      </c>
      <c r="B336" s="241" t="s">
        <v>796</v>
      </c>
      <c r="C336" s="241">
        <v>1</v>
      </c>
      <c r="D336" s="241" t="s">
        <v>796</v>
      </c>
      <c r="E336" s="241">
        <v>434</v>
      </c>
      <c r="F336" s="241">
        <v>160</v>
      </c>
      <c r="G336" s="241">
        <v>167</v>
      </c>
      <c r="H336" s="241" t="s">
        <v>796</v>
      </c>
      <c r="I336" s="241">
        <v>4122</v>
      </c>
      <c r="J336" s="241" t="s">
        <v>796</v>
      </c>
      <c r="K336" s="241" t="s">
        <v>796</v>
      </c>
      <c r="L336" s="241" t="s">
        <v>796</v>
      </c>
      <c r="M336" s="241">
        <v>3795</v>
      </c>
      <c r="N336" s="241" t="s">
        <v>796</v>
      </c>
      <c r="O336" s="241" t="s">
        <v>796</v>
      </c>
      <c r="P336" s="241">
        <v>14</v>
      </c>
      <c r="Q336" s="241">
        <v>15</v>
      </c>
      <c r="R336" s="241">
        <v>266</v>
      </c>
      <c r="S336" s="241">
        <v>32</v>
      </c>
      <c r="T336" s="241" t="s">
        <v>796</v>
      </c>
      <c r="U336" s="241">
        <v>7020</v>
      </c>
      <c r="V336" s="241">
        <v>4813</v>
      </c>
      <c r="W336" s="242" t="s">
        <v>836</v>
      </c>
    </row>
    <row r="337" spans="1:23" s="241" customFormat="1" ht="6.75" customHeight="1" x14ac:dyDescent="0.15">
      <c r="A337" s="464"/>
      <c r="W337" s="242"/>
    </row>
    <row r="338" spans="1:23" s="241" customFormat="1" ht="9.75" customHeight="1" x14ac:dyDescent="0.15">
      <c r="A338" s="448" t="s">
        <v>837</v>
      </c>
      <c r="B338" s="241" t="s">
        <v>796</v>
      </c>
      <c r="C338" s="241">
        <v>1</v>
      </c>
      <c r="D338" s="241">
        <v>1</v>
      </c>
      <c r="E338" s="241">
        <v>96</v>
      </c>
      <c r="F338" s="241">
        <v>160</v>
      </c>
      <c r="G338" s="241" t="s">
        <v>796</v>
      </c>
      <c r="H338" s="241" t="s">
        <v>796</v>
      </c>
      <c r="I338" s="241">
        <v>2668</v>
      </c>
      <c r="J338" s="241" t="s">
        <v>796</v>
      </c>
      <c r="K338" s="241" t="s">
        <v>796</v>
      </c>
      <c r="L338" s="241" t="s">
        <v>796</v>
      </c>
      <c r="M338" s="241">
        <v>827</v>
      </c>
      <c r="N338" s="241" t="s">
        <v>796</v>
      </c>
      <c r="O338" s="241" t="s">
        <v>796</v>
      </c>
      <c r="P338" s="241">
        <v>1</v>
      </c>
      <c r="Q338" s="241" t="s">
        <v>796</v>
      </c>
      <c r="R338" s="241">
        <v>1840</v>
      </c>
      <c r="S338" s="241" t="s">
        <v>796</v>
      </c>
      <c r="T338" s="241" t="s">
        <v>796</v>
      </c>
      <c r="U338" s="241">
        <v>1376</v>
      </c>
      <c r="V338" s="241">
        <v>869</v>
      </c>
      <c r="W338" s="242" t="s">
        <v>787</v>
      </c>
    </row>
    <row r="339" spans="1:23" s="241" customFormat="1" ht="9.75" customHeight="1" x14ac:dyDescent="0.15">
      <c r="A339" s="448" t="s">
        <v>559</v>
      </c>
      <c r="B339" s="241" t="s">
        <v>796</v>
      </c>
      <c r="C339" s="241">
        <v>1</v>
      </c>
      <c r="D339" s="241" t="s">
        <v>796</v>
      </c>
      <c r="E339" s="241">
        <v>97</v>
      </c>
      <c r="F339" s="241">
        <v>80</v>
      </c>
      <c r="G339" s="241">
        <v>30</v>
      </c>
      <c r="H339" s="241" t="s">
        <v>796</v>
      </c>
      <c r="I339" s="241">
        <v>1150</v>
      </c>
      <c r="J339" s="241" t="s">
        <v>796</v>
      </c>
      <c r="K339" s="241" t="s">
        <v>796</v>
      </c>
      <c r="L339" s="241" t="s">
        <v>796</v>
      </c>
      <c r="M339" s="241">
        <v>998</v>
      </c>
      <c r="N339" s="241" t="s">
        <v>796</v>
      </c>
      <c r="O339" s="241" t="s">
        <v>796</v>
      </c>
      <c r="P339" s="241">
        <v>1</v>
      </c>
      <c r="Q339" s="241">
        <v>10</v>
      </c>
      <c r="R339" s="241">
        <v>141</v>
      </c>
      <c r="S339" s="241" t="s">
        <v>796</v>
      </c>
      <c r="T339" s="241" t="s">
        <v>796</v>
      </c>
      <c r="U339" s="241">
        <v>1583</v>
      </c>
      <c r="V339" s="241">
        <v>1099</v>
      </c>
      <c r="W339" s="242" t="s">
        <v>78</v>
      </c>
    </row>
    <row r="340" spans="1:23" s="241" customFormat="1" ht="9.75" customHeight="1" x14ac:dyDescent="0.15">
      <c r="A340" s="448" t="s">
        <v>560</v>
      </c>
      <c r="B340" s="241" t="s">
        <v>796</v>
      </c>
      <c r="C340" s="241" t="s">
        <v>796</v>
      </c>
      <c r="D340" s="241" t="s">
        <v>796</v>
      </c>
      <c r="E340" s="241">
        <v>139</v>
      </c>
      <c r="F340" s="241">
        <v>80</v>
      </c>
      <c r="G340" s="241">
        <v>77</v>
      </c>
      <c r="H340" s="241" t="s">
        <v>796</v>
      </c>
      <c r="I340" s="241">
        <v>1155</v>
      </c>
      <c r="J340" s="241" t="s">
        <v>796</v>
      </c>
      <c r="K340" s="241" t="s">
        <v>796</v>
      </c>
      <c r="L340" s="241" t="s">
        <v>796</v>
      </c>
      <c r="M340" s="241">
        <v>1045</v>
      </c>
      <c r="N340" s="241" t="s">
        <v>796</v>
      </c>
      <c r="O340" s="241" t="s">
        <v>796</v>
      </c>
      <c r="P340" s="241" t="s">
        <v>796</v>
      </c>
      <c r="Q340" s="241" t="s">
        <v>796</v>
      </c>
      <c r="R340" s="241">
        <v>110</v>
      </c>
      <c r="S340" s="241" t="s">
        <v>796</v>
      </c>
      <c r="T340" s="241" t="s">
        <v>796</v>
      </c>
      <c r="U340" s="241">
        <v>1691</v>
      </c>
      <c r="V340" s="241">
        <v>1159</v>
      </c>
      <c r="W340" s="242" t="s">
        <v>79</v>
      </c>
    </row>
    <row r="341" spans="1:23" s="241" customFormat="1" ht="9.75" customHeight="1" x14ac:dyDescent="0.15">
      <c r="A341" s="448" t="s">
        <v>561</v>
      </c>
      <c r="B341" s="241" t="s">
        <v>796</v>
      </c>
      <c r="C341" s="241" t="s">
        <v>796</v>
      </c>
      <c r="D341" s="241" t="s">
        <v>796</v>
      </c>
      <c r="E341" s="241">
        <v>33</v>
      </c>
      <c r="F341" s="241" t="s">
        <v>796</v>
      </c>
      <c r="G341" s="241">
        <v>30</v>
      </c>
      <c r="H341" s="241" t="s">
        <v>796</v>
      </c>
      <c r="I341" s="241">
        <v>864</v>
      </c>
      <c r="J341" s="241" t="s">
        <v>796</v>
      </c>
      <c r="K341" s="241" t="s">
        <v>796</v>
      </c>
      <c r="L341" s="241" t="s">
        <v>796</v>
      </c>
      <c r="M341" s="241">
        <v>829</v>
      </c>
      <c r="N341" s="241" t="s">
        <v>796</v>
      </c>
      <c r="O341" s="241" t="s">
        <v>796</v>
      </c>
      <c r="P341" s="241">
        <v>4</v>
      </c>
      <c r="Q341" s="241" t="s">
        <v>796</v>
      </c>
      <c r="R341" s="241">
        <v>15</v>
      </c>
      <c r="S341" s="241">
        <v>16</v>
      </c>
      <c r="T341" s="241" t="s">
        <v>796</v>
      </c>
      <c r="U341" s="241">
        <v>1989</v>
      </c>
      <c r="V341" s="241">
        <v>1326</v>
      </c>
      <c r="W341" s="242" t="s">
        <v>80</v>
      </c>
    </row>
    <row r="342" spans="1:23" s="241" customFormat="1" ht="9.75" customHeight="1" x14ac:dyDescent="0.15">
      <c r="A342" s="448" t="s">
        <v>838</v>
      </c>
      <c r="B342" s="241" t="s">
        <v>796</v>
      </c>
      <c r="C342" s="241" t="s">
        <v>796</v>
      </c>
      <c r="D342" s="241" t="s">
        <v>796</v>
      </c>
      <c r="E342" s="241">
        <v>165</v>
      </c>
      <c r="F342" s="241" t="s">
        <v>796</v>
      </c>
      <c r="G342" s="241">
        <v>30</v>
      </c>
      <c r="H342" s="241" t="s">
        <v>796</v>
      </c>
      <c r="I342" s="241">
        <v>953</v>
      </c>
      <c r="J342" s="241" t="s">
        <v>796</v>
      </c>
      <c r="K342" s="241" t="s">
        <v>796</v>
      </c>
      <c r="L342" s="241" t="s">
        <v>796</v>
      </c>
      <c r="M342" s="241">
        <v>923</v>
      </c>
      <c r="N342" s="241" t="s">
        <v>796</v>
      </c>
      <c r="O342" s="241" t="s">
        <v>796</v>
      </c>
      <c r="P342" s="241">
        <v>9</v>
      </c>
      <c r="Q342" s="241">
        <v>5</v>
      </c>
      <c r="R342" s="241" t="s">
        <v>796</v>
      </c>
      <c r="S342" s="241">
        <v>16</v>
      </c>
      <c r="T342" s="241" t="s">
        <v>796</v>
      </c>
      <c r="U342" s="241">
        <v>1757</v>
      </c>
      <c r="V342" s="241">
        <v>1229</v>
      </c>
      <c r="W342" s="242" t="s">
        <v>839</v>
      </c>
    </row>
    <row r="343" spans="1:23" s="241" customFormat="1" ht="6.75" customHeight="1" x14ac:dyDescent="0.15">
      <c r="A343" s="464"/>
      <c r="W343" s="242"/>
    </row>
    <row r="344" spans="1:23" s="241" customFormat="1" ht="9.75" customHeight="1" x14ac:dyDescent="0.15">
      <c r="A344" s="448" t="s">
        <v>840</v>
      </c>
      <c r="B344" s="241" t="s">
        <v>796</v>
      </c>
      <c r="C344" s="241" t="s">
        <v>796</v>
      </c>
      <c r="D344" s="241" t="s">
        <v>796</v>
      </c>
      <c r="E344" s="241">
        <v>64</v>
      </c>
      <c r="F344" s="241" t="s">
        <v>796</v>
      </c>
      <c r="G344" s="241" t="s">
        <v>796</v>
      </c>
      <c r="H344" s="241" t="s">
        <v>796</v>
      </c>
      <c r="I344" s="241">
        <v>708</v>
      </c>
      <c r="J344" s="241" t="s">
        <v>796</v>
      </c>
      <c r="K344" s="241" t="s">
        <v>796</v>
      </c>
      <c r="L344" s="241" t="s">
        <v>796</v>
      </c>
      <c r="M344" s="241">
        <v>151</v>
      </c>
      <c r="N344" s="241" t="s">
        <v>796</v>
      </c>
      <c r="O344" s="241" t="s">
        <v>796</v>
      </c>
      <c r="P344" s="241">
        <v>1</v>
      </c>
      <c r="Q344" s="241" t="s">
        <v>796</v>
      </c>
      <c r="R344" s="241">
        <v>556</v>
      </c>
      <c r="S344" s="241" t="s">
        <v>796</v>
      </c>
      <c r="T344" s="241" t="s">
        <v>796</v>
      </c>
      <c r="U344" s="241">
        <v>351</v>
      </c>
      <c r="V344" s="241">
        <v>232</v>
      </c>
      <c r="W344" s="242" t="s">
        <v>788</v>
      </c>
    </row>
    <row r="345" spans="1:23" s="241" customFormat="1" ht="9.75" customHeight="1" x14ac:dyDescent="0.15">
      <c r="A345" s="448" t="s">
        <v>562</v>
      </c>
      <c r="B345" s="241" t="s">
        <v>796</v>
      </c>
      <c r="C345" s="241" t="s">
        <v>796</v>
      </c>
      <c r="D345" s="241">
        <v>1</v>
      </c>
      <c r="E345" s="241">
        <v>18</v>
      </c>
      <c r="F345" s="241">
        <v>96</v>
      </c>
      <c r="G345" s="241" t="s">
        <v>796</v>
      </c>
      <c r="H345" s="241" t="s">
        <v>796</v>
      </c>
      <c r="I345" s="241">
        <v>901</v>
      </c>
      <c r="J345" s="241" t="s">
        <v>796</v>
      </c>
      <c r="K345" s="241" t="s">
        <v>796</v>
      </c>
      <c r="L345" s="241" t="s">
        <v>796</v>
      </c>
      <c r="M345" s="241">
        <v>357</v>
      </c>
      <c r="N345" s="241" t="s">
        <v>796</v>
      </c>
      <c r="O345" s="241" t="s">
        <v>796</v>
      </c>
      <c r="P345" s="241" t="s">
        <v>796</v>
      </c>
      <c r="Q345" s="241" t="s">
        <v>796</v>
      </c>
      <c r="R345" s="241">
        <v>544</v>
      </c>
      <c r="S345" s="241" t="s">
        <v>796</v>
      </c>
      <c r="T345" s="241" t="s">
        <v>796</v>
      </c>
      <c r="U345" s="241">
        <v>557</v>
      </c>
      <c r="V345" s="241">
        <v>367</v>
      </c>
      <c r="W345" s="242" t="s">
        <v>66</v>
      </c>
    </row>
    <row r="346" spans="1:23" s="241" customFormat="1" ht="9.75" customHeight="1" x14ac:dyDescent="0.15">
      <c r="A346" s="448" t="s">
        <v>563</v>
      </c>
      <c r="B346" s="241" t="s">
        <v>796</v>
      </c>
      <c r="C346" s="241">
        <v>1</v>
      </c>
      <c r="D346" s="241" t="s">
        <v>796</v>
      </c>
      <c r="E346" s="241">
        <v>14</v>
      </c>
      <c r="F346" s="241">
        <v>64</v>
      </c>
      <c r="G346" s="241" t="s">
        <v>796</v>
      </c>
      <c r="H346" s="241" t="s">
        <v>796</v>
      </c>
      <c r="I346" s="241">
        <v>1059</v>
      </c>
      <c r="J346" s="241" t="s">
        <v>796</v>
      </c>
      <c r="K346" s="241" t="s">
        <v>796</v>
      </c>
      <c r="L346" s="241" t="s">
        <v>796</v>
      </c>
      <c r="M346" s="241">
        <v>319</v>
      </c>
      <c r="N346" s="241" t="s">
        <v>796</v>
      </c>
      <c r="O346" s="241" t="s">
        <v>796</v>
      </c>
      <c r="P346" s="241" t="s">
        <v>796</v>
      </c>
      <c r="Q346" s="241" t="s">
        <v>796</v>
      </c>
      <c r="R346" s="241">
        <v>740</v>
      </c>
      <c r="S346" s="241" t="s">
        <v>796</v>
      </c>
      <c r="T346" s="241" t="s">
        <v>796</v>
      </c>
      <c r="U346" s="241">
        <v>468</v>
      </c>
      <c r="V346" s="241">
        <v>270</v>
      </c>
      <c r="W346" s="242" t="s">
        <v>67</v>
      </c>
    </row>
    <row r="347" spans="1:23" s="241" customFormat="1" ht="9.75" customHeight="1" x14ac:dyDescent="0.15">
      <c r="A347" s="448" t="s">
        <v>564</v>
      </c>
      <c r="B347" s="241" t="s">
        <v>796</v>
      </c>
      <c r="C347" s="241" t="s">
        <v>796</v>
      </c>
      <c r="D347" s="241" t="s">
        <v>796</v>
      </c>
      <c r="E347" s="241">
        <v>24</v>
      </c>
      <c r="F347" s="241">
        <v>32</v>
      </c>
      <c r="G347" s="241">
        <v>30</v>
      </c>
      <c r="H347" s="241" t="s">
        <v>796</v>
      </c>
      <c r="I347" s="241">
        <v>562</v>
      </c>
      <c r="J347" s="241" t="s">
        <v>796</v>
      </c>
      <c r="K347" s="241" t="s">
        <v>796</v>
      </c>
      <c r="L347" s="241" t="s">
        <v>796</v>
      </c>
      <c r="M347" s="241">
        <v>461</v>
      </c>
      <c r="N347" s="241" t="s">
        <v>796</v>
      </c>
      <c r="O347" s="241" t="s">
        <v>796</v>
      </c>
      <c r="P347" s="241">
        <v>1</v>
      </c>
      <c r="Q347" s="241">
        <v>5</v>
      </c>
      <c r="R347" s="241">
        <v>95</v>
      </c>
      <c r="S347" s="241" t="s">
        <v>796</v>
      </c>
      <c r="T347" s="241" t="s">
        <v>796</v>
      </c>
      <c r="U347" s="241">
        <v>522</v>
      </c>
      <c r="V347" s="241">
        <v>327</v>
      </c>
      <c r="W347" s="242" t="s">
        <v>68</v>
      </c>
    </row>
    <row r="348" spans="1:23" s="241" customFormat="1" ht="9.75" customHeight="1" x14ac:dyDescent="0.15">
      <c r="A348" s="448" t="s">
        <v>565</v>
      </c>
      <c r="B348" s="241" t="s">
        <v>796</v>
      </c>
      <c r="C348" s="241" t="s">
        <v>796</v>
      </c>
      <c r="D348" s="241" t="s">
        <v>796</v>
      </c>
      <c r="E348" s="241">
        <v>5</v>
      </c>
      <c r="F348" s="241" t="s">
        <v>796</v>
      </c>
      <c r="G348" s="241" t="s">
        <v>796</v>
      </c>
      <c r="H348" s="241" t="s">
        <v>796</v>
      </c>
      <c r="I348" s="241">
        <v>339</v>
      </c>
      <c r="J348" s="241" t="s">
        <v>796</v>
      </c>
      <c r="K348" s="241" t="s">
        <v>796</v>
      </c>
      <c r="L348" s="241" t="s">
        <v>796</v>
      </c>
      <c r="M348" s="241">
        <v>293</v>
      </c>
      <c r="N348" s="241" t="s">
        <v>796</v>
      </c>
      <c r="O348" s="241" t="s">
        <v>796</v>
      </c>
      <c r="P348" s="241" t="s">
        <v>796</v>
      </c>
      <c r="Q348" s="241" t="s">
        <v>796</v>
      </c>
      <c r="R348" s="241">
        <v>46</v>
      </c>
      <c r="S348" s="241" t="s">
        <v>796</v>
      </c>
      <c r="T348" s="241" t="s">
        <v>796</v>
      </c>
      <c r="U348" s="241">
        <v>538</v>
      </c>
      <c r="V348" s="241">
        <v>421</v>
      </c>
      <c r="W348" s="242" t="s">
        <v>81</v>
      </c>
    </row>
    <row r="349" spans="1:23" s="241" customFormat="1" ht="9.75" customHeight="1" x14ac:dyDescent="0.15">
      <c r="A349" s="448" t="s">
        <v>566</v>
      </c>
      <c r="B349" s="241" t="s">
        <v>796</v>
      </c>
      <c r="C349" s="241">
        <v>1</v>
      </c>
      <c r="D349" s="241" t="s">
        <v>796</v>
      </c>
      <c r="E349" s="241">
        <v>68</v>
      </c>
      <c r="F349" s="241">
        <v>48</v>
      </c>
      <c r="G349" s="241" t="s">
        <v>796</v>
      </c>
      <c r="H349" s="241" t="s">
        <v>796</v>
      </c>
      <c r="I349" s="241">
        <v>249</v>
      </c>
      <c r="J349" s="241" t="s">
        <v>796</v>
      </c>
      <c r="K349" s="241" t="s">
        <v>796</v>
      </c>
      <c r="L349" s="241" t="s">
        <v>796</v>
      </c>
      <c r="M349" s="241">
        <v>244</v>
      </c>
      <c r="N349" s="241" t="s">
        <v>796</v>
      </c>
      <c r="O349" s="241" t="s">
        <v>796</v>
      </c>
      <c r="P349" s="241" t="s">
        <v>796</v>
      </c>
      <c r="Q349" s="241">
        <v>5</v>
      </c>
      <c r="R349" s="241" t="s">
        <v>796</v>
      </c>
      <c r="S349" s="241" t="s">
        <v>796</v>
      </c>
      <c r="T349" s="241" t="s">
        <v>796</v>
      </c>
      <c r="U349" s="241">
        <v>523</v>
      </c>
      <c r="V349" s="241">
        <v>351</v>
      </c>
      <c r="W349" s="242" t="s">
        <v>82</v>
      </c>
    </row>
    <row r="350" spans="1:23" s="241" customFormat="1" ht="9.75" customHeight="1" x14ac:dyDescent="0.15">
      <c r="A350" s="448" t="s">
        <v>567</v>
      </c>
      <c r="B350" s="241" t="s">
        <v>796</v>
      </c>
      <c r="C350" s="241" t="s">
        <v>796</v>
      </c>
      <c r="D350" s="241" t="s">
        <v>796</v>
      </c>
      <c r="E350" s="241">
        <v>76</v>
      </c>
      <c r="F350" s="241">
        <v>48</v>
      </c>
      <c r="G350" s="241">
        <v>30</v>
      </c>
      <c r="H350" s="241" t="s">
        <v>796</v>
      </c>
      <c r="I350" s="241">
        <v>361</v>
      </c>
      <c r="J350" s="241" t="s">
        <v>796</v>
      </c>
      <c r="K350" s="241" t="s">
        <v>796</v>
      </c>
      <c r="L350" s="241" t="s">
        <v>796</v>
      </c>
      <c r="M350" s="241">
        <v>330</v>
      </c>
      <c r="N350" s="241" t="s">
        <v>796</v>
      </c>
      <c r="O350" s="241" t="s">
        <v>796</v>
      </c>
      <c r="P350" s="241" t="s">
        <v>796</v>
      </c>
      <c r="Q350" s="241" t="s">
        <v>796</v>
      </c>
      <c r="R350" s="241">
        <v>31</v>
      </c>
      <c r="S350" s="241" t="s">
        <v>796</v>
      </c>
      <c r="T350" s="241" t="s">
        <v>796</v>
      </c>
      <c r="U350" s="241">
        <v>659</v>
      </c>
      <c r="V350" s="241">
        <v>445</v>
      </c>
      <c r="W350" s="242" t="s">
        <v>83</v>
      </c>
    </row>
    <row r="351" spans="1:23" s="241" customFormat="1" ht="9.75" customHeight="1" x14ac:dyDescent="0.15">
      <c r="A351" s="448" t="s">
        <v>568</v>
      </c>
      <c r="B351" s="241" t="s">
        <v>796</v>
      </c>
      <c r="C351" s="241" t="s">
        <v>796</v>
      </c>
      <c r="D351" s="241" t="s">
        <v>796</v>
      </c>
      <c r="E351" s="241">
        <v>11</v>
      </c>
      <c r="F351" s="241">
        <v>32</v>
      </c>
      <c r="G351" s="241">
        <v>47</v>
      </c>
      <c r="H351" s="241" t="s">
        <v>796</v>
      </c>
      <c r="I351" s="241">
        <v>372</v>
      </c>
      <c r="J351" s="241" t="s">
        <v>796</v>
      </c>
      <c r="K351" s="241" t="s">
        <v>796</v>
      </c>
      <c r="L351" s="241" t="s">
        <v>796</v>
      </c>
      <c r="M351" s="241">
        <v>364</v>
      </c>
      <c r="N351" s="241" t="s">
        <v>796</v>
      </c>
      <c r="O351" s="241" t="s">
        <v>796</v>
      </c>
      <c r="P351" s="241" t="s">
        <v>796</v>
      </c>
      <c r="Q351" s="241" t="s">
        <v>796</v>
      </c>
      <c r="R351" s="241">
        <v>8</v>
      </c>
      <c r="S351" s="241" t="s">
        <v>796</v>
      </c>
      <c r="T351" s="241" t="s">
        <v>796</v>
      </c>
      <c r="U351" s="241">
        <v>488</v>
      </c>
      <c r="V351" s="241">
        <v>364</v>
      </c>
      <c r="W351" s="242" t="s">
        <v>84</v>
      </c>
    </row>
    <row r="352" spans="1:23" s="241" customFormat="1" ht="9.75" customHeight="1" x14ac:dyDescent="0.15">
      <c r="A352" s="448" t="s">
        <v>569</v>
      </c>
      <c r="B352" s="241" t="s">
        <v>796</v>
      </c>
      <c r="C352" s="241" t="s">
        <v>796</v>
      </c>
      <c r="D352" s="241" t="s">
        <v>796</v>
      </c>
      <c r="E352" s="241">
        <v>52</v>
      </c>
      <c r="F352" s="241" t="s">
        <v>796</v>
      </c>
      <c r="G352" s="241" t="s">
        <v>796</v>
      </c>
      <c r="H352" s="241" t="s">
        <v>796</v>
      </c>
      <c r="I352" s="241">
        <v>422</v>
      </c>
      <c r="J352" s="241" t="s">
        <v>796</v>
      </c>
      <c r="K352" s="241" t="s">
        <v>796</v>
      </c>
      <c r="L352" s="241" t="s">
        <v>796</v>
      </c>
      <c r="M352" s="241">
        <v>351</v>
      </c>
      <c r="N352" s="241" t="s">
        <v>796</v>
      </c>
      <c r="O352" s="241" t="s">
        <v>796</v>
      </c>
      <c r="P352" s="241" t="s">
        <v>796</v>
      </c>
      <c r="Q352" s="241" t="s">
        <v>796</v>
      </c>
      <c r="R352" s="241">
        <v>71</v>
      </c>
      <c r="S352" s="241" t="s">
        <v>796</v>
      </c>
      <c r="T352" s="241" t="s">
        <v>796</v>
      </c>
      <c r="U352" s="241">
        <v>544</v>
      </c>
      <c r="V352" s="241">
        <v>350</v>
      </c>
      <c r="W352" s="242" t="s">
        <v>85</v>
      </c>
    </row>
    <row r="353" spans="1:23" s="241" customFormat="1" ht="9.75" customHeight="1" x14ac:dyDescent="0.15">
      <c r="A353" s="448" t="s">
        <v>570</v>
      </c>
      <c r="B353" s="241" t="s">
        <v>796</v>
      </c>
      <c r="C353" s="241" t="s">
        <v>796</v>
      </c>
      <c r="D353" s="241" t="s">
        <v>796</v>
      </c>
      <c r="E353" s="241">
        <v>7</v>
      </c>
      <c r="F353" s="241" t="s">
        <v>796</v>
      </c>
      <c r="G353" s="241" t="s">
        <v>796</v>
      </c>
      <c r="H353" s="241" t="s">
        <v>796</v>
      </c>
      <c r="I353" s="241">
        <v>263</v>
      </c>
      <c r="J353" s="241" t="s">
        <v>796</v>
      </c>
      <c r="K353" s="241" t="s">
        <v>796</v>
      </c>
      <c r="L353" s="241" t="s">
        <v>796</v>
      </c>
      <c r="M353" s="241">
        <v>259</v>
      </c>
      <c r="N353" s="241" t="s">
        <v>796</v>
      </c>
      <c r="O353" s="241" t="s">
        <v>796</v>
      </c>
      <c r="P353" s="241">
        <v>4</v>
      </c>
      <c r="Q353" s="241" t="s">
        <v>796</v>
      </c>
      <c r="R353" s="241" t="s">
        <v>796</v>
      </c>
      <c r="S353" s="241" t="s">
        <v>796</v>
      </c>
      <c r="T353" s="241" t="s">
        <v>796</v>
      </c>
      <c r="U353" s="241">
        <v>775</v>
      </c>
      <c r="V353" s="241">
        <v>497</v>
      </c>
      <c r="W353" s="242" t="s">
        <v>69</v>
      </c>
    </row>
    <row r="354" spans="1:23" s="241" customFormat="1" ht="9.75" customHeight="1" x14ac:dyDescent="0.15">
      <c r="A354" s="448" t="s">
        <v>571</v>
      </c>
      <c r="B354" s="241" t="s">
        <v>796</v>
      </c>
      <c r="C354" s="241" t="s">
        <v>796</v>
      </c>
      <c r="D354" s="241" t="s">
        <v>796</v>
      </c>
      <c r="E354" s="241" t="s">
        <v>796</v>
      </c>
      <c r="F354" s="241" t="s">
        <v>796</v>
      </c>
      <c r="G354" s="241" t="s">
        <v>796</v>
      </c>
      <c r="H354" s="241" t="s">
        <v>796</v>
      </c>
      <c r="I354" s="241">
        <v>218</v>
      </c>
      <c r="J354" s="241" t="s">
        <v>796</v>
      </c>
      <c r="K354" s="241" t="s">
        <v>796</v>
      </c>
      <c r="L354" s="241" t="s">
        <v>796</v>
      </c>
      <c r="M354" s="241">
        <v>203</v>
      </c>
      <c r="N354" s="241" t="s">
        <v>796</v>
      </c>
      <c r="O354" s="241" t="s">
        <v>796</v>
      </c>
      <c r="P354" s="241" t="s">
        <v>796</v>
      </c>
      <c r="Q354" s="241" t="s">
        <v>796</v>
      </c>
      <c r="R354" s="241">
        <v>15</v>
      </c>
      <c r="S354" s="241" t="s">
        <v>796</v>
      </c>
      <c r="T354" s="241" t="s">
        <v>796</v>
      </c>
      <c r="U354" s="241">
        <v>602</v>
      </c>
      <c r="V354" s="241">
        <v>393</v>
      </c>
      <c r="W354" s="242" t="s">
        <v>70</v>
      </c>
    </row>
    <row r="355" spans="1:23" s="241" customFormat="1" ht="9.75" customHeight="1" x14ac:dyDescent="0.15">
      <c r="A355" s="448" t="s">
        <v>572</v>
      </c>
      <c r="B355" s="241" t="s">
        <v>796</v>
      </c>
      <c r="C355" s="241" t="s">
        <v>796</v>
      </c>
      <c r="D355" s="241" t="s">
        <v>796</v>
      </c>
      <c r="E355" s="241">
        <v>26</v>
      </c>
      <c r="F355" s="241" t="s">
        <v>796</v>
      </c>
      <c r="G355" s="241">
        <v>30</v>
      </c>
      <c r="H355" s="241" t="s">
        <v>796</v>
      </c>
      <c r="I355" s="241">
        <v>383</v>
      </c>
      <c r="J355" s="241" t="s">
        <v>796</v>
      </c>
      <c r="K355" s="241" t="s">
        <v>796</v>
      </c>
      <c r="L355" s="241" t="s">
        <v>796</v>
      </c>
      <c r="M355" s="241">
        <v>367</v>
      </c>
      <c r="N355" s="241" t="s">
        <v>796</v>
      </c>
      <c r="O355" s="241" t="s">
        <v>796</v>
      </c>
      <c r="P355" s="241" t="s">
        <v>796</v>
      </c>
      <c r="Q355" s="241" t="s">
        <v>796</v>
      </c>
      <c r="R355" s="241" t="s">
        <v>796</v>
      </c>
      <c r="S355" s="241">
        <v>16</v>
      </c>
      <c r="T355" s="241" t="s">
        <v>796</v>
      </c>
      <c r="U355" s="241">
        <v>612</v>
      </c>
      <c r="V355" s="241">
        <v>436</v>
      </c>
      <c r="W355" s="242" t="s">
        <v>71</v>
      </c>
    </row>
    <row r="356" spans="1:23" s="241" customFormat="1" ht="9.75" customHeight="1" x14ac:dyDescent="0.15">
      <c r="A356" s="448" t="s">
        <v>841</v>
      </c>
      <c r="B356" s="241" t="s">
        <v>796</v>
      </c>
      <c r="C356" s="241" t="s">
        <v>796</v>
      </c>
      <c r="D356" s="241" t="s">
        <v>796</v>
      </c>
      <c r="E356" s="241">
        <v>1</v>
      </c>
      <c r="F356" s="241" t="s">
        <v>796</v>
      </c>
      <c r="G356" s="241">
        <v>30</v>
      </c>
      <c r="H356" s="241" t="s">
        <v>796</v>
      </c>
      <c r="I356" s="241">
        <v>365</v>
      </c>
      <c r="J356" s="241" t="s">
        <v>796</v>
      </c>
      <c r="K356" s="241" t="s">
        <v>796</v>
      </c>
      <c r="L356" s="241" t="s">
        <v>796</v>
      </c>
      <c r="M356" s="241">
        <v>356</v>
      </c>
      <c r="N356" s="241" t="s">
        <v>796</v>
      </c>
      <c r="O356" s="241" t="s">
        <v>796</v>
      </c>
      <c r="P356" s="241">
        <v>9</v>
      </c>
      <c r="Q356" s="241" t="s">
        <v>796</v>
      </c>
      <c r="R356" s="241" t="s">
        <v>796</v>
      </c>
      <c r="S356" s="241" t="s">
        <v>796</v>
      </c>
      <c r="T356" s="241" t="s">
        <v>796</v>
      </c>
      <c r="U356" s="241">
        <v>324</v>
      </c>
      <c r="V356" s="241">
        <v>135</v>
      </c>
      <c r="W356" s="242" t="s">
        <v>842</v>
      </c>
    </row>
    <row r="357" spans="1:23" s="241" customFormat="1" ht="9.75" customHeight="1" x14ac:dyDescent="0.15">
      <c r="A357" s="448" t="s">
        <v>573</v>
      </c>
      <c r="B357" s="241" t="s">
        <v>796</v>
      </c>
      <c r="C357" s="241" t="s">
        <v>796</v>
      </c>
      <c r="D357" s="241" t="s">
        <v>796</v>
      </c>
      <c r="E357" s="241">
        <v>67</v>
      </c>
      <c r="F357" s="241" t="s">
        <v>796</v>
      </c>
      <c r="G357" s="241" t="s">
        <v>796</v>
      </c>
      <c r="H357" s="241" t="s">
        <v>796</v>
      </c>
      <c r="I357" s="241">
        <v>186</v>
      </c>
      <c r="J357" s="241" t="s">
        <v>796</v>
      </c>
      <c r="K357" s="241" t="s">
        <v>796</v>
      </c>
      <c r="L357" s="241" t="s">
        <v>796</v>
      </c>
      <c r="M357" s="241">
        <v>186</v>
      </c>
      <c r="N357" s="241" t="s">
        <v>796</v>
      </c>
      <c r="O357" s="241" t="s">
        <v>796</v>
      </c>
      <c r="P357" s="241" t="s">
        <v>796</v>
      </c>
      <c r="Q357" s="241" t="s">
        <v>796</v>
      </c>
      <c r="R357" s="241" t="s">
        <v>796</v>
      </c>
      <c r="S357" s="241" t="s">
        <v>796</v>
      </c>
      <c r="T357" s="241" t="s">
        <v>796</v>
      </c>
      <c r="U357" s="241">
        <v>565</v>
      </c>
      <c r="V357" s="241">
        <v>497</v>
      </c>
      <c r="W357" s="242" t="s">
        <v>66</v>
      </c>
    </row>
    <row r="358" spans="1:23" s="241" customFormat="1" ht="9.75" customHeight="1" x14ac:dyDescent="0.15">
      <c r="A358" s="795" t="s">
        <v>574</v>
      </c>
      <c r="B358" s="796" t="s">
        <v>796</v>
      </c>
      <c r="C358" s="797" t="s">
        <v>796</v>
      </c>
      <c r="D358" s="797" t="s">
        <v>796</v>
      </c>
      <c r="E358" s="797">
        <v>97</v>
      </c>
      <c r="F358" s="797" t="s">
        <v>796</v>
      </c>
      <c r="G358" s="797" t="s">
        <v>796</v>
      </c>
      <c r="H358" s="797" t="s">
        <v>796</v>
      </c>
      <c r="I358" s="797">
        <v>402</v>
      </c>
      <c r="J358" s="797" t="s">
        <v>796</v>
      </c>
      <c r="K358" s="797" t="s">
        <v>796</v>
      </c>
      <c r="L358" s="797" t="s">
        <v>796</v>
      </c>
      <c r="M358" s="797">
        <v>381</v>
      </c>
      <c r="N358" s="797" t="s">
        <v>796</v>
      </c>
      <c r="O358" s="797" t="s">
        <v>796</v>
      </c>
      <c r="P358" s="797" t="s">
        <v>796</v>
      </c>
      <c r="Q358" s="797">
        <v>5</v>
      </c>
      <c r="R358" s="797" t="s">
        <v>796</v>
      </c>
      <c r="S358" s="797">
        <v>16</v>
      </c>
      <c r="T358" s="797" t="s">
        <v>796</v>
      </c>
      <c r="U358" s="797">
        <v>868</v>
      </c>
      <c r="V358" s="797">
        <v>597</v>
      </c>
      <c r="W358" s="798" t="s">
        <v>67</v>
      </c>
    </row>
    <row r="359" spans="1:23" ht="12" customHeight="1" x14ac:dyDescent="0.15"/>
    <row r="360" spans="1:23" ht="12" customHeight="1" x14ac:dyDescent="0.15"/>
    <row r="361" spans="1:23" ht="12" customHeight="1" x14ac:dyDescent="0.15">
      <c r="K361" s="246" t="s">
        <v>86</v>
      </c>
      <c r="V361" s="249" t="s">
        <v>924</v>
      </c>
    </row>
    <row r="362" spans="1:23" s="244" customFormat="1" ht="21" customHeight="1" x14ac:dyDescent="0.15">
      <c r="A362" s="1026" t="s">
        <v>153</v>
      </c>
      <c r="B362" s="799" t="s">
        <v>263</v>
      </c>
      <c r="C362" s="790"/>
      <c r="D362" s="790"/>
      <c r="E362" s="790"/>
      <c r="F362" s="790"/>
      <c r="G362" s="790"/>
      <c r="H362" s="790"/>
      <c r="I362" s="790"/>
      <c r="J362" s="790"/>
      <c r="K362" s="790"/>
      <c r="L362" s="790"/>
      <c r="M362" s="790"/>
      <c r="N362" s="790"/>
      <c r="O362" s="790"/>
      <c r="P362" s="790"/>
      <c r="Q362" s="790"/>
      <c r="R362" s="790"/>
      <c r="S362" s="790"/>
      <c r="T362" s="788"/>
      <c r="U362" s="801" t="s">
        <v>262</v>
      </c>
      <c r="V362" s="790"/>
      <c r="W362" s="1029" t="s">
        <v>72</v>
      </c>
    </row>
    <row r="363" spans="1:23" s="244" customFormat="1" ht="21" customHeight="1" x14ac:dyDescent="0.15">
      <c r="A363" s="1027"/>
      <c r="B363" s="799" t="s">
        <v>715</v>
      </c>
      <c r="C363" s="788"/>
      <c r="D363" s="789" t="s">
        <v>236</v>
      </c>
      <c r="E363" s="790"/>
      <c r="F363" s="790"/>
      <c r="G363" s="790"/>
      <c r="H363" s="788"/>
      <c r="I363" s="789" t="s">
        <v>221</v>
      </c>
      <c r="J363" s="790"/>
      <c r="K363" s="790"/>
      <c r="L363" s="790"/>
      <c r="M363" s="790"/>
      <c r="N363" s="788"/>
      <c r="O363" s="789" t="s">
        <v>220</v>
      </c>
      <c r="P363" s="790"/>
      <c r="Q363" s="788"/>
      <c r="R363" s="789" t="s">
        <v>716</v>
      </c>
      <c r="S363" s="790"/>
      <c r="T363" s="788"/>
      <c r="U363" s="1032" t="s">
        <v>261</v>
      </c>
      <c r="V363" s="789" t="s">
        <v>244</v>
      </c>
      <c r="W363" s="1030"/>
    </row>
    <row r="364" spans="1:23" s="244" customFormat="1" ht="52.5" customHeight="1" x14ac:dyDescent="0.15">
      <c r="A364" s="1028"/>
      <c r="B364" s="245" t="s">
        <v>276</v>
      </c>
      <c r="C364" s="245" t="s">
        <v>245</v>
      </c>
      <c r="D364" s="530" t="s">
        <v>923</v>
      </c>
      <c r="E364" s="245" t="s">
        <v>296</v>
      </c>
      <c r="F364" s="245" t="s">
        <v>295</v>
      </c>
      <c r="G364" s="245" t="s">
        <v>222</v>
      </c>
      <c r="H364" s="245" t="s">
        <v>219</v>
      </c>
      <c r="I364" s="530" t="s">
        <v>21</v>
      </c>
      <c r="J364" s="245" t="s">
        <v>217</v>
      </c>
      <c r="K364" s="245" t="s">
        <v>293</v>
      </c>
      <c r="L364" s="245" t="s">
        <v>804</v>
      </c>
      <c r="M364" s="248" t="s">
        <v>936</v>
      </c>
      <c r="N364" s="245" t="s">
        <v>708</v>
      </c>
      <c r="O364" s="530" t="s">
        <v>45</v>
      </c>
      <c r="P364" s="245" t="s">
        <v>215</v>
      </c>
      <c r="Q364" s="245" t="s">
        <v>942</v>
      </c>
      <c r="R364" s="530" t="s">
        <v>292</v>
      </c>
      <c r="S364" s="245" t="s">
        <v>308</v>
      </c>
      <c r="T364" s="245" t="s">
        <v>291</v>
      </c>
      <c r="U364" s="1033"/>
      <c r="V364" s="791" t="s">
        <v>920</v>
      </c>
      <c r="W364" s="1031"/>
    </row>
    <row r="365" spans="1:23" s="241" customFormat="1" ht="9.75" customHeight="1" x14ac:dyDescent="0.15">
      <c r="A365" s="645" t="s">
        <v>831</v>
      </c>
      <c r="B365" s="792">
        <v>588</v>
      </c>
      <c r="C365" s="793" t="s">
        <v>796</v>
      </c>
      <c r="D365" s="793">
        <v>217</v>
      </c>
      <c r="E365" s="793" t="s">
        <v>796</v>
      </c>
      <c r="F365" s="793">
        <v>1</v>
      </c>
      <c r="G365" s="793">
        <v>1</v>
      </c>
      <c r="H365" s="793">
        <v>215</v>
      </c>
      <c r="I365" s="793">
        <v>500</v>
      </c>
      <c r="J365" s="793">
        <v>32</v>
      </c>
      <c r="K365" s="793" t="s">
        <v>796</v>
      </c>
      <c r="L365" s="793" t="s">
        <v>796</v>
      </c>
      <c r="M365" s="793" t="s">
        <v>796</v>
      </c>
      <c r="N365" s="793">
        <v>468</v>
      </c>
      <c r="O365" s="793">
        <v>1225</v>
      </c>
      <c r="P365" s="793">
        <v>917</v>
      </c>
      <c r="Q365" s="793">
        <v>308</v>
      </c>
      <c r="R365" s="793">
        <v>2873</v>
      </c>
      <c r="S365" s="793" t="s">
        <v>796</v>
      </c>
      <c r="T365" s="793">
        <v>2873</v>
      </c>
      <c r="U365" s="793">
        <v>23765</v>
      </c>
      <c r="V365" s="793">
        <v>23765</v>
      </c>
      <c r="W365" s="794" t="s">
        <v>517</v>
      </c>
    </row>
    <row r="366" spans="1:23" s="241" customFormat="1" ht="9.75" customHeight="1" x14ac:dyDescent="0.15">
      <c r="A366" s="448" t="s">
        <v>557</v>
      </c>
      <c r="B366" s="241">
        <v>1120</v>
      </c>
      <c r="C366" s="241" t="s">
        <v>796</v>
      </c>
      <c r="D366" s="241">
        <v>454</v>
      </c>
      <c r="E366" s="241" t="s">
        <v>796</v>
      </c>
      <c r="F366" s="241" t="s">
        <v>796</v>
      </c>
      <c r="G366" s="241" t="s">
        <v>796</v>
      </c>
      <c r="H366" s="241">
        <v>454</v>
      </c>
      <c r="I366" s="241">
        <v>367</v>
      </c>
      <c r="J366" s="241">
        <v>19</v>
      </c>
      <c r="K366" s="241" t="s">
        <v>796</v>
      </c>
      <c r="L366" s="241" t="s">
        <v>796</v>
      </c>
      <c r="M366" s="241" t="s">
        <v>796</v>
      </c>
      <c r="N366" s="241">
        <v>348</v>
      </c>
      <c r="O366" s="241">
        <v>871</v>
      </c>
      <c r="P366" s="241">
        <v>743</v>
      </c>
      <c r="Q366" s="241">
        <v>128</v>
      </c>
      <c r="R366" s="241">
        <v>2654</v>
      </c>
      <c r="S366" s="241" t="s">
        <v>796</v>
      </c>
      <c r="T366" s="241">
        <v>2654</v>
      </c>
      <c r="U366" s="241">
        <v>14830</v>
      </c>
      <c r="V366" s="241">
        <v>14830</v>
      </c>
      <c r="W366" s="242" t="s">
        <v>558</v>
      </c>
    </row>
    <row r="367" spans="1:23" s="241" customFormat="1" ht="9.75" customHeight="1" x14ac:dyDescent="0.15">
      <c r="A367" s="448" t="s">
        <v>682</v>
      </c>
      <c r="B367" s="241">
        <v>959</v>
      </c>
      <c r="C367" s="241">
        <v>163</v>
      </c>
      <c r="D367" s="241">
        <v>546</v>
      </c>
      <c r="E367" s="241">
        <v>1</v>
      </c>
      <c r="F367" s="241" t="s">
        <v>796</v>
      </c>
      <c r="G367" s="241">
        <v>1</v>
      </c>
      <c r="H367" s="241">
        <v>544</v>
      </c>
      <c r="I367" s="241">
        <v>171</v>
      </c>
      <c r="J367" s="241">
        <v>32</v>
      </c>
      <c r="K367" s="241" t="s">
        <v>796</v>
      </c>
      <c r="L367" s="241" t="s">
        <v>796</v>
      </c>
      <c r="M367" s="241">
        <v>11</v>
      </c>
      <c r="N367" s="241">
        <v>128</v>
      </c>
      <c r="O367" s="241">
        <v>757</v>
      </c>
      <c r="P367" s="241">
        <v>756</v>
      </c>
      <c r="Q367" s="241">
        <v>1</v>
      </c>
      <c r="R367" s="241">
        <v>2538</v>
      </c>
      <c r="S367" s="241" t="s">
        <v>796</v>
      </c>
      <c r="T367" s="241">
        <v>2538</v>
      </c>
      <c r="U367" s="241">
        <v>11421</v>
      </c>
      <c r="V367" s="241">
        <v>11421</v>
      </c>
      <c r="W367" s="242" t="s">
        <v>683</v>
      </c>
    </row>
    <row r="368" spans="1:23" s="241" customFormat="1" ht="9.75" customHeight="1" x14ac:dyDescent="0.15">
      <c r="A368" s="448" t="s">
        <v>784</v>
      </c>
      <c r="B368" s="241">
        <v>1320</v>
      </c>
      <c r="C368" s="241" t="s">
        <v>796</v>
      </c>
      <c r="D368" s="241">
        <v>351</v>
      </c>
      <c r="E368" s="241">
        <v>2</v>
      </c>
      <c r="F368" s="241" t="s">
        <v>796</v>
      </c>
      <c r="G368" s="241" t="s">
        <v>796</v>
      </c>
      <c r="H368" s="241">
        <v>349</v>
      </c>
      <c r="I368" s="241">
        <v>111</v>
      </c>
      <c r="J368" s="241" t="s">
        <v>796</v>
      </c>
      <c r="K368" s="241" t="s">
        <v>796</v>
      </c>
      <c r="L368" s="241">
        <v>13</v>
      </c>
      <c r="M368" s="241" t="s">
        <v>796</v>
      </c>
      <c r="N368" s="241">
        <v>98</v>
      </c>
      <c r="O368" s="241">
        <v>856</v>
      </c>
      <c r="P368" s="241">
        <v>856</v>
      </c>
      <c r="Q368" s="241" t="s">
        <v>796</v>
      </c>
      <c r="R368" s="241">
        <v>2459</v>
      </c>
      <c r="S368" s="241" t="s">
        <v>796</v>
      </c>
      <c r="T368" s="241">
        <v>2459</v>
      </c>
      <c r="U368" s="241" t="s">
        <v>796</v>
      </c>
      <c r="V368" s="241" t="s">
        <v>796</v>
      </c>
      <c r="W368" s="242" t="s">
        <v>785</v>
      </c>
    </row>
    <row r="369" spans="1:23" s="241" customFormat="1" ht="9.75" customHeight="1" x14ac:dyDescent="0.15">
      <c r="A369" s="448" t="s">
        <v>832</v>
      </c>
      <c r="B369" s="241">
        <v>2186</v>
      </c>
      <c r="C369" s="241" t="s">
        <v>796</v>
      </c>
      <c r="D369" s="241">
        <v>416</v>
      </c>
      <c r="E369" s="241">
        <v>4</v>
      </c>
      <c r="F369" s="241" t="s">
        <v>796</v>
      </c>
      <c r="G369" s="241" t="s">
        <v>796</v>
      </c>
      <c r="H369" s="241">
        <v>412</v>
      </c>
      <c r="I369" s="241">
        <v>143</v>
      </c>
      <c r="J369" s="241">
        <v>32</v>
      </c>
      <c r="K369" s="241">
        <v>16</v>
      </c>
      <c r="L369" s="241">
        <v>13</v>
      </c>
      <c r="M369" s="241" t="s">
        <v>796</v>
      </c>
      <c r="N369" s="241">
        <v>82</v>
      </c>
      <c r="O369" s="241">
        <v>1023</v>
      </c>
      <c r="P369" s="241">
        <v>1000</v>
      </c>
      <c r="Q369" s="241">
        <v>23</v>
      </c>
      <c r="R369" s="241">
        <v>3115</v>
      </c>
      <c r="S369" s="241">
        <v>3</v>
      </c>
      <c r="T369" s="241">
        <v>3112</v>
      </c>
      <c r="U369" s="241" t="s">
        <v>796</v>
      </c>
      <c r="V369" s="241" t="s">
        <v>796</v>
      </c>
      <c r="W369" s="242" t="s">
        <v>833</v>
      </c>
    </row>
    <row r="370" spans="1:23" s="241" customFormat="1" ht="6.75" customHeight="1" x14ac:dyDescent="0.15">
      <c r="A370" s="464"/>
      <c r="W370" s="242"/>
    </row>
    <row r="371" spans="1:23" s="241" customFormat="1" ht="9.75" customHeight="1" x14ac:dyDescent="0.15">
      <c r="A371" s="448" t="s">
        <v>834</v>
      </c>
      <c r="B371" s="241">
        <v>1467</v>
      </c>
      <c r="C371" s="241" t="s">
        <v>796</v>
      </c>
      <c r="D371" s="241">
        <v>341</v>
      </c>
      <c r="E371" s="241">
        <v>1</v>
      </c>
      <c r="F371" s="241" t="s">
        <v>796</v>
      </c>
      <c r="G371" s="241" t="s">
        <v>796</v>
      </c>
      <c r="H371" s="241">
        <v>340</v>
      </c>
      <c r="I371" s="241">
        <v>131</v>
      </c>
      <c r="J371" s="241">
        <v>16</v>
      </c>
      <c r="K371" s="241" t="s">
        <v>796</v>
      </c>
      <c r="L371" s="241">
        <v>13</v>
      </c>
      <c r="M371" s="241" t="s">
        <v>796</v>
      </c>
      <c r="N371" s="241">
        <v>102</v>
      </c>
      <c r="O371" s="241">
        <v>937</v>
      </c>
      <c r="P371" s="241">
        <v>914</v>
      </c>
      <c r="Q371" s="241">
        <v>23</v>
      </c>
      <c r="R371" s="241">
        <v>2549</v>
      </c>
      <c r="S371" s="241" t="s">
        <v>796</v>
      </c>
      <c r="T371" s="241">
        <v>2549</v>
      </c>
      <c r="U371" s="241" t="s">
        <v>796</v>
      </c>
      <c r="V371" s="241" t="s">
        <v>796</v>
      </c>
      <c r="W371" s="242" t="s">
        <v>786</v>
      </c>
    </row>
    <row r="372" spans="1:23" s="241" customFormat="1" ht="9.75" customHeight="1" x14ac:dyDescent="0.15">
      <c r="A372" s="448" t="s">
        <v>835</v>
      </c>
      <c r="B372" s="241">
        <v>2207</v>
      </c>
      <c r="C372" s="241" t="s">
        <v>796</v>
      </c>
      <c r="D372" s="241">
        <v>454</v>
      </c>
      <c r="E372" s="241">
        <v>15</v>
      </c>
      <c r="F372" s="241" t="s">
        <v>796</v>
      </c>
      <c r="G372" s="241" t="s">
        <v>796</v>
      </c>
      <c r="H372" s="241">
        <v>439</v>
      </c>
      <c r="I372" s="241">
        <v>152</v>
      </c>
      <c r="J372" s="241">
        <v>16</v>
      </c>
      <c r="K372" s="241">
        <v>16</v>
      </c>
      <c r="L372" s="241">
        <v>26</v>
      </c>
      <c r="M372" s="241" t="s">
        <v>796</v>
      </c>
      <c r="N372" s="241">
        <v>94</v>
      </c>
      <c r="O372" s="241">
        <v>945</v>
      </c>
      <c r="P372" s="241">
        <v>945</v>
      </c>
      <c r="Q372" s="241" t="s">
        <v>796</v>
      </c>
      <c r="R372" s="241">
        <v>3085</v>
      </c>
      <c r="S372" s="241">
        <v>3</v>
      </c>
      <c r="T372" s="241">
        <v>3082</v>
      </c>
      <c r="U372" s="241" t="s">
        <v>796</v>
      </c>
      <c r="V372" s="241" t="s">
        <v>796</v>
      </c>
      <c r="W372" s="242" t="s">
        <v>836</v>
      </c>
    </row>
    <row r="373" spans="1:23" s="241" customFormat="1" ht="6.75" customHeight="1" x14ac:dyDescent="0.15">
      <c r="A373" s="464"/>
      <c r="W373" s="242"/>
    </row>
    <row r="374" spans="1:23" s="241" customFormat="1" ht="9.75" customHeight="1" x14ac:dyDescent="0.15">
      <c r="A374" s="448" t="s">
        <v>837</v>
      </c>
      <c r="B374" s="241">
        <v>507</v>
      </c>
      <c r="C374" s="241" t="s">
        <v>796</v>
      </c>
      <c r="D374" s="241">
        <v>101</v>
      </c>
      <c r="E374" s="241">
        <v>1</v>
      </c>
      <c r="F374" s="241" t="s">
        <v>796</v>
      </c>
      <c r="G374" s="241" t="s">
        <v>796</v>
      </c>
      <c r="H374" s="241">
        <v>100</v>
      </c>
      <c r="I374" s="241">
        <v>20</v>
      </c>
      <c r="J374" s="241">
        <v>16</v>
      </c>
      <c r="K374" s="241" t="s">
        <v>796</v>
      </c>
      <c r="L374" s="241" t="s">
        <v>796</v>
      </c>
      <c r="M374" s="241" t="s">
        <v>796</v>
      </c>
      <c r="N374" s="241">
        <v>4</v>
      </c>
      <c r="O374" s="241">
        <v>296</v>
      </c>
      <c r="P374" s="241">
        <v>273</v>
      </c>
      <c r="Q374" s="241">
        <v>23</v>
      </c>
      <c r="R374" s="241">
        <v>590</v>
      </c>
      <c r="S374" s="241" t="s">
        <v>796</v>
      </c>
      <c r="T374" s="241">
        <v>590</v>
      </c>
      <c r="U374" s="241" t="s">
        <v>796</v>
      </c>
      <c r="V374" s="241" t="s">
        <v>796</v>
      </c>
      <c r="W374" s="242" t="s">
        <v>787</v>
      </c>
    </row>
    <row r="375" spans="1:23" s="241" customFormat="1" ht="9.75" customHeight="1" x14ac:dyDescent="0.15">
      <c r="A375" s="448" t="s">
        <v>559</v>
      </c>
      <c r="B375" s="241">
        <v>484</v>
      </c>
      <c r="C375" s="241" t="s">
        <v>796</v>
      </c>
      <c r="D375" s="241">
        <v>66</v>
      </c>
      <c r="E375" s="241">
        <v>2</v>
      </c>
      <c r="F375" s="241" t="s">
        <v>796</v>
      </c>
      <c r="G375" s="241" t="s">
        <v>796</v>
      </c>
      <c r="H375" s="241">
        <v>64</v>
      </c>
      <c r="I375" s="241">
        <v>42</v>
      </c>
      <c r="J375" s="241" t="s">
        <v>796</v>
      </c>
      <c r="K375" s="241" t="s">
        <v>796</v>
      </c>
      <c r="L375" s="241">
        <v>13</v>
      </c>
      <c r="M375" s="241" t="s">
        <v>796</v>
      </c>
      <c r="N375" s="241">
        <v>29</v>
      </c>
      <c r="O375" s="241">
        <v>254</v>
      </c>
      <c r="P375" s="241">
        <v>254</v>
      </c>
      <c r="Q375" s="241" t="s">
        <v>796</v>
      </c>
      <c r="R375" s="241">
        <v>1028</v>
      </c>
      <c r="S375" s="241" t="s">
        <v>796</v>
      </c>
      <c r="T375" s="241">
        <v>1028</v>
      </c>
      <c r="U375" s="241" t="s">
        <v>796</v>
      </c>
      <c r="V375" s="241" t="s">
        <v>796</v>
      </c>
      <c r="W375" s="242" t="s">
        <v>78</v>
      </c>
    </row>
    <row r="376" spans="1:23" s="241" customFormat="1" ht="9.75" customHeight="1" x14ac:dyDescent="0.15">
      <c r="A376" s="448" t="s">
        <v>560</v>
      </c>
      <c r="B376" s="241">
        <v>532</v>
      </c>
      <c r="C376" s="241" t="s">
        <v>796</v>
      </c>
      <c r="D376" s="241">
        <v>153</v>
      </c>
      <c r="E376" s="241">
        <v>1</v>
      </c>
      <c r="F376" s="241" t="s">
        <v>796</v>
      </c>
      <c r="G376" s="241" t="s">
        <v>796</v>
      </c>
      <c r="H376" s="241">
        <v>152</v>
      </c>
      <c r="I376" s="241">
        <v>31</v>
      </c>
      <c r="J376" s="241">
        <v>16</v>
      </c>
      <c r="K376" s="241" t="s">
        <v>796</v>
      </c>
      <c r="L376" s="241" t="s">
        <v>796</v>
      </c>
      <c r="M376" s="241" t="s">
        <v>796</v>
      </c>
      <c r="N376" s="241">
        <v>15</v>
      </c>
      <c r="O376" s="241">
        <v>207</v>
      </c>
      <c r="P376" s="241">
        <v>207</v>
      </c>
      <c r="Q376" s="241" t="s">
        <v>796</v>
      </c>
      <c r="R376" s="241">
        <v>874</v>
      </c>
      <c r="S376" s="241">
        <v>3</v>
      </c>
      <c r="T376" s="241">
        <v>871</v>
      </c>
      <c r="U376" s="241" t="s">
        <v>796</v>
      </c>
      <c r="V376" s="241" t="s">
        <v>796</v>
      </c>
      <c r="W376" s="242" t="s">
        <v>79</v>
      </c>
    </row>
    <row r="377" spans="1:23" s="241" customFormat="1" ht="9.75" customHeight="1" x14ac:dyDescent="0.15">
      <c r="A377" s="448" t="s">
        <v>561</v>
      </c>
      <c r="B377" s="241">
        <v>663</v>
      </c>
      <c r="C377" s="241" t="s">
        <v>796</v>
      </c>
      <c r="D377" s="241">
        <v>96</v>
      </c>
      <c r="E377" s="241" t="s">
        <v>796</v>
      </c>
      <c r="F377" s="241" t="s">
        <v>796</v>
      </c>
      <c r="G377" s="241" t="s">
        <v>796</v>
      </c>
      <c r="H377" s="241">
        <v>96</v>
      </c>
      <c r="I377" s="241">
        <v>50</v>
      </c>
      <c r="J377" s="241" t="s">
        <v>796</v>
      </c>
      <c r="K377" s="241">
        <v>16</v>
      </c>
      <c r="L377" s="241" t="s">
        <v>796</v>
      </c>
      <c r="M377" s="241" t="s">
        <v>796</v>
      </c>
      <c r="N377" s="241">
        <v>34</v>
      </c>
      <c r="O377" s="241">
        <v>266</v>
      </c>
      <c r="P377" s="241">
        <v>266</v>
      </c>
      <c r="Q377" s="241" t="s">
        <v>796</v>
      </c>
      <c r="R377" s="241">
        <v>623</v>
      </c>
      <c r="S377" s="241" t="s">
        <v>796</v>
      </c>
      <c r="T377" s="241">
        <v>623</v>
      </c>
      <c r="U377" s="241" t="s">
        <v>796</v>
      </c>
      <c r="V377" s="241" t="s">
        <v>796</v>
      </c>
      <c r="W377" s="242" t="s">
        <v>80</v>
      </c>
    </row>
    <row r="378" spans="1:23" s="241" customFormat="1" ht="9.75" customHeight="1" x14ac:dyDescent="0.15">
      <c r="A378" s="448" t="s">
        <v>838</v>
      </c>
      <c r="B378" s="241">
        <v>528</v>
      </c>
      <c r="C378" s="241" t="s">
        <v>796</v>
      </c>
      <c r="D378" s="241">
        <v>139</v>
      </c>
      <c r="E378" s="241">
        <v>12</v>
      </c>
      <c r="F378" s="241" t="s">
        <v>796</v>
      </c>
      <c r="G378" s="241" t="s">
        <v>796</v>
      </c>
      <c r="H378" s="241">
        <v>127</v>
      </c>
      <c r="I378" s="241">
        <v>29</v>
      </c>
      <c r="J378" s="241" t="s">
        <v>796</v>
      </c>
      <c r="K378" s="241" t="s">
        <v>796</v>
      </c>
      <c r="L378" s="241">
        <v>13</v>
      </c>
      <c r="M378" s="241" t="s">
        <v>796</v>
      </c>
      <c r="N378" s="241">
        <v>16</v>
      </c>
      <c r="O378" s="241">
        <v>218</v>
      </c>
      <c r="P378" s="241">
        <v>218</v>
      </c>
      <c r="Q378" s="241" t="s">
        <v>796</v>
      </c>
      <c r="R378" s="241">
        <v>560</v>
      </c>
      <c r="S378" s="241" t="s">
        <v>796</v>
      </c>
      <c r="T378" s="241">
        <v>560</v>
      </c>
      <c r="U378" s="241" t="s">
        <v>796</v>
      </c>
      <c r="V378" s="241" t="s">
        <v>796</v>
      </c>
      <c r="W378" s="242" t="s">
        <v>839</v>
      </c>
    </row>
    <row r="379" spans="1:23" s="241" customFormat="1" ht="6.75" customHeight="1" x14ac:dyDescent="0.15">
      <c r="A379" s="464"/>
      <c r="W379" s="242"/>
    </row>
    <row r="380" spans="1:23" s="241" customFormat="1" ht="9.75" customHeight="1" x14ac:dyDescent="0.15">
      <c r="A380" s="448" t="s">
        <v>840</v>
      </c>
      <c r="B380" s="241">
        <v>119</v>
      </c>
      <c r="C380" s="241" t="s">
        <v>796</v>
      </c>
      <c r="D380" s="241">
        <v>3</v>
      </c>
      <c r="E380" s="241">
        <v>1</v>
      </c>
      <c r="F380" s="241" t="s">
        <v>796</v>
      </c>
      <c r="G380" s="241" t="s">
        <v>796</v>
      </c>
      <c r="H380" s="241">
        <v>2</v>
      </c>
      <c r="I380" s="241" t="s">
        <v>796</v>
      </c>
      <c r="J380" s="241" t="s">
        <v>796</v>
      </c>
      <c r="K380" s="241" t="s">
        <v>796</v>
      </c>
      <c r="L380" s="241" t="s">
        <v>796</v>
      </c>
      <c r="M380" s="241" t="s">
        <v>796</v>
      </c>
      <c r="N380" s="241" t="s">
        <v>796</v>
      </c>
      <c r="O380" s="241">
        <v>107</v>
      </c>
      <c r="P380" s="241">
        <v>107</v>
      </c>
      <c r="Q380" s="241" t="s">
        <v>796</v>
      </c>
      <c r="R380" s="241">
        <v>166</v>
      </c>
      <c r="S380" s="241" t="s">
        <v>796</v>
      </c>
      <c r="T380" s="241">
        <v>166</v>
      </c>
      <c r="U380" s="241" t="s">
        <v>796</v>
      </c>
      <c r="V380" s="241" t="s">
        <v>796</v>
      </c>
      <c r="W380" s="242" t="s">
        <v>788</v>
      </c>
    </row>
    <row r="381" spans="1:23" s="241" customFormat="1" ht="9.75" customHeight="1" x14ac:dyDescent="0.15">
      <c r="A381" s="448" t="s">
        <v>562</v>
      </c>
      <c r="B381" s="241">
        <v>190</v>
      </c>
      <c r="C381" s="241" t="s">
        <v>796</v>
      </c>
      <c r="D381" s="241">
        <v>61</v>
      </c>
      <c r="E381" s="241" t="s">
        <v>796</v>
      </c>
      <c r="F381" s="241" t="s">
        <v>796</v>
      </c>
      <c r="G381" s="241" t="s">
        <v>796</v>
      </c>
      <c r="H381" s="241">
        <v>61</v>
      </c>
      <c r="I381" s="241">
        <v>20</v>
      </c>
      <c r="J381" s="241">
        <v>16</v>
      </c>
      <c r="K381" s="241" t="s">
        <v>796</v>
      </c>
      <c r="L381" s="241" t="s">
        <v>796</v>
      </c>
      <c r="M381" s="241" t="s">
        <v>796</v>
      </c>
      <c r="N381" s="241">
        <v>4</v>
      </c>
      <c r="O381" s="241">
        <v>61</v>
      </c>
      <c r="P381" s="241">
        <v>61</v>
      </c>
      <c r="Q381" s="241" t="s">
        <v>796</v>
      </c>
      <c r="R381" s="241">
        <v>203</v>
      </c>
      <c r="S381" s="241" t="s">
        <v>796</v>
      </c>
      <c r="T381" s="241">
        <v>203</v>
      </c>
      <c r="U381" s="241" t="s">
        <v>796</v>
      </c>
      <c r="V381" s="241" t="s">
        <v>796</v>
      </c>
      <c r="W381" s="242" t="s">
        <v>66</v>
      </c>
    </row>
    <row r="382" spans="1:23" s="241" customFormat="1" ht="9.75" customHeight="1" x14ac:dyDescent="0.15">
      <c r="A382" s="448" t="s">
        <v>563</v>
      </c>
      <c r="B382" s="241">
        <v>198</v>
      </c>
      <c r="C382" s="241" t="s">
        <v>796</v>
      </c>
      <c r="D382" s="241">
        <v>37</v>
      </c>
      <c r="E382" s="241" t="s">
        <v>796</v>
      </c>
      <c r="F382" s="241" t="s">
        <v>796</v>
      </c>
      <c r="G382" s="241" t="s">
        <v>796</v>
      </c>
      <c r="H382" s="241">
        <v>37</v>
      </c>
      <c r="I382" s="241" t="s">
        <v>796</v>
      </c>
      <c r="J382" s="241" t="s">
        <v>796</v>
      </c>
      <c r="K382" s="241" t="s">
        <v>796</v>
      </c>
      <c r="L382" s="241" t="s">
        <v>796</v>
      </c>
      <c r="M382" s="241" t="s">
        <v>796</v>
      </c>
      <c r="N382" s="241" t="s">
        <v>796</v>
      </c>
      <c r="O382" s="241">
        <v>128</v>
      </c>
      <c r="P382" s="241">
        <v>105</v>
      </c>
      <c r="Q382" s="241">
        <v>23</v>
      </c>
      <c r="R382" s="241">
        <v>221</v>
      </c>
      <c r="S382" s="241" t="s">
        <v>796</v>
      </c>
      <c r="T382" s="241">
        <v>221</v>
      </c>
      <c r="U382" s="241" t="s">
        <v>796</v>
      </c>
      <c r="V382" s="241" t="s">
        <v>796</v>
      </c>
      <c r="W382" s="242" t="s">
        <v>67</v>
      </c>
    </row>
    <row r="383" spans="1:23" s="241" customFormat="1" ht="9.75" customHeight="1" x14ac:dyDescent="0.15">
      <c r="A383" s="448" t="s">
        <v>564</v>
      </c>
      <c r="B383" s="241">
        <v>195</v>
      </c>
      <c r="C383" s="241" t="s">
        <v>796</v>
      </c>
      <c r="D383" s="241">
        <v>7</v>
      </c>
      <c r="E383" s="241">
        <v>2</v>
      </c>
      <c r="F383" s="241" t="s">
        <v>796</v>
      </c>
      <c r="G383" s="241" t="s">
        <v>796</v>
      </c>
      <c r="H383" s="241">
        <v>5</v>
      </c>
      <c r="I383" s="241">
        <v>29</v>
      </c>
      <c r="J383" s="241" t="s">
        <v>796</v>
      </c>
      <c r="K383" s="241" t="s">
        <v>796</v>
      </c>
      <c r="L383" s="241" t="s">
        <v>796</v>
      </c>
      <c r="M383" s="241" t="s">
        <v>796</v>
      </c>
      <c r="N383" s="241">
        <v>29</v>
      </c>
      <c r="O383" s="241">
        <v>51</v>
      </c>
      <c r="P383" s="241">
        <v>51</v>
      </c>
      <c r="Q383" s="241" t="s">
        <v>796</v>
      </c>
      <c r="R383" s="241">
        <v>464</v>
      </c>
      <c r="S383" s="241" t="s">
        <v>796</v>
      </c>
      <c r="T383" s="241">
        <v>464</v>
      </c>
      <c r="U383" s="241" t="s">
        <v>796</v>
      </c>
      <c r="V383" s="241" t="s">
        <v>796</v>
      </c>
      <c r="W383" s="242" t="s">
        <v>68</v>
      </c>
    </row>
    <row r="384" spans="1:23" s="241" customFormat="1" ht="9.75" customHeight="1" x14ac:dyDescent="0.15">
      <c r="A384" s="448" t="s">
        <v>565</v>
      </c>
      <c r="B384" s="241">
        <v>117</v>
      </c>
      <c r="C384" s="241" t="s">
        <v>796</v>
      </c>
      <c r="D384" s="241">
        <v>34</v>
      </c>
      <c r="E384" s="241" t="s">
        <v>796</v>
      </c>
      <c r="F384" s="241" t="s">
        <v>796</v>
      </c>
      <c r="G384" s="241" t="s">
        <v>796</v>
      </c>
      <c r="H384" s="241">
        <v>34</v>
      </c>
      <c r="I384" s="241" t="s">
        <v>796</v>
      </c>
      <c r="J384" s="241" t="s">
        <v>796</v>
      </c>
      <c r="K384" s="241" t="s">
        <v>796</v>
      </c>
      <c r="L384" s="241" t="s">
        <v>796</v>
      </c>
      <c r="M384" s="241" t="s">
        <v>796</v>
      </c>
      <c r="N384" s="241" t="s">
        <v>796</v>
      </c>
      <c r="O384" s="241">
        <v>56</v>
      </c>
      <c r="P384" s="241">
        <v>56</v>
      </c>
      <c r="Q384" s="241" t="s">
        <v>796</v>
      </c>
      <c r="R384" s="241">
        <v>328</v>
      </c>
      <c r="S384" s="241" t="s">
        <v>796</v>
      </c>
      <c r="T384" s="241">
        <v>328</v>
      </c>
      <c r="U384" s="241" t="s">
        <v>796</v>
      </c>
      <c r="V384" s="241" t="s">
        <v>796</v>
      </c>
      <c r="W384" s="242" t="s">
        <v>81</v>
      </c>
    </row>
    <row r="385" spans="1:23" s="241" customFormat="1" ht="9.75" customHeight="1" x14ac:dyDescent="0.15">
      <c r="A385" s="448" t="s">
        <v>566</v>
      </c>
      <c r="B385" s="241">
        <v>172</v>
      </c>
      <c r="C385" s="241" t="s">
        <v>796</v>
      </c>
      <c r="D385" s="241">
        <v>25</v>
      </c>
      <c r="E385" s="241" t="s">
        <v>796</v>
      </c>
      <c r="F385" s="241" t="s">
        <v>796</v>
      </c>
      <c r="G385" s="241" t="s">
        <v>796</v>
      </c>
      <c r="H385" s="241">
        <v>25</v>
      </c>
      <c r="I385" s="241">
        <v>13</v>
      </c>
      <c r="J385" s="241" t="s">
        <v>796</v>
      </c>
      <c r="K385" s="241" t="s">
        <v>796</v>
      </c>
      <c r="L385" s="241">
        <v>13</v>
      </c>
      <c r="M385" s="241" t="s">
        <v>796</v>
      </c>
      <c r="N385" s="241" t="s">
        <v>796</v>
      </c>
      <c r="O385" s="241">
        <v>147</v>
      </c>
      <c r="P385" s="241">
        <v>147</v>
      </c>
      <c r="Q385" s="241" t="s">
        <v>796</v>
      </c>
      <c r="R385" s="241">
        <v>236</v>
      </c>
      <c r="S385" s="241" t="s">
        <v>796</v>
      </c>
      <c r="T385" s="241">
        <v>236</v>
      </c>
      <c r="U385" s="241" t="s">
        <v>796</v>
      </c>
      <c r="V385" s="241" t="s">
        <v>796</v>
      </c>
      <c r="W385" s="242" t="s">
        <v>82</v>
      </c>
    </row>
    <row r="386" spans="1:23" s="241" customFormat="1" ht="9.75" customHeight="1" x14ac:dyDescent="0.15">
      <c r="A386" s="448" t="s">
        <v>567</v>
      </c>
      <c r="B386" s="241">
        <v>214</v>
      </c>
      <c r="C386" s="241" t="s">
        <v>796</v>
      </c>
      <c r="D386" s="241">
        <v>71</v>
      </c>
      <c r="E386" s="241" t="s">
        <v>796</v>
      </c>
      <c r="F386" s="241" t="s">
        <v>796</v>
      </c>
      <c r="G386" s="241" t="s">
        <v>796</v>
      </c>
      <c r="H386" s="241">
        <v>71</v>
      </c>
      <c r="I386" s="241">
        <v>16</v>
      </c>
      <c r="J386" s="241">
        <v>16</v>
      </c>
      <c r="K386" s="241" t="s">
        <v>796</v>
      </c>
      <c r="L386" s="241" t="s">
        <v>796</v>
      </c>
      <c r="M386" s="241" t="s">
        <v>796</v>
      </c>
      <c r="N386" s="241" t="s">
        <v>796</v>
      </c>
      <c r="O386" s="241">
        <v>59</v>
      </c>
      <c r="P386" s="241">
        <v>59</v>
      </c>
      <c r="Q386" s="241" t="s">
        <v>796</v>
      </c>
      <c r="R386" s="241">
        <v>392</v>
      </c>
      <c r="S386" s="241" t="s">
        <v>796</v>
      </c>
      <c r="T386" s="241">
        <v>392</v>
      </c>
      <c r="U386" s="241" t="s">
        <v>796</v>
      </c>
      <c r="V386" s="241" t="s">
        <v>796</v>
      </c>
      <c r="W386" s="242" t="s">
        <v>83</v>
      </c>
    </row>
    <row r="387" spans="1:23" s="241" customFormat="1" ht="9.75" customHeight="1" x14ac:dyDescent="0.15">
      <c r="A387" s="448" t="s">
        <v>568</v>
      </c>
      <c r="B387" s="241">
        <v>124</v>
      </c>
      <c r="C387" s="241" t="s">
        <v>796</v>
      </c>
      <c r="D387" s="241">
        <v>20</v>
      </c>
      <c r="E387" s="241" t="s">
        <v>796</v>
      </c>
      <c r="F387" s="241" t="s">
        <v>796</v>
      </c>
      <c r="G387" s="241" t="s">
        <v>796</v>
      </c>
      <c r="H387" s="241">
        <v>20</v>
      </c>
      <c r="I387" s="241">
        <v>15</v>
      </c>
      <c r="J387" s="241" t="s">
        <v>796</v>
      </c>
      <c r="K387" s="241" t="s">
        <v>796</v>
      </c>
      <c r="L387" s="241" t="s">
        <v>796</v>
      </c>
      <c r="M387" s="241" t="s">
        <v>796</v>
      </c>
      <c r="N387" s="241">
        <v>15</v>
      </c>
      <c r="O387" s="241">
        <v>60</v>
      </c>
      <c r="P387" s="241">
        <v>60</v>
      </c>
      <c r="Q387" s="241" t="s">
        <v>796</v>
      </c>
      <c r="R387" s="241">
        <v>115</v>
      </c>
      <c r="S387" s="241" t="s">
        <v>796</v>
      </c>
      <c r="T387" s="241">
        <v>115</v>
      </c>
      <c r="U387" s="241" t="s">
        <v>796</v>
      </c>
      <c r="V387" s="241" t="s">
        <v>796</v>
      </c>
      <c r="W387" s="242" t="s">
        <v>84</v>
      </c>
    </row>
    <row r="388" spans="1:23" s="241" customFormat="1" ht="9.75" customHeight="1" x14ac:dyDescent="0.15">
      <c r="A388" s="448" t="s">
        <v>569</v>
      </c>
      <c r="B388" s="241">
        <v>194</v>
      </c>
      <c r="C388" s="241" t="s">
        <v>796</v>
      </c>
      <c r="D388" s="241">
        <v>62</v>
      </c>
      <c r="E388" s="241">
        <v>1</v>
      </c>
      <c r="F388" s="241" t="s">
        <v>796</v>
      </c>
      <c r="G388" s="241" t="s">
        <v>796</v>
      </c>
      <c r="H388" s="241">
        <v>61</v>
      </c>
      <c r="I388" s="241" t="s">
        <v>796</v>
      </c>
      <c r="J388" s="241" t="s">
        <v>796</v>
      </c>
      <c r="K388" s="241" t="s">
        <v>796</v>
      </c>
      <c r="L388" s="241" t="s">
        <v>796</v>
      </c>
      <c r="M388" s="241" t="s">
        <v>796</v>
      </c>
      <c r="N388" s="241" t="s">
        <v>796</v>
      </c>
      <c r="O388" s="241">
        <v>88</v>
      </c>
      <c r="P388" s="241">
        <v>88</v>
      </c>
      <c r="Q388" s="241" t="s">
        <v>796</v>
      </c>
      <c r="R388" s="241">
        <v>367</v>
      </c>
      <c r="S388" s="241">
        <v>3</v>
      </c>
      <c r="T388" s="241">
        <v>364</v>
      </c>
      <c r="U388" s="241" t="s">
        <v>796</v>
      </c>
      <c r="V388" s="241" t="s">
        <v>796</v>
      </c>
      <c r="W388" s="242" t="s">
        <v>85</v>
      </c>
    </row>
    <row r="389" spans="1:23" s="241" customFormat="1" ht="9.75" customHeight="1" x14ac:dyDescent="0.15">
      <c r="A389" s="448" t="s">
        <v>570</v>
      </c>
      <c r="B389" s="241">
        <v>278</v>
      </c>
      <c r="C389" s="241" t="s">
        <v>796</v>
      </c>
      <c r="D389" s="241">
        <v>33</v>
      </c>
      <c r="E389" s="241" t="s">
        <v>796</v>
      </c>
      <c r="F389" s="241" t="s">
        <v>796</v>
      </c>
      <c r="G389" s="241" t="s">
        <v>796</v>
      </c>
      <c r="H389" s="241">
        <v>33</v>
      </c>
      <c r="I389" s="241">
        <v>33</v>
      </c>
      <c r="J389" s="241" t="s">
        <v>796</v>
      </c>
      <c r="K389" s="241" t="s">
        <v>796</v>
      </c>
      <c r="L389" s="241" t="s">
        <v>796</v>
      </c>
      <c r="M389" s="241" t="s">
        <v>796</v>
      </c>
      <c r="N389" s="241">
        <v>33</v>
      </c>
      <c r="O389" s="241">
        <v>107</v>
      </c>
      <c r="P389" s="241">
        <v>107</v>
      </c>
      <c r="Q389" s="241" t="s">
        <v>796</v>
      </c>
      <c r="R389" s="241">
        <v>218</v>
      </c>
      <c r="S389" s="241" t="s">
        <v>796</v>
      </c>
      <c r="T389" s="241">
        <v>218</v>
      </c>
      <c r="U389" s="241" t="s">
        <v>796</v>
      </c>
      <c r="V389" s="241" t="s">
        <v>796</v>
      </c>
      <c r="W389" s="242" t="s">
        <v>69</v>
      </c>
    </row>
    <row r="390" spans="1:23" s="241" customFormat="1" ht="9.75" customHeight="1" x14ac:dyDescent="0.15">
      <c r="A390" s="448" t="s">
        <v>571</v>
      </c>
      <c r="B390" s="241">
        <v>209</v>
      </c>
      <c r="C390" s="241" t="s">
        <v>796</v>
      </c>
      <c r="D390" s="241">
        <v>14</v>
      </c>
      <c r="E390" s="241" t="s">
        <v>796</v>
      </c>
      <c r="F390" s="241" t="s">
        <v>796</v>
      </c>
      <c r="G390" s="241" t="s">
        <v>796</v>
      </c>
      <c r="H390" s="241">
        <v>14</v>
      </c>
      <c r="I390" s="241" t="s">
        <v>796</v>
      </c>
      <c r="J390" s="241" t="s">
        <v>796</v>
      </c>
      <c r="K390" s="241" t="s">
        <v>796</v>
      </c>
      <c r="L390" s="241" t="s">
        <v>796</v>
      </c>
      <c r="M390" s="241" t="s">
        <v>796</v>
      </c>
      <c r="N390" s="241" t="s">
        <v>796</v>
      </c>
      <c r="O390" s="241">
        <v>66</v>
      </c>
      <c r="P390" s="241">
        <v>66</v>
      </c>
      <c r="Q390" s="241" t="s">
        <v>796</v>
      </c>
      <c r="R390" s="241">
        <v>182</v>
      </c>
      <c r="S390" s="241" t="s">
        <v>796</v>
      </c>
      <c r="T390" s="241">
        <v>182</v>
      </c>
      <c r="U390" s="241" t="s">
        <v>796</v>
      </c>
      <c r="V390" s="241" t="s">
        <v>796</v>
      </c>
      <c r="W390" s="242" t="s">
        <v>70</v>
      </c>
    </row>
    <row r="391" spans="1:23" s="241" customFormat="1" ht="9.75" customHeight="1" x14ac:dyDescent="0.15">
      <c r="A391" s="448" t="s">
        <v>572</v>
      </c>
      <c r="B391" s="241">
        <v>176</v>
      </c>
      <c r="C391" s="241" t="s">
        <v>796</v>
      </c>
      <c r="D391" s="241">
        <v>49</v>
      </c>
      <c r="E391" s="241" t="s">
        <v>796</v>
      </c>
      <c r="F391" s="241" t="s">
        <v>796</v>
      </c>
      <c r="G391" s="241" t="s">
        <v>796</v>
      </c>
      <c r="H391" s="241">
        <v>49</v>
      </c>
      <c r="I391" s="241">
        <v>17</v>
      </c>
      <c r="J391" s="241" t="s">
        <v>796</v>
      </c>
      <c r="K391" s="241">
        <v>16</v>
      </c>
      <c r="L391" s="241" t="s">
        <v>796</v>
      </c>
      <c r="M391" s="241" t="s">
        <v>796</v>
      </c>
      <c r="N391" s="241">
        <v>1</v>
      </c>
      <c r="O391" s="241">
        <v>93</v>
      </c>
      <c r="P391" s="241">
        <v>93</v>
      </c>
      <c r="Q391" s="241" t="s">
        <v>796</v>
      </c>
      <c r="R391" s="241">
        <v>223</v>
      </c>
      <c r="S391" s="241" t="s">
        <v>796</v>
      </c>
      <c r="T391" s="241">
        <v>223</v>
      </c>
      <c r="U391" s="241" t="s">
        <v>796</v>
      </c>
      <c r="V391" s="241" t="s">
        <v>796</v>
      </c>
      <c r="W391" s="242" t="s">
        <v>71</v>
      </c>
    </row>
    <row r="392" spans="1:23" s="241" customFormat="1" ht="9.75" customHeight="1" x14ac:dyDescent="0.15">
      <c r="A392" s="448" t="s">
        <v>841</v>
      </c>
      <c r="B392" s="241">
        <v>189</v>
      </c>
      <c r="C392" s="241" t="s">
        <v>796</v>
      </c>
      <c r="D392" s="241">
        <v>25</v>
      </c>
      <c r="E392" s="241">
        <v>8</v>
      </c>
      <c r="F392" s="241" t="s">
        <v>796</v>
      </c>
      <c r="G392" s="241" t="s">
        <v>796</v>
      </c>
      <c r="H392" s="241">
        <v>17</v>
      </c>
      <c r="I392" s="241">
        <v>16</v>
      </c>
      <c r="J392" s="241" t="s">
        <v>796</v>
      </c>
      <c r="K392" s="241" t="s">
        <v>796</v>
      </c>
      <c r="L392" s="241" t="s">
        <v>796</v>
      </c>
      <c r="M392" s="241" t="s">
        <v>796</v>
      </c>
      <c r="N392" s="241">
        <v>16</v>
      </c>
      <c r="O392" s="241">
        <v>38</v>
      </c>
      <c r="P392" s="241">
        <v>38</v>
      </c>
      <c r="Q392" s="241" t="s">
        <v>796</v>
      </c>
      <c r="R392" s="241">
        <v>139</v>
      </c>
      <c r="S392" s="241" t="s">
        <v>796</v>
      </c>
      <c r="T392" s="241">
        <v>139</v>
      </c>
      <c r="U392" s="241" t="s">
        <v>796</v>
      </c>
      <c r="V392" s="241" t="s">
        <v>796</v>
      </c>
      <c r="W392" s="242" t="s">
        <v>842</v>
      </c>
    </row>
    <row r="393" spans="1:23" s="241" customFormat="1" ht="9.75" customHeight="1" x14ac:dyDescent="0.15">
      <c r="A393" s="448" t="s">
        <v>573</v>
      </c>
      <c r="B393" s="241">
        <v>68</v>
      </c>
      <c r="C393" s="241" t="s">
        <v>796</v>
      </c>
      <c r="D393" s="241">
        <v>36</v>
      </c>
      <c r="E393" s="241">
        <v>4</v>
      </c>
      <c r="F393" s="241" t="s">
        <v>796</v>
      </c>
      <c r="G393" s="241" t="s">
        <v>796</v>
      </c>
      <c r="H393" s="241">
        <v>32</v>
      </c>
      <c r="I393" s="241">
        <v>13</v>
      </c>
      <c r="J393" s="241" t="s">
        <v>796</v>
      </c>
      <c r="K393" s="241" t="s">
        <v>796</v>
      </c>
      <c r="L393" s="241">
        <v>13</v>
      </c>
      <c r="M393" s="241" t="s">
        <v>796</v>
      </c>
      <c r="N393" s="241" t="s">
        <v>796</v>
      </c>
      <c r="O393" s="241">
        <v>142</v>
      </c>
      <c r="P393" s="241">
        <v>142</v>
      </c>
      <c r="Q393" s="241" t="s">
        <v>796</v>
      </c>
      <c r="R393" s="241">
        <v>147</v>
      </c>
      <c r="S393" s="241" t="s">
        <v>796</v>
      </c>
      <c r="T393" s="241">
        <v>147</v>
      </c>
      <c r="U393" s="241" t="s">
        <v>796</v>
      </c>
      <c r="V393" s="241" t="s">
        <v>796</v>
      </c>
      <c r="W393" s="242" t="s">
        <v>66</v>
      </c>
    </row>
    <row r="394" spans="1:23" s="241" customFormat="1" ht="9.75" customHeight="1" x14ac:dyDescent="0.15">
      <c r="A394" s="795" t="s">
        <v>574</v>
      </c>
      <c r="B394" s="796">
        <v>271</v>
      </c>
      <c r="C394" s="797" t="s">
        <v>796</v>
      </c>
      <c r="D394" s="797">
        <v>78</v>
      </c>
      <c r="E394" s="797" t="s">
        <v>796</v>
      </c>
      <c r="F394" s="797" t="s">
        <v>796</v>
      </c>
      <c r="G394" s="797" t="s">
        <v>796</v>
      </c>
      <c r="H394" s="797">
        <v>78</v>
      </c>
      <c r="I394" s="797" t="s">
        <v>796</v>
      </c>
      <c r="J394" s="797" t="s">
        <v>796</v>
      </c>
      <c r="K394" s="797" t="s">
        <v>796</v>
      </c>
      <c r="L394" s="797" t="s">
        <v>796</v>
      </c>
      <c r="M394" s="797" t="s">
        <v>796</v>
      </c>
      <c r="N394" s="797" t="s">
        <v>796</v>
      </c>
      <c r="O394" s="797">
        <v>38</v>
      </c>
      <c r="P394" s="797">
        <v>38</v>
      </c>
      <c r="Q394" s="797" t="s">
        <v>796</v>
      </c>
      <c r="R394" s="797">
        <v>274</v>
      </c>
      <c r="S394" s="797" t="s">
        <v>796</v>
      </c>
      <c r="T394" s="797">
        <v>274</v>
      </c>
      <c r="U394" s="797" t="s">
        <v>796</v>
      </c>
      <c r="V394" s="797" t="s">
        <v>796</v>
      </c>
      <c r="W394" s="798" t="s">
        <v>67</v>
      </c>
    </row>
    <row r="395" spans="1:23" ht="12" customHeight="1" x14ac:dyDescent="0.15"/>
    <row r="396" spans="1:23" ht="12" customHeight="1" x14ac:dyDescent="0.15"/>
    <row r="397" spans="1:23" ht="12" customHeight="1" x14ac:dyDescent="0.15">
      <c r="K397" s="246" t="s">
        <v>86</v>
      </c>
    </row>
    <row r="398" spans="1:23" s="244" customFormat="1" ht="21" customHeight="1" x14ac:dyDescent="0.15">
      <c r="A398" s="1026" t="s">
        <v>153</v>
      </c>
      <c r="B398" s="812" t="s">
        <v>952</v>
      </c>
      <c r="C398" s="789" t="s">
        <v>258</v>
      </c>
      <c r="D398" s="790"/>
      <c r="E398" s="790"/>
      <c r="F398" s="790"/>
      <c r="G398" s="790"/>
      <c r="H398" s="790"/>
      <c r="I398" s="790"/>
      <c r="J398" s="790"/>
      <c r="K398" s="790"/>
      <c r="L398" s="790"/>
      <c r="M398" s="790"/>
      <c r="N398" s="790"/>
      <c r="O398" s="790"/>
      <c r="P398" s="790"/>
      <c r="Q398" s="790"/>
      <c r="R398" s="790"/>
      <c r="S398" s="790"/>
      <c r="T398" s="790"/>
      <c r="U398" s="790"/>
      <c r="V398" s="790"/>
      <c r="W398" s="1029" t="s">
        <v>72</v>
      </c>
    </row>
    <row r="399" spans="1:23" s="244" customFormat="1" ht="21" customHeight="1" x14ac:dyDescent="0.15">
      <c r="A399" s="1027"/>
      <c r="B399" s="812" t="s">
        <v>953</v>
      </c>
      <c r="C399" s="1032" t="s">
        <v>257</v>
      </c>
      <c r="D399" s="789" t="s">
        <v>244</v>
      </c>
      <c r="E399" s="790"/>
      <c r="F399" s="790"/>
      <c r="G399" s="790"/>
      <c r="H399" s="790"/>
      <c r="I399" s="790"/>
      <c r="J399" s="790"/>
      <c r="K399" s="790"/>
      <c r="L399" s="790"/>
      <c r="M399" s="790"/>
      <c r="N399" s="790"/>
      <c r="O399" s="790"/>
      <c r="P399" s="788"/>
      <c r="Q399" s="789" t="s">
        <v>238</v>
      </c>
      <c r="R399" s="790"/>
      <c r="S399" s="790"/>
      <c r="T399" s="790"/>
      <c r="U399" s="788"/>
      <c r="V399" s="789" t="s">
        <v>237</v>
      </c>
      <c r="W399" s="1030"/>
    </row>
    <row r="400" spans="1:23" s="244" customFormat="1" ht="52.5" customHeight="1" x14ac:dyDescent="0.15">
      <c r="A400" s="1028"/>
      <c r="B400" s="245" t="s">
        <v>921</v>
      </c>
      <c r="C400" s="1033"/>
      <c r="D400" s="530" t="s">
        <v>920</v>
      </c>
      <c r="E400" s="245" t="s">
        <v>235</v>
      </c>
      <c r="F400" s="245" t="s">
        <v>929</v>
      </c>
      <c r="G400" s="245" t="s">
        <v>250</v>
      </c>
      <c r="H400" s="245" t="s">
        <v>256</v>
      </c>
      <c r="I400" s="245" t="s">
        <v>301</v>
      </c>
      <c r="J400" s="245" t="s">
        <v>255</v>
      </c>
      <c r="K400" s="245" t="s">
        <v>234</v>
      </c>
      <c r="L400" s="245" t="s">
        <v>233</v>
      </c>
      <c r="M400" s="245" t="s">
        <v>282</v>
      </c>
      <c r="N400" s="245" t="s">
        <v>231</v>
      </c>
      <c r="O400" s="245" t="s">
        <v>260</v>
      </c>
      <c r="P400" s="245" t="s">
        <v>954</v>
      </c>
      <c r="Q400" s="530" t="s">
        <v>94</v>
      </c>
      <c r="R400" s="245" t="s">
        <v>131</v>
      </c>
      <c r="S400" s="245" t="s">
        <v>254</v>
      </c>
      <c r="T400" s="245" t="s">
        <v>224</v>
      </c>
      <c r="U400" s="245" t="s">
        <v>300</v>
      </c>
      <c r="V400" s="791" t="s">
        <v>96</v>
      </c>
      <c r="W400" s="1031"/>
    </row>
    <row r="401" spans="1:23" s="241" customFormat="1" ht="9.75" customHeight="1" x14ac:dyDescent="0.15">
      <c r="A401" s="645" t="s">
        <v>831</v>
      </c>
      <c r="B401" s="792">
        <v>23765</v>
      </c>
      <c r="C401" s="793">
        <v>633</v>
      </c>
      <c r="D401" s="793">
        <v>588</v>
      </c>
      <c r="E401" s="793">
        <v>27</v>
      </c>
      <c r="F401" s="793">
        <v>307</v>
      </c>
      <c r="G401" s="793">
        <v>5</v>
      </c>
      <c r="H401" s="793" t="s">
        <v>796</v>
      </c>
      <c r="I401" s="793">
        <v>18</v>
      </c>
      <c r="J401" s="793">
        <v>43</v>
      </c>
      <c r="K401" s="793">
        <v>6</v>
      </c>
      <c r="L401" s="793" t="s">
        <v>796</v>
      </c>
      <c r="M401" s="793">
        <v>4</v>
      </c>
      <c r="N401" s="793">
        <v>148</v>
      </c>
      <c r="O401" s="793">
        <v>30</v>
      </c>
      <c r="P401" s="793" t="s">
        <v>796</v>
      </c>
      <c r="Q401" s="793">
        <v>34</v>
      </c>
      <c r="R401" s="793">
        <v>32</v>
      </c>
      <c r="S401" s="793" t="s">
        <v>796</v>
      </c>
      <c r="T401" s="793">
        <v>2</v>
      </c>
      <c r="U401" s="793" t="s">
        <v>796</v>
      </c>
      <c r="V401" s="793">
        <v>11</v>
      </c>
      <c r="W401" s="794" t="s">
        <v>517</v>
      </c>
    </row>
    <row r="402" spans="1:23" s="241" customFormat="1" ht="9.75" customHeight="1" x14ac:dyDescent="0.15">
      <c r="A402" s="448" t="s">
        <v>557</v>
      </c>
      <c r="B402" s="241">
        <v>14830</v>
      </c>
      <c r="C402" s="241">
        <v>831</v>
      </c>
      <c r="D402" s="241">
        <v>771</v>
      </c>
      <c r="E402" s="241">
        <v>45</v>
      </c>
      <c r="F402" s="241">
        <v>305</v>
      </c>
      <c r="G402" s="241">
        <v>33</v>
      </c>
      <c r="H402" s="241" t="s">
        <v>796</v>
      </c>
      <c r="I402" s="241">
        <v>33</v>
      </c>
      <c r="J402" s="241">
        <v>100</v>
      </c>
      <c r="K402" s="241">
        <v>11</v>
      </c>
      <c r="L402" s="241">
        <v>6</v>
      </c>
      <c r="M402" s="241">
        <v>2</v>
      </c>
      <c r="N402" s="241">
        <v>152</v>
      </c>
      <c r="O402" s="241">
        <v>84</v>
      </c>
      <c r="P402" s="241" t="s">
        <v>796</v>
      </c>
      <c r="Q402" s="241">
        <v>37</v>
      </c>
      <c r="R402" s="241">
        <v>23</v>
      </c>
      <c r="S402" s="241">
        <v>9</v>
      </c>
      <c r="T402" s="241">
        <v>5</v>
      </c>
      <c r="U402" s="241" t="s">
        <v>796</v>
      </c>
      <c r="V402" s="241">
        <v>23</v>
      </c>
      <c r="W402" s="242" t="s">
        <v>558</v>
      </c>
    </row>
    <row r="403" spans="1:23" s="241" customFormat="1" ht="9.75" customHeight="1" x14ac:dyDescent="0.15">
      <c r="A403" s="448" t="s">
        <v>682</v>
      </c>
      <c r="B403" s="241">
        <v>11421</v>
      </c>
      <c r="C403" s="241">
        <v>677</v>
      </c>
      <c r="D403" s="241">
        <v>610</v>
      </c>
      <c r="E403" s="241">
        <v>26</v>
      </c>
      <c r="F403" s="241">
        <v>139</v>
      </c>
      <c r="G403" s="241">
        <v>51</v>
      </c>
      <c r="H403" s="241" t="s">
        <v>796</v>
      </c>
      <c r="I403" s="241">
        <v>57</v>
      </c>
      <c r="J403" s="241">
        <v>77</v>
      </c>
      <c r="K403" s="241">
        <v>6</v>
      </c>
      <c r="L403" s="241">
        <v>2</v>
      </c>
      <c r="M403" s="241">
        <v>17</v>
      </c>
      <c r="N403" s="241">
        <v>143</v>
      </c>
      <c r="O403" s="241">
        <v>91</v>
      </c>
      <c r="P403" s="241">
        <v>1</v>
      </c>
      <c r="Q403" s="241">
        <v>38</v>
      </c>
      <c r="R403" s="241">
        <v>17</v>
      </c>
      <c r="S403" s="241">
        <v>9</v>
      </c>
      <c r="T403" s="241">
        <v>12</v>
      </c>
      <c r="U403" s="241" t="s">
        <v>796</v>
      </c>
      <c r="V403" s="241">
        <v>24</v>
      </c>
      <c r="W403" s="242" t="s">
        <v>683</v>
      </c>
    </row>
    <row r="404" spans="1:23" s="241" customFormat="1" ht="9.75" customHeight="1" x14ac:dyDescent="0.15">
      <c r="A404" s="448" t="s">
        <v>784</v>
      </c>
      <c r="B404" s="241" t="s">
        <v>796</v>
      </c>
      <c r="C404" s="241">
        <v>744</v>
      </c>
      <c r="D404" s="241">
        <v>685</v>
      </c>
      <c r="E404" s="241">
        <v>28</v>
      </c>
      <c r="F404" s="241">
        <v>195</v>
      </c>
      <c r="G404" s="241">
        <v>40</v>
      </c>
      <c r="H404" s="241">
        <v>10</v>
      </c>
      <c r="I404" s="241">
        <v>68</v>
      </c>
      <c r="J404" s="241">
        <v>70</v>
      </c>
      <c r="K404" s="241">
        <v>16</v>
      </c>
      <c r="L404" s="241">
        <v>8</v>
      </c>
      <c r="M404" s="241">
        <v>12</v>
      </c>
      <c r="N404" s="241">
        <v>147</v>
      </c>
      <c r="O404" s="241">
        <v>81</v>
      </c>
      <c r="P404" s="241">
        <v>10</v>
      </c>
      <c r="Q404" s="241">
        <v>36</v>
      </c>
      <c r="R404" s="241">
        <v>9</v>
      </c>
      <c r="S404" s="241">
        <v>10</v>
      </c>
      <c r="T404" s="241">
        <v>15</v>
      </c>
      <c r="U404" s="241">
        <v>2</v>
      </c>
      <c r="V404" s="241">
        <v>21</v>
      </c>
      <c r="W404" s="242" t="s">
        <v>785</v>
      </c>
    </row>
    <row r="405" spans="1:23" s="241" customFormat="1" ht="9.75" customHeight="1" x14ac:dyDescent="0.15">
      <c r="A405" s="448" t="s">
        <v>832</v>
      </c>
      <c r="B405" s="241" t="s">
        <v>796</v>
      </c>
      <c r="C405" s="241">
        <v>798</v>
      </c>
      <c r="D405" s="241">
        <v>729</v>
      </c>
      <c r="E405" s="241">
        <v>17</v>
      </c>
      <c r="F405" s="241">
        <v>189</v>
      </c>
      <c r="G405" s="241">
        <v>38</v>
      </c>
      <c r="H405" s="241">
        <v>25</v>
      </c>
      <c r="I405" s="241">
        <v>86</v>
      </c>
      <c r="J405" s="241">
        <v>62</v>
      </c>
      <c r="K405" s="241">
        <v>2</v>
      </c>
      <c r="L405" s="241">
        <v>9</v>
      </c>
      <c r="M405" s="241">
        <v>6</v>
      </c>
      <c r="N405" s="241">
        <v>170</v>
      </c>
      <c r="O405" s="241">
        <v>125</v>
      </c>
      <c r="P405" s="241" t="s">
        <v>796</v>
      </c>
      <c r="Q405" s="241">
        <v>40</v>
      </c>
      <c r="R405" s="241" t="s">
        <v>796</v>
      </c>
      <c r="S405" s="241">
        <v>40</v>
      </c>
      <c r="T405" s="241" t="s">
        <v>796</v>
      </c>
      <c r="U405" s="241" t="s">
        <v>796</v>
      </c>
      <c r="V405" s="241">
        <v>29</v>
      </c>
      <c r="W405" s="242" t="s">
        <v>833</v>
      </c>
    </row>
    <row r="406" spans="1:23" s="241" customFormat="1" ht="6.75" customHeight="1" x14ac:dyDescent="0.15">
      <c r="A406" s="464"/>
      <c r="W406" s="242"/>
    </row>
    <row r="407" spans="1:23" s="241" customFormat="1" ht="9.75" customHeight="1" x14ac:dyDescent="0.15">
      <c r="A407" s="448" t="s">
        <v>834</v>
      </c>
      <c r="B407" s="241" t="s">
        <v>796</v>
      </c>
      <c r="C407" s="241">
        <v>730</v>
      </c>
      <c r="D407" s="241">
        <v>671</v>
      </c>
      <c r="E407" s="241">
        <v>27</v>
      </c>
      <c r="F407" s="241">
        <v>206</v>
      </c>
      <c r="G407" s="241">
        <v>34</v>
      </c>
      <c r="H407" s="241">
        <v>18</v>
      </c>
      <c r="I407" s="241">
        <v>67</v>
      </c>
      <c r="J407" s="241">
        <v>79</v>
      </c>
      <c r="K407" s="241">
        <v>10</v>
      </c>
      <c r="L407" s="241">
        <v>10</v>
      </c>
      <c r="M407" s="241">
        <v>9</v>
      </c>
      <c r="N407" s="241">
        <v>127</v>
      </c>
      <c r="O407" s="241">
        <v>74</v>
      </c>
      <c r="P407" s="241">
        <v>10</v>
      </c>
      <c r="Q407" s="241">
        <v>36</v>
      </c>
      <c r="R407" s="241">
        <v>4</v>
      </c>
      <c r="S407" s="241">
        <v>16</v>
      </c>
      <c r="T407" s="241">
        <v>15</v>
      </c>
      <c r="U407" s="241">
        <v>1</v>
      </c>
      <c r="V407" s="241">
        <v>22</v>
      </c>
      <c r="W407" s="242" t="s">
        <v>786</v>
      </c>
    </row>
    <row r="408" spans="1:23" s="241" customFormat="1" ht="9.75" customHeight="1" x14ac:dyDescent="0.15">
      <c r="A408" s="448" t="s">
        <v>835</v>
      </c>
      <c r="B408" s="241" t="s">
        <v>796</v>
      </c>
      <c r="C408" s="241">
        <v>831</v>
      </c>
      <c r="D408" s="241">
        <v>774</v>
      </c>
      <c r="E408" s="241">
        <v>18</v>
      </c>
      <c r="F408" s="241">
        <v>189</v>
      </c>
      <c r="G408" s="241">
        <v>32</v>
      </c>
      <c r="H408" s="241">
        <v>21</v>
      </c>
      <c r="I408" s="241">
        <v>103</v>
      </c>
      <c r="J408" s="241">
        <v>68</v>
      </c>
      <c r="K408" s="241">
        <v>12</v>
      </c>
      <c r="L408" s="241">
        <v>8</v>
      </c>
      <c r="M408" s="241">
        <v>7</v>
      </c>
      <c r="N408" s="241">
        <v>186</v>
      </c>
      <c r="O408" s="241">
        <v>130</v>
      </c>
      <c r="P408" s="241" t="s">
        <v>796</v>
      </c>
      <c r="Q408" s="241">
        <v>31</v>
      </c>
      <c r="R408" s="241">
        <v>1</v>
      </c>
      <c r="S408" s="241">
        <v>30</v>
      </c>
      <c r="T408" s="241" t="s">
        <v>796</v>
      </c>
      <c r="U408" s="241" t="s">
        <v>796</v>
      </c>
      <c r="V408" s="241">
        <v>26</v>
      </c>
      <c r="W408" s="242" t="s">
        <v>836</v>
      </c>
    </row>
    <row r="409" spans="1:23" s="241" customFormat="1" ht="6.75" customHeight="1" x14ac:dyDescent="0.15">
      <c r="A409" s="464"/>
      <c r="W409" s="242"/>
    </row>
    <row r="410" spans="1:23" s="241" customFormat="1" ht="9.75" customHeight="1" x14ac:dyDescent="0.15">
      <c r="A410" s="448" t="s">
        <v>837</v>
      </c>
      <c r="B410" s="241" t="s">
        <v>796</v>
      </c>
      <c r="C410" s="241">
        <v>168</v>
      </c>
      <c r="D410" s="241">
        <v>151</v>
      </c>
      <c r="E410" s="241">
        <v>3</v>
      </c>
      <c r="F410" s="241">
        <v>42</v>
      </c>
      <c r="G410" s="241">
        <v>10</v>
      </c>
      <c r="H410" s="241">
        <v>8</v>
      </c>
      <c r="I410" s="241">
        <v>19</v>
      </c>
      <c r="J410" s="241">
        <v>24</v>
      </c>
      <c r="K410" s="241" t="s">
        <v>796</v>
      </c>
      <c r="L410" s="241">
        <v>4</v>
      </c>
      <c r="M410" s="241" t="s">
        <v>796</v>
      </c>
      <c r="N410" s="241">
        <v>23</v>
      </c>
      <c r="O410" s="241">
        <v>18</v>
      </c>
      <c r="P410" s="241" t="s">
        <v>796</v>
      </c>
      <c r="Q410" s="241">
        <v>11</v>
      </c>
      <c r="R410" s="241" t="s">
        <v>796</v>
      </c>
      <c r="S410" s="241">
        <v>11</v>
      </c>
      <c r="T410" s="241" t="s">
        <v>796</v>
      </c>
      <c r="U410" s="241" t="s">
        <v>796</v>
      </c>
      <c r="V410" s="241">
        <v>6</v>
      </c>
      <c r="W410" s="242" t="s">
        <v>787</v>
      </c>
    </row>
    <row r="411" spans="1:23" s="241" customFormat="1" ht="9.75" customHeight="1" x14ac:dyDescent="0.15">
      <c r="A411" s="448" t="s">
        <v>559</v>
      </c>
      <c r="B411" s="241" t="s">
        <v>796</v>
      </c>
      <c r="C411" s="241">
        <v>191</v>
      </c>
      <c r="D411" s="241">
        <v>185</v>
      </c>
      <c r="E411" s="241">
        <v>7</v>
      </c>
      <c r="F411" s="241">
        <v>63</v>
      </c>
      <c r="G411" s="241">
        <v>10</v>
      </c>
      <c r="H411" s="241">
        <v>4</v>
      </c>
      <c r="I411" s="241">
        <v>26</v>
      </c>
      <c r="J411" s="241">
        <v>13</v>
      </c>
      <c r="K411" s="241">
        <v>2</v>
      </c>
      <c r="L411" s="241">
        <v>3</v>
      </c>
      <c r="M411" s="241" t="s">
        <v>796</v>
      </c>
      <c r="N411" s="241">
        <v>49</v>
      </c>
      <c r="O411" s="241">
        <v>8</v>
      </c>
      <c r="P411" s="241" t="s">
        <v>796</v>
      </c>
      <c r="Q411" s="241" t="s">
        <v>796</v>
      </c>
      <c r="R411" s="241" t="s">
        <v>796</v>
      </c>
      <c r="S411" s="241" t="s">
        <v>796</v>
      </c>
      <c r="T411" s="241" t="s">
        <v>796</v>
      </c>
      <c r="U411" s="241" t="s">
        <v>796</v>
      </c>
      <c r="V411" s="241">
        <v>6</v>
      </c>
      <c r="W411" s="242" t="s">
        <v>78</v>
      </c>
    </row>
    <row r="412" spans="1:23" s="241" customFormat="1" ht="9.75" customHeight="1" x14ac:dyDescent="0.15">
      <c r="A412" s="448" t="s">
        <v>560</v>
      </c>
      <c r="B412" s="241" t="s">
        <v>796</v>
      </c>
      <c r="C412" s="241">
        <v>280</v>
      </c>
      <c r="D412" s="241">
        <v>264</v>
      </c>
      <c r="E412" s="241" t="s">
        <v>796</v>
      </c>
      <c r="F412" s="241">
        <v>49</v>
      </c>
      <c r="G412" s="241">
        <v>10</v>
      </c>
      <c r="H412" s="241">
        <v>10</v>
      </c>
      <c r="I412" s="241">
        <v>41</v>
      </c>
      <c r="J412" s="241">
        <v>8</v>
      </c>
      <c r="K412" s="241" t="s">
        <v>796</v>
      </c>
      <c r="L412" s="241" t="s">
        <v>796</v>
      </c>
      <c r="M412" s="241" t="s">
        <v>796</v>
      </c>
      <c r="N412" s="241">
        <v>66</v>
      </c>
      <c r="O412" s="241">
        <v>80</v>
      </c>
      <c r="P412" s="241" t="s">
        <v>796</v>
      </c>
      <c r="Q412" s="241">
        <v>11</v>
      </c>
      <c r="R412" s="241" t="s">
        <v>796</v>
      </c>
      <c r="S412" s="241">
        <v>11</v>
      </c>
      <c r="T412" s="241" t="s">
        <v>796</v>
      </c>
      <c r="U412" s="241" t="s">
        <v>796</v>
      </c>
      <c r="V412" s="241">
        <v>5</v>
      </c>
      <c r="W412" s="242" t="s">
        <v>79</v>
      </c>
    </row>
    <row r="413" spans="1:23" s="241" customFormat="1" ht="9.75" customHeight="1" x14ac:dyDescent="0.15">
      <c r="A413" s="448" t="s">
        <v>561</v>
      </c>
      <c r="B413" s="241" t="s">
        <v>796</v>
      </c>
      <c r="C413" s="241">
        <v>159</v>
      </c>
      <c r="D413" s="241">
        <v>129</v>
      </c>
      <c r="E413" s="241">
        <v>7</v>
      </c>
      <c r="F413" s="241">
        <v>35</v>
      </c>
      <c r="G413" s="241">
        <v>8</v>
      </c>
      <c r="H413" s="241">
        <v>3</v>
      </c>
      <c r="I413" s="241" t="s">
        <v>796</v>
      </c>
      <c r="J413" s="241">
        <v>17</v>
      </c>
      <c r="K413" s="241" t="s">
        <v>796</v>
      </c>
      <c r="L413" s="241">
        <v>2</v>
      </c>
      <c r="M413" s="241">
        <v>6</v>
      </c>
      <c r="N413" s="241">
        <v>32</v>
      </c>
      <c r="O413" s="241">
        <v>19</v>
      </c>
      <c r="P413" s="241" t="s">
        <v>796</v>
      </c>
      <c r="Q413" s="241">
        <v>18</v>
      </c>
      <c r="R413" s="241" t="s">
        <v>796</v>
      </c>
      <c r="S413" s="241">
        <v>18</v>
      </c>
      <c r="T413" s="241" t="s">
        <v>796</v>
      </c>
      <c r="U413" s="241" t="s">
        <v>796</v>
      </c>
      <c r="V413" s="241">
        <v>12</v>
      </c>
      <c r="W413" s="242" t="s">
        <v>80</v>
      </c>
    </row>
    <row r="414" spans="1:23" s="241" customFormat="1" ht="9.75" customHeight="1" x14ac:dyDescent="0.15">
      <c r="A414" s="448" t="s">
        <v>838</v>
      </c>
      <c r="B414" s="241" t="s">
        <v>796</v>
      </c>
      <c r="C414" s="241">
        <v>201</v>
      </c>
      <c r="D414" s="241">
        <v>196</v>
      </c>
      <c r="E414" s="241">
        <v>4</v>
      </c>
      <c r="F414" s="241">
        <v>42</v>
      </c>
      <c r="G414" s="241">
        <v>4</v>
      </c>
      <c r="H414" s="241">
        <v>4</v>
      </c>
      <c r="I414" s="241">
        <v>36</v>
      </c>
      <c r="J414" s="241">
        <v>30</v>
      </c>
      <c r="K414" s="241">
        <v>10</v>
      </c>
      <c r="L414" s="241">
        <v>3</v>
      </c>
      <c r="M414" s="241">
        <v>1</v>
      </c>
      <c r="N414" s="241">
        <v>39</v>
      </c>
      <c r="O414" s="241">
        <v>23</v>
      </c>
      <c r="P414" s="241" t="s">
        <v>796</v>
      </c>
      <c r="Q414" s="241">
        <v>2</v>
      </c>
      <c r="R414" s="241">
        <v>1</v>
      </c>
      <c r="S414" s="241">
        <v>1</v>
      </c>
      <c r="T414" s="241" t="s">
        <v>796</v>
      </c>
      <c r="U414" s="241" t="s">
        <v>796</v>
      </c>
      <c r="V414" s="241">
        <v>3</v>
      </c>
      <c r="W414" s="242" t="s">
        <v>839</v>
      </c>
    </row>
    <row r="415" spans="1:23" s="241" customFormat="1" ht="6.75" customHeight="1" x14ac:dyDescent="0.15">
      <c r="A415" s="464"/>
      <c r="W415" s="242"/>
    </row>
    <row r="416" spans="1:23" s="241" customFormat="1" ht="9.75" customHeight="1" x14ac:dyDescent="0.15">
      <c r="A416" s="448" t="s">
        <v>840</v>
      </c>
      <c r="B416" s="241" t="s">
        <v>796</v>
      </c>
      <c r="C416" s="241">
        <v>49</v>
      </c>
      <c r="D416" s="241">
        <v>34</v>
      </c>
      <c r="E416" s="241" t="s">
        <v>796</v>
      </c>
      <c r="F416" s="241">
        <v>6</v>
      </c>
      <c r="G416" s="241">
        <v>8</v>
      </c>
      <c r="H416" s="241" t="s">
        <v>796</v>
      </c>
      <c r="I416" s="241" t="s">
        <v>796</v>
      </c>
      <c r="J416" s="241">
        <v>2</v>
      </c>
      <c r="K416" s="241" t="s">
        <v>796</v>
      </c>
      <c r="L416" s="241">
        <v>1</v>
      </c>
      <c r="M416" s="241" t="s">
        <v>796</v>
      </c>
      <c r="N416" s="241">
        <v>12</v>
      </c>
      <c r="O416" s="241">
        <v>5</v>
      </c>
      <c r="P416" s="241" t="s">
        <v>796</v>
      </c>
      <c r="Q416" s="241">
        <v>11</v>
      </c>
      <c r="R416" s="241" t="s">
        <v>796</v>
      </c>
      <c r="S416" s="241">
        <v>11</v>
      </c>
      <c r="T416" s="241" t="s">
        <v>796</v>
      </c>
      <c r="U416" s="241" t="s">
        <v>796</v>
      </c>
      <c r="V416" s="241">
        <v>4</v>
      </c>
      <c r="W416" s="242" t="s">
        <v>788</v>
      </c>
    </row>
    <row r="417" spans="1:23" s="241" customFormat="1" ht="9.75" customHeight="1" x14ac:dyDescent="0.15">
      <c r="A417" s="448" t="s">
        <v>562</v>
      </c>
      <c r="B417" s="241" t="s">
        <v>796</v>
      </c>
      <c r="C417" s="241">
        <v>76</v>
      </c>
      <c r="D417" s="241">
        <v>76</v>
      </c>
      <c r="E417" s="241" t="s">
        <v>796</v>
      </c>
      <c r="F417" s="241">
        <v>27</v>
      </c>
      <c r="G417" s="241">
        <v>1</v>
      </c>
      <c r="H417" s="241">
        <v>4</v>
      </c>
      <c r="I417" s="241">
        <v>19</v>
      </c>
      <c r="J417" s="241">
        <v>10</v>
      </c>
      <c r="K417" s="241" t="s">
        <v>796</v>
      </c>
      <c r="L417" s="241">
        <v>2</v>
      </c>
      <c r="M417" s="241" t="s">
        <v>796</v>
      </c>
      <c r="N417" s="241">
        <v>5</v>
      </c>
      <c r="O417" s="241">
        <v>8</v>
      </c>
      <c r="P417" s="241" t="s">
        <v>796</v>
      </c>
      <c r="Q417" s="241" t="s">
        <v>796</v>
      </c>
      <c r="R417" s="241" t="s">
        <v>796</v>
      </c>
      <c r="S417" s="241" t="s">
        <v>796</v>
      </c>
      <c r="T417" s="241" t="s">
        <v>796</v>
      </c>
      <c r="U417" s="241" t="s">
        <v>796</v>
      </c>
      <c r="V417" s="241" t="s">
        <v>796</v>
      </c>
      <c r="W417" s="242" t="s">
        <v>66</v>
      </c>
    </row>
    <row r="418" spans="1:23" s="241" customFormat="1" ht="9.75" customHeight="1" x14ac:dyDescent="0.15">
      <c r="A418" s="448" t="s">
        <v>563</v>
      </c>
      <c r="B418" s="241" t="s">
        <v>796</v>
      </c>
      <c r="C418" s="241">
        <v>43</v>
      </c>
      <c r="D418" s="241">
        <v>41</v>
      </c>
      <c r="E418" s="241">
        <v>3</v>
      </c>
      <c r="F418" s="241">
        <v>9</v>
      </c>
      <c r="G418" s="241">
        <v>1</v>
      </c>
      <c r="H418" s="241">
        <v>4</v>
      </c>
      <c r="I418" s="241" t="s">
        <v>796</v>
      </c>
      <c r="J418" s="241">
        <v>12</v>
      </c>
      <c r="K418" s="241" t="s">
        <v>796</v>
      </c>
      <c r="L418" s="241">
        <v>1</v>
      </c>
      <c r="M418" s="241" t="s">
        <v>796</v>
      </c>
      <c r="N418" s="241">
        <v>6</v>
      </c>
      <c r="O418" s="241">
        <v>5</v>
      </c>
      <c r="P418" s="241" t="s">
        <v>796</v>
      </c>
      <c r="Q418" s="241" t="s">
        <v>796</v>
      </c>
      <c r="R418" s="241" t="s">
        <v>796</v>
      </c>
      <c r="S418" s="241" t="s">
        <v>796</v>
      </c>
      <c r="T418" s="241" t="s">
        <v>796</v>
      </c>
      <c r="U418" s="241" t="s">
        <v>796</v>
      </c>
      <c r="V418" s="241">
        <v>2</v>
      </c>
      <c r="W418" s="242" t="s">
        <v>67</v>
      </c>
    </row>
    <row r="419" spans="1:23" s="241" customFormat="1" ht="9.75" customHeight="1" x14ac:dyDescent="0.15">
      <c r="A419" s="448" t="s">
        <v>564</v>
      </c>
      <c r="B419" s="241" t="s">
        <v>796</v>
      </c>
      <c r="C419" s="241">
        <v>72</v>
      </c>
      <c r="D419" s="241">
        <v>70</v>
      </c>
      <c r="E419" s="241">
        <v>4</v>
      </c>
      <c r="F419" s="241">
        <v>21</v>
      </c>
      <c r="G419" s="241">
        <v>7</v>
      </c>
      <c r="H419" s="241" t="s">
        <v>796</v>
      </c>
      <c r="I419" s="241">
        <v>18</v>
      </c>
      <c r="J419" s="241">
        <v>4</v>
      </c>
      <c r="K419" s="241" t="s">
        <v>796</v>
      </c>
      <c r="L419" s="241">
        <v>1</v>
      </c>
      <c r="M419" s="241" t="s">
        <v>796</v>
      </c>
      <c r="N419" s="241">
        <v>10</v>
      </c>
      <c r="O419" s="241">
        <v>5</v>
      </c>
      <c r="P419" s="241" t="s">
        <v>796</v>
      </c>
      <c r="Q419" s="241" t="s">
        <v>796</v>
      </c>
      <c r="R419" s="241" t="s">
        <v>796</v>
      </c>
      <c r="S419" s="241" t="s">
        <v>796</v>
      </c>
      <c r="T419" s="241" t="s">
        <v>796</v>
      </c>
      <c r="U419" s="241" t="s">
        <v>796</v>
      </c>
      <c r="V419" s="241">
        <v>2</v>
      </c>
      <c r="W419" s="242" t="s">
        <v>68</v>
      </c>
    </row>
    <row r="420" spans="1:23" s="241" customFormat="1" ht="9.75" customHeight="1" x14ac:dyDescent="0.15">
      <c r="A420" s="448" t="s">
        <v>565</v>
      </c>
      <c r="B420" s="241" t="s">
        <v>796</v>
      </c>
      <c r="C420" s="241">
        <v>54</v>
      </c>
      <c r="D420" s="241">
        <v>51</v>
      </c>
      <c r="E420" s="241" t="s">
        <v>796</v>
      </c>
      <c r="F420" s="241">
        <v>18</v>
      </c>
      <c r="G420" s="241" t="s">
        <v>796</v>
      </c>
      <c r="H420" s="241" t="s">
        <v>796</v>
      </c>
      <c r="I420" s="241">
        <v>8</v>
      </c>
      <c r="J420" s="241">
        <v>7</v>
      </c>
      <c r="K420" s="241">
        <v>2</v>
      </c>
      <c r="L420" s="241">
        <v>1</v>
      </c>
      <c r="M420" s="241" t="s">
        <v>796</v>
      </c>
      <c r="N420" s="241">
        <v>12</v>
      </c>
      <c r="O420" s="241">
        <v>3</v>
      </c>
      <c r="P420" s="241" t="s">
        <v>796</v>
      </c>
      <c r="Q420" s="241" t="s">
        <v>796</v>
      </c>
      <c r="R420" s="241" t="s">
        <v>796</v>
      </c>
      <c r="S420" s="241" t="s">
        <v>796</v>
      </c>
      <c r="T420" s="241" t="s">
        <v>796</v>
      </c>
      <c r="U420" s="241" t="s">
        <v>796</v>
      </c>
      <c r="V420" s="241">
        <v>3</v>
      </c>
      <c r="W420" s="242" t="s">
        <v>81</v>
      </c>
    </row>
    <row r="421" spans="1:23" s="241" customFormat="1" ht="9.75" customHeight="1" x14ac:dyDescent="0.15">
      <c r="A421" s="448" t="s">
        <v>566</v>
      </c>
      <c r="B421" s="241" t="s">
        <v>796</v>
      </c>
      <c r="C421" s="241">
        <v>65</v>
      </c>
      <c r="D421" s="241">
        <v>64</v>
      </c>
      <c r="E421" s="241">
        <v>3</v>
      </c>
      <c r="F421" s="241">
        <v>24</v>
      </c>
      <c r="G421" s="241">
        <v>3</v>
      </c>
      <c r="H421" s="241">
        <v>4</v>
      </c>
      <c r="I421" s="241" t="s">
        <v>796</v>
      </c>
      <c r="J421" s="241">
        <v>2</v>
      </c>
      <c r="K421" s="241" t="s">
        <v>796</v>
      </c>
      <c r="L421" s="241">
        <v>1</v>
      </c>
      <c r="M421" s="241" t="s">
        <v>796</v>
      </c>
      <c r="N421" s="241">
        <v>27</v>
      </c>
      <c r="O421" s="241" t="s">
        <v>796</v>
      </c>
      <c r="P421" s="241" t="s">
        <v>796</v>
      </c>
      <c r="Q421" s="241" t="s">
        <v>796</v>
      </c>
      <c r="R421" s="241" t="s">
        <v>796</v>
      </c>
      <c r="S421" s="241" t="s">
        <v>796</v>
      </c>
      <c r="T421" s="241" t="s">
        <v>796</v>
      </c>
      <c r="U421" s="241" t="s">
        <v>796</v>
      </c>
      <c r="V421" s="241">
        <v>1</v>
      </c>
      <c r="W421" s="242" t="s">
        <v>82</v>
      </c>
    </row>
    <row r="422" spans="1:23" s="241" customFormat="1" ht="9.75" customHeight="1" x14ac:dyDescent="0.15">
      <c r="A422" s="448" t="s">
        <v>567</v>
      </c>
      <c r="B422" s="241" t="s">
        <v>796</v>
      </c>
      <c r="C422" s="241">
        <v>85</v>
      </c>
      <c r="D422" s="241">
        <v>82</v>
      </c>
      <c r="E422" s="241" t="s">
        <v>796</v>
      </c>
      <c r="F422" s="241">
        <v>33</v>
      </c>
      <c r="G422" s="241">
        <v>3</v>
      </c>
      <c r="H422" s="241">
        <v>3</v>
      </c>
      <c r="I422" s="241">
        <v>22</v>
      </c>
      <c r="J422" s="241" t="s">
        <v>796</v>
      </c>
      <c r="K422" s="241" t="s">
        <v>796</v>
      </c>
      <c r="L422" s="241" t="s">
        <v>796</v>
      </c>
      <c r="M422" s="241" t="s">
        <v>796</v>
      </c>
      <c r="N422" s="241">
        <v>17</v>
      </c>
      <c r="O422" s="241">
        <v>4</v>
      </c>
      <c r="P422" s="241" t="s">
        <v>796</v>
      </c>
      <c r="Q422" s="241" t="s">
        <v>796</v>
      </c>
      <c r="R422" s="241" t="s">
        <v>796</v>
      </c>
      <c r="S422" s="241" t="s">
        <v>796</v>
      </c>
      <c r="T422" s="241" t="s">
        <v>796</v>
      </c>
      <c r="U422" s="241" t="s">
        <v>796</v>
      </c>
      <c r="V422" s="241">
        <v>3</v>
      </c>
      <c r="W422" s="242" t="s">
        <v>83</v>
      </c>
    </row>
    <row r="423" spans="1:23" s="241" customFormat="1" ht="9.75" customHeight="1" x14ac:dyDescent="0.15">
      <c r="A423" s="448" t="s">
        <v>568</v>
      </c>
      <c r="B423" s="241" t="s">
        <v>796</v>
      </c>
      <c r="C423" s="241">
        <v>104</v>
      </c>
      <c r="D423" s="241">
        <v>104</v>
      </c>
      <c r="E423" s="241" t="s">
        <v>796</v>
      </c>
      <c r="F423" s="241">
        <v>9</v>
      </c>
      <c r="G423" s="241">
        <v>4</v>
      </c>
      <c r="H423" s="241">
        <v>7</v>
      </c>
      <c r="I423" s="241">
        <v>2</v>
      </c>
      <c r="J423" s="241">
        <v>7</v>
      </c>
      <c r="K423" s="241" t="s">
        <v>796</v>
      </c>
      <c r="L423" s="241" t="s">
        <v>796</v>
      </c>
      <c r="M423" s="241" t="s">
        <v>796</v>
      </c>
      <c r="N423" s="241">
        <v>37</v>
      </c>
      <c r="O423" s="241">
        <v>38</v>
      </c>
      <c r="P423" s="241" t="s">
        <v>796</v>
      </c>
      <c r="Q423" s="241" t="s">
        <v>796</v>
      </c>
      <c r="R423" s="241" t="s">
        <v>796</v>
      </c>
      <c r="S423" s="241" t="s">
        <v>796</v>
      </c>
      <c r="T423" s="241" t="s">
        <v>796</v>
      </c>
      <c r="U423" s="241" t="s">
        <v>796</v>
      </c>
      <c r="V423" s="241" t="s">
        <v>796</v>
      </c>
      <c r="W423" s="242" t="s">
        <v>84</v>
      </c>
    </row>
    <row r="424" spans="1:23" s="241" customFormat="1" ht="9.75" customHeight="1" x14ac:dyDescent="0.15">
      <c r="A424" s="448" t="s">
        <v>569</v>
      </c>
      <c r="B424" s="241" t="s">
        <v>796</v>
      </c>
      <c r="C424" s="241">
        <v>91</v>
      </c>
      <c r="D424" s="241">
        <v>78</v>
      </c>
      <c r="E424" s="241" t="s">
        <v>796</v>
      </c>
      <c r="F424" s="241">
        <v>7</v>
      </c>
      <c r="G424" s="241">
        <v>3</v>
      </c>
      <c r="H424" s="241" t="s">
        <v>796</v>
      </c>
      <c r="I424" s="241">
        <v>17</v>
      </c>
      <c r="J424" s="241">
        <v>1</v>
      </c>
      <c r="K424" s="241" t="s">
        <v>796</v>
      </c>
      <c r="L424" s="241" t="s">
        <v>796</v>
      </c>
      <c r="M424" s="241" t="s">
        <v>796</v>
      </c>
      <c r="N424" s="241">
        <v>12</v>
      </c>
      <c r="O424" s="241">
        <v>38</v>
      </c>
      <c r="P424" s="241" t="s">
        <v>796</v>
      </c>
      <c r="Q424" s="241">
        <v>11</v>
      </c>
      <c r="R424" s="241" t="s">
        <v>796</v>
      </c>
      <c r="S424" s="241">
        <v>11</v>
      </c>
      <c r="T424" s="241" t="s">
        <v>796</v>
      </c>
      <c r="U424" s="241" t="s">
        <v>796</v>
      </c>
      <c r="V424" s="241">
        <v>2</v>
      </c>
      <c r="W424" s="242" t="s">
        <v>85</v>
      </c>
    </row>
    <row r="425" spans="1:23" s="241" customFormat="1" ht="9.75" customHeight="1" x14ac:dyDescent="0.15">
      <c r="A425" s="448" t="s">
        <v>570</v>
      </c>
      <c r="B425" s="241" t="s">
        <v>796</v>
      </c>
      <c r="C425" s="241">
        <v>48</v>
      </c>
      <c r="D425" s="241">
        <v>41</v>
      </c>
      <c r="E425" s="241" t="s">
        <v>796</v>
      </c>
      <c r="F425" s="241">
        <v>15</v>
      </c>
      <c r="G425" s="241">
        <v>1</v>
      </c>
      <c r="H425" s="241" t="s">
        <v>796</v>
      </c>
      <c r="I425" s="241" t="s">
        <v>796</v>
      </c>
      <c r="J425" s="241">
        <v>10</v>
      </c>
      <c r="K425" s="241" t="s">
        <v>796</v>
      </c>
      <c r="L425" s="241" t="s">
        <v>796</v>
      </c>
      <c r="M425" s="241">
        <v>6</v>
      </c>
      <c r="N425" s="241">
        <v>5</v>
      </c>
      <c r="O425" s="241">
        <v>4</v>
      </c>
      <c r="P425" s="241" t="s">
        <v>796</v>
      </c>
      <c r="Q425" s="241">
        <v>7</v>
      </c>
      <c r="R425" s="241" t="s">
        <v>796</v>
      </c>
      <c r="S425" s="241">
        <v>7</v>
      </c>
      <c r="T425" s="241" t="s">
        <v>796</v>
      </c>
      <c r="U425" s="241" t="s">
        <v>796</v>
      </c>
      <c r="V425" s="241" t="s">
        <v>796</v>
      </c>
      <c r="W425" s="242" t="s">
        <v>69</v>
      </c>
    </row>
    <row r="426" spans="1:23" s="241" customFormat="1" ht="9.75" customHeight="1" x14ac:dyDescent="0.15">
      <c r="A426" s="448" t="s">
        <v>571</v>
      </c>
      <c r="B426" s="241" t="s">
        <v>796</v>
      </c>
      <c r="C426" s="241">
        <v>36</v>
      </c>
      <c r="D426" s="241">
        <v>35</v>
      </c>
      <c r="E426" s="241">
        <v>4</v>
      </c>
      <c r="F426" s="241">
        <v>4</v>
      </c>
      <c r="G426" s="241">
        <v>1</v>
      </c>
      <c r="H426" s="241" t="s">
        <v>796</v>
      </c>
      <c r="I426" s="241" t="s">
        <v>796</v>
      </c>
      <c r="J426" s="241">
        <v>4</v>
      </c>
      <c r="K426" s="241" t="s">
        <v>796</v>
      </c>
      <c r="L426" s="241">
        <v>1</v>
      </c>
      <c r="M426" s="241" t="s">
        <v>796</v>
      </c>
      <c r="N426" s="241">
        <v>15</v>
      </c>
      <c r="O426" s="241">
        <v>6</v>
      </c>
      <c r="P426" s="241" t="s">
        <v>796</v>
      </c>
      <c r="Q426" s="241" t="s">
        <v>796</v>
      </c>
      <c r="R426" s="241" t="s">
        <v>796</v>
      </c>
      <c r="S426" s="241" t="s">
        <v>796</v>
      </c>
      <c r="T426" s="241" t="s">
        <v>796</v>
      </c>
      <c r="U426" s="241" t="s">
        <v>796</v>
      </c>
      <c r="V426" s="241">
        <v>1</v>
      </c>
      <c r="W426" s="242" t="s">
        <v>70</v>
      </c>
    </row>
    <row r="427" spans="1:23" s="241" customFormat="1" ht="9.75" customHeight="1" x14ac:dyDescent="0.15">
      <c r="A427" s="448" t="s">
        <v>572</v>
      </c>
      <c r="B427" s="241" t="s">
        <v>796</v>
      </c>
      <c r="C427" s="241">
        <v>75</v>
      </c>
      <c r="D427" s="241">
        <v>53</v>
      </c>
      <c r="E427" s="241">
        <v>3</v>
      </c>
      <c r="F427" s="241">
        <v>16</v>
      </c>
      <c r="G427" s="241">
        <v>6</v>
      </c>
      <c r="H427" s="241">
        <v>3</v>
      </c>
      <c r="I427" s="241" t="s">
        <v>796</v>
      </c>
      <c r="J427" s="241">
        <v>3</v>
      </c>
      <c r="K427" s="241" t="s">
        <v>796</v>
      </c>
      <c r="L427" s="241">
        <v>1</v>
      </c>
      <c r="M427" s="241" t="s">
        <v>796</v>
      </c>
      <c r="N427" s="241">
        <v>12</v>
      </c>
      <c r="O427" s="241">
        <v>9</v>
      </c>
      <c r="P427" s="241" t="s">
        <v>796</v>
      </c>
      <c r="Q427" s="241">
        <v>11</v>
      </c>
      <c r="R427" s="241" t="s">
        <v>796</v>
      </c>
      <c r="S427" s="241">
        <v>11</v>
      </c>
      <c r="T427" s="241" t="s">
        <v>796</v>
      </c>
      <c r="U427" s="241" t="s">
        <v>796</v>
      </c>
      <c r="V427" s="241">
        <v>11</v>
      </c>
      <c r="W427" s="242" t="s">
        <v>71</v>
      </c>
    </row>
    <row r="428" spans="1:23" s="241" customFormat="1" ht="9.75" customHeight="1" x14ac:dyDescent="0.15">
      <c r="A428" s="448" t="s">
        <v>841</v>
      </c>
      <c r="B428" s="241" t="s">
        <v>796</v>
      </c>
      <c r="C428" s="241">
        <v>61</v>
      </c>
      <c r="D428" s="241">
        <v>61</v>
      </c>
      <c r="E428" s="241" t="s">
        <v>796</v>
      </c>
      <c r="F428" s="241">
        <v>1</v>
      </c>
      <c r="G428" s="241" t="s">
        <v>796</v>
      </c>
      <c r="H428" s="241">
        <v>4</v>
      </c>
      <c r="I428" s="241">
        <v>17</v>
      </c>
      <c r="J428" s="241">
        <v>10</v>
      </c>
      <c r="K428" s="241">
        <v>10</v>
      </c>
      <c r="L428" s="241">
        <v>1</v>
      </c>
      <c r="M428" s="241">
        <v>1</v>
      </c>
      <c r="N428" s="241">
        <v>10</v>
      </c>
      <c r="O428" s="241">
        <v>7</v>
      </c>
      <c r="P428" s="241" t="s">
        <v>796</v>
      </c>
      <c r="Q428" s="241" t="s">
        <v>796</v>
      </c>
      <c r="R428" s="241" t="s">
        <v>796</v>
      </c>
      <c r="S428" s="241" t="s">
        <v>796</v>
      </c>
      <c r="T428" s="241" t="s">
        <v>796</v>
      </c>
      <c r="U428" s="241" t="s">
        <v>796</v>
      </c>
      <c r="V428" s="241" t="s">
        <v>796</v>
      </c>
      <c r="W428" s="242" t="s">
        <v>842</v>
      </c>
    </row>
    <row r="429" spans="1:23" s="241" customFormat="1" ht="9.75" customHeight="1" x14ac:dyDescent="0.15">
      <c r="A429" s="448" t="s">
        <v>573</v>
      </c>
      <c r="B429" s="241" t="s">
        <v>796</v>
      </c>
      <c r="C429" s="241">
        <v>51</v>
      </c>
      <c r="D429" s="241">
        <v>51</v>
      </c>
      <c r="E429" s="241">
        <v>4</v>
      </c>
      <c r="F429" s="241">
        <v>19</v>
      </c>
      <c r="G429" s="241" t="s">
        <v>796</v>
      </c>
      <c r="H429" s="241" t="s">
        <v>796</v>
      </c>
      <c r="I429" s="241">
        <v>2</v>
      </c>
      <c r="J429" s="241">
        <v>4</v>
      </c>
      <c r="K429" s="241" t="s">
        <v>796</v>
      </c>
      <c r="L429" s="241" t="s">
        <v>796</v>
      </c>
      <c r="M429" s="241" t="s">
        <v>796</v>
      </c>
      <c r="N429" s="241">
        <v>13</v>
      </c>
      <c r="O429" s="241">
        <v>9</v>
      </c>
      <c r="P429" s="241" t="s">
        <v>796</v>
      </c>
      <c r="Q429" s="241" t="s">
        <v>796</v>
      </c>
      <c r="R429" s="241" t="s">
        <v>796</v>
      </c>
      <c r="S429" s="241" t="s">
        <v>796</v>
      </c>
      <c r="T429" s="241" t="s">
        <v>796</v>
      </c>
      <c r="U429" s="241" t="s">
        <v>796</v>
      </c>
      <c r="V429" s="241" t="s">
        <v>796</v>
      </c>
      <c r="W429" s="242" t="s">
        <v>66</v>
      </c>
    </row>
    <row r="430" spans="1:23" s="241" customFormat="1" ht="9.75" customHeight="1" x14ac:dyDescent="0.15">
      <c r="A430" s="795" t="s">
        <v>574</v>
      </c>
      <c r="B430" s="796" t="s">
        <v>796</v>
      </c>
      <c r="C430" s="797">
        <v>89</v>
      </c>
      <c r="D430" s="797">
        <v>84</v>
      </c>
      <c r="E430" s="797" t="s">
        <v>796</v>
      </c>
      <c r="F430" s="797">
        <v>22</v>
      </c>
      <c r="G430" s="797">
        <v>4</v>
      </c>
      <c r="H430" s="797" t="s">
        <v>796</v>
      </c>
      <c r="I430" s="797">
        <v>17</v>
      </c>
      <c r="J430" s="797">
        <v>16</v>
      </c>
      <c r="K430" s="797" t="s">
        <v>796</v>
      </c>
      <c r="L430" s="797">
        <v>2</v>
      </c>
      <c r="M430" s="797" t="s">
        <v>796</v>
      </c>
      <c r="N430" s="797">
        <v>16</v>
      </c>
      <c r="O430" s="797">
        <v>7</v>
      </c>
      <c r="P430" s="797" t="s">
        <v>796</v>
      </c>
      <c r="Q430" s="797">
        <v>2</v>
      </c>
      <c r="R430" s="797">
        <v>1</v>
      </c>
      <c r="S430" s="797">
        <v>1</v>
      </c>
      <c r="T430" s="797" t="s">
        <v>796</v>
      </c>
      <c r="U430" s="797" t="s">
        <v>796</v>
      </c>
      <c r="V430" s="797">
        <v>3</v>
      </c>
      <c r="W430" s="798" t="s">
        <v>67</v>
      </c>
    </row>
    <row r="431" spans="1:23" ht="12" customHeight="1" x14ac:dyDescent="0.15"/>
    <row r="432" spans="1:23" ht="12" customHeight="1" x14ac:dyDescent="0.15"/>
    <row r="433" spans="1:23" ht="12" customHeight="1" x14ac:dyDescent="0.15">
      <c r="K433" s="246" t="s">
        <v>86</v>
      </c>
      <c r="V433" s="249" t="s">
        <v>924</v>
      </c>
    </row>
    <row r="434" spans="1:23" s="244" customFormat="1" ht="21" customHeight="1" x14ac:dyDescent="0.15">
      <c r="A434" s="1026" t="s">
        <v>153</v>
      </c>
      <c r="B434" s="799" t="s">
        <v>302</v>
      </c>
      <c r="C434" s="790"/>
      <c r="D434" s="790"/>
      <c r="E434" s="790"/>
      <c r="F434" s="790"/>
      <c r="G434" s="790"/>
      <c r="H434" s="790"/>
      <c r="I434" s="788"/>
      <c r="J434" s="789" t="s">
        <v>712</v>
      </c>
      <c r="K434" s="790"/>
      <c r="L434" s="790"/>
      <c r="M434" s="790"/>
      <c r="N434" s="790"/>
      <c r="O434" s="790"/>
      <c r="P434" s="790"/>
      <c r="Q434" s="790"/>
      <c r="R434" s="790"/>
      <c r="S434" s="790"/>
      <c r="T434" s="790"/>
      <c r="U434" s="790"/>
      <c r="V434" s="790"/>
      <c r="W434" s="1029" t="s">
        <v>72</v>
      </c>
    </row>
    <row r="435" spans="1:23" s="244" customFormat="1" ht="21" customHeight="1" x14ac:dyDescent="0.15">
      <c r="A435" s="1027"/>
      <c r="B435" s="799" t="s">
        <v>715</v>
      </c>
      <c r="C435" s="790"/>
      <c r="D435" s="788"/>
      <c r="E435" s="789" t="s">
        <v>236</v>
      </c>
      <c r="F435" s="790"/>
      <c r="G435" s="788"/>
      <c r="H435" s="789" t="s">
        <v>716</v>
      </c>
      <c r="I435" s="788"/>
      <c r="J435" s="1032" t="s">
        <v>955</v>
      </c>
      <c r="K435" s="789" t="s">
        <v>244</v>
      </c>
      <c r="L435" s="790"/>
      <c r="M435" s="790"/>
      <c r="N435" s="790"/>
      <c r="O435" s="790"/>
      <c r="P435" s="790"/>
      <c r="Q435" s="790"/>
      <c r="R435" s="790"/>
      <c r="S435" s="790"/>
      <c r="T435" s="790"/>
      <c r="U435" s="790"/>
      <c r="V435" s="790"/>
      <c r="W435" s="1030"/>
    </row>
    <row r="436" spans="1:23" s="244" customFormat="1" ht="52.5" customHeight="1" x14ac:dyDescent="0.15">
      <c r="A436" s="1028"/>
      <c r="B436" s="245" t="s">
        <v>252</v>
      </c>
      <c r="C436" s="245" t="s">
        <v>223</v>
      </c>
      <c r="D436" s="245" t="s">
        <v>276</v>
      </c>
      <c r="E436" s="530" t="s">
        <v>923</v>
      </c>
      <c r="F436" s="245" t="s">
        <v>296</v>
      </c>
      <c r="G436" s="245" t="s">
        <v>219</v>
      </c>
      <c r="H436" s="530" t="s">
        <v>292</v>
      </c>
      <c r="I436" s="245" t="s">
        <v>291</v>
      </c>
      <c r="J436" s="1033"/>
      <c r="K436" s="530" t="s">
        <v>920</v>
      </c>
      <c r="L436" s="245" t="s">
        <v>235</v>
      </c>
      <c r="M436" s="245" t="s">
        <v>929</v>
      </c>
      <c r="N436" s="245" t="s">
        <v>250</v>
      </c>
      <c r="O436" s="245" t="s">
        <v>256</v>
      </c>
      <c r="P436" s="245" t="s">
        <v>301</v>
      </c>
      <c r="Q436" s="245" t="s">
        <v>255</v>
      </c>
      <c r="R436" s="245" t="s">
        <v>234</v>
      </c>
      <c r="S436" s="245" t="s">
        <v>233</v>
      </c>
      <c r="T436" s="245" t="s">
        <v>282</v>
      </c>
      <c r="U436" s="245" t="s">
        <v>231</v>
      </c>
      <c r="V436" s="247" t="s">
        <v>260</v>
      </c>
      <c r="W436" s="1031"/>
    </row>
    <row r="437" spans="1:23" s="241" customFormat="1" ht="9.75" customHeight="1" x14ac:dyDescent="0.15">
      <c r="A437" s="645" t="s">
        <v>831</v>
      </c>
      <c r="B437" s="792">
        <v>1</v>
      </c>
      <c r="C437" s="793">
        <v>9</v>
      </c>
      <c r="D437" s="793">
        <v>1</v>
      </c>
      <c r="E437" s="793" t="s">
        <v>796</v>
      </c>
      <c r="F437" s="793" t="s">
        <v>796</v>
      </c>
      <c r="G437" s="793" t="s">
        <v>796</v>
      </c>
      <c r="H437" s="793" t="s">
        <v>796</v>
      </c>
      <c r="I437" s="793" t="s">
        <v>796</v>
      </c>
      <c r="J437" s="793">
        <v>42715</v>
      </c>
      <c r="K437" s="793">
        <v>15731</v>
      </c>
      <c r="L437" s="793">
        <v>2068</v>
      </c>
      <c r="M437" s="793">
        <v>1815</v>
      </c>
      <c r="N437" s="793">
        <v>2546</v>
      </c>
      <c r="O437" s="793">
        <v>25</v>
      </c>
      <c r="P437" s="793">
        <v>158</v>
      </c>
      <c r="Q437" s="793">
        <v>7527</v>
      </c>
      <c r="R437" s="793">
        <v>26</v>
      </c>
      <c r="S437" s="793">
        <v>22</v>
      </c>
      <c r="T437" s="793">
        <v>130</v>
      </c>
      <c r="U437" s="793">
        <v>77</v>
      </c>
      <c r="V437" s="793">
        <v>784</v>
      </c>
      <c r="W437" s="794" t="s">
        <v>517</v>
      </c>
    </row>
    <row r="438" spans="1:23" s="241" customFormat="1" ht="9.75" customHeight="1" x14ac:dyDescent="0.15">
      <c r="A438" s="448" t="s">
        <v>557</v>
      </c>
      <c r="B438" s="241">
        <v>5</v>
      </c>
      <c r="C438" s="241">
        <v>15</v>
      </c>
      <c r="D438" s="241">
        <v>3</v>
      </c>
      <c r="E438" s="241" t="s">
        <v>796</v>
      </c>
      <c r="F438" s="241" t="s">
        <v>796</v>
      </c>
      <c r="G438" s="241" t="s">
        <v>796</v>
      </c>
      <c r="H438" s="241" t="s">
        <v>796</v>
      </c>
      <c r="I438" s="241" t="s">
        <v>796</v>
      </c>
      <c r="J438" s="241">
        <v>44158</v>
      </c>
      <c r="K438" s="241">
        <v>19467</v>
      </c>
      <c r="L438" s="241">
        <v>2544</v>
      </c>
      <c r="M438" s="241">
        <v>1832</v>
      </c>
      <c r="N438" s="241">
        <v>2874</v>
      </c>
      <c r="O438" s="241">
        <v>29</v>
      </c>
      <c r="P438" s="241">
        <v>86</v>
      </c>
      <c r="Q438" s="241">
        <v>10535</v>
      </c>
      <c r="R438" s="241">
        <v>16</v>
      </c>
      <c r="S438" s="241">
        <v>5</v>
      </c>
      <c r="T438" s="241">
        <v>114</v>
      </c>
      <c r="U438" s="241">
        <v>134</v>
      </c>
      <c r="V438" s="241">
        <v>590</v>
      </c>
      <c r="W438" s="242" t="s">
        <v>558</v>
      </c>
    </row>
    <row r="439" spans="1:23" s="241" customFormat="1" ht="9.75" customHeight="1" x14ac:dyDescent="0.15">
      <c r="A439" s="448" t="s">
        <v>682</v>
      </c>
      <c r="B439" s="241">
        <v>2</v>
      </c>
      <c r="C439" s="241">
        <v>16</v>
      </c>
      <c r="D439" s="241">
        <v>6</v>
      </c>
      <c r="E439" s="241">
        <v>1</v>
      </c>
      <c r="F439" s="241" t="s">
        <v>796</v>
      </c>
      <c r="G439" s="241">
        <v>1</v>
      </c>
      <c r="H439" s="241">
        <v>4</v>
      </c>
      <c r="I439" s="241">
        <v>4</v>
      </c>
      <c r="J439" s="241">
        <v>42975</v>
      </c>
      <c r="K439" s="241">
        <v>16329</v>
      </c>
      <c r="L439" s="241">
        <v>2463</v>
      </c>
      <c r="M439" s="241">
        <v>2010</v>
      </c>
      <c r="N439" s="241">
        <v>2818</v>
      </c>
      <c r="O439" s="241">
        <v>33</v>
      </c>
      <c r="P439" s="241">
        <v>78</v>
      </c>
      <c r="Q439" s="241">
        <v>7969</v>
      </c>
      <c r="R439" s="241">
        <v>12</v>
      </c>
      <c r="S439" s="241">
        <v>19</v>
      </c>
      <c r="T439" s="241">
        <v>154</v>
      </c>
      <c r="U439" s="241">
        <v>121</v>
      </c>
      <c r="V439" s="241">
        <v>294</v>
      </c>
      <c r="W439" s="242" t="s">
        <v>683</v>
      </c>
    </row>
    <row r="440" spans="1:23" s="241" customFormat="1" ht="9.75" customHeight="1" x14ac:dyDescent="0.15">
      <c r="A440" s="448" t="s">
        <v>784</v>
      </c>
      <c r="B440" s="241">
        <v>3</v>
      </c>
      <c r="C440" s="241">
        <v>14</v>
      </c>
      <c r="D440" s="241">
        <v>4</v>
      </c>
      <c r="E440" s="241">
        <v>1</v>
      </c>
      <c r="F440" s="241">
        <v>1</v>
      </c>
      <c r="G440" s="241" t="s">
        <v>796</v>
      </c>
      <c r="H440" s="241">
        <v>1</v>
      </c>
      <c r="I440" s="241">
        <v>1</v>
      </c>
      <c r="J440" s="241">
        <v>19234</v>
      </c>
      <c r="K440" s="241">
        <v>12594</v>
      </c>
      <c r="L440" s="241">
        <v>1802</v>
      </c>
      <c r="M440" s="241">
        <v>2159</v>
      </c>
      <c r="N440" s="241">
        <v>1628</v>
      </c>
      <c r="O440" s="241">
        <v>55</v>
      </c>
      <c r="P440" s="241">
        <v>30</v>
      </c>
      <c r="Q440" s="241">
        <v>6024</v>
      </c>
      <c r="R440" s="241">
        <v>16</v>
      </c>
      <c r="S440" s="241">
        <v>22</v>
      </c>
      <c r="T440" s="241">
        <v>150</v>
      </c>
      <c r="U440" s="241">
        <v>88</v>
      </c>
      <c r="V440" s="241">
        <v>310</v>
      </c>
      <c r="W440" s="242" t="s">
        <v>785</v>
      </c>
    </row>
    <row r="441" spans="1:23" s="241" customFormat="1" ht="9.75" customHeight="1" x14ac:dyDescent="0.15">
      <c r="A441" s="448" t="s">
        <v>832</v>
      </c>
      <c r="B441" s="241">
        <v>12</v>
      </c>
      <c r="C441" s="241">
        <v>16</v>
      </c>
      <c r="D441" s="241">
        <v>1</v>
      </c>
      <c r="E441" s="241" t="s">
        <v>796</v>
      </c>
      <c r="F441" s="241" t="s">
        <v>796</v>
      </c>
      <c r="G441" s="241" t="s">
        <v>796</v>
      </c>
      <c r="H441" s="241" t="s">
        <v>796</v>
      </c>
      <c r="I441" s="241" t="s">
        <v>796</v>
      </c>
      <c r="J441" s="241">
        <v>14725</v>
      </c>
      <c r="K441" s="241">
        <v>11229</v>
      </c>
      <c r="L441" s="241">
        <v>1585</v>
      </c>
      <c r="M441" s="241">
        <v>2724</v>
      </c>
      <c r="N441" s="241">
        <v>1891</v>
      </c>
      <c r="O441" s="241">
        <v>55</v>
      </c>
      <c r="P441" s="241">
        <v>48</v>
      </c>
      <c r="Q441" s="241">
        <v>4184</v>
      </c>
      <c r="R441" s="241">
        <v>23</v>
      </c>
      <c r="S441" s="241" t="s">
        <v>796</v>
      </c>
      <c r="T441" s="241">
        <v>132</v>
      </c>
      <c r="U441" s="241">
        <v>77</v>
      </c>
      <c r="V441" s="241">
        <v>327</v>
      </c>
      <c r="W441" s="242" t="s">
        <v>833</v>
      </c>
    </row>
    <row r="442" spans="1:23" s="241" customFormat="1" ht="6.75" customHeight="1" x14ac:dyDescent="0.15">
      <c r="A442" s="464"/>
      <c r="W442" s="242"/>
    </row>
    <row r="443" spans="1:23" s="241" customFormat="1" ht="9.75" customHeight="1" x14ac:dyDescent="0.15">
      <c r="A443" s="448" t="s">
        <v>834</v>
      </c>
      <c r="B443" s="241">
        <v>3</v>
      </c>
      <c r="C443" s="241">
        <v>16</v>
      </c>
      <c r="D443" s="241">
        <v>3</v>
      </c>
      <c r="E443" s="241" t="s">
        <v>796</v>
      </c>
      <c r="F443" s="241" t="s">
        <v>796</v>
      </c>
      <c r="G443" s="241" t="s">
        <v>796</v>
      </c>
      <c r="H443" s="241">
        <v>1</v>
      </c>
      <c r="I443" s="241">
        <v>1</v>
      </c>
      <c r="J443" s="241">
        <v>19930</v>
      </c>
      <c r="K443" s="241">
        <v>13686</v>
      </c>
      <c r="L443" s="241">
        <v>1733</v>
      </c>
      <c r="M443" s="241">
        <v>2295</v>
      </c>
      <c r="N443" s="241">
        <v>1998</v>
      </c>
      <c r="O443" s="241">
        <v>66</v>
      </c>
      <c r="P443" s="241">
        <v>28</v>
      </c>
      <c r="Q443" s="241">
        <v>6695</v>
      </c>
      <c r="R443" s="241">
        <v>28</v>
      </c>
      <c r="S443" s="241">
        <v>11</v>
      </c>
      <c r="T443" s="241">
        <v>130</v>
      </c>
      <c r="U443" s="241">
        <v>77</v>
      </c>
      <c r="V443" s="241">
        <v>315</v>
      </c>
      <c r="W443" s="242" t="s">
        <v>786</v>
      </c>
    </row>
    <row r="444" spans="1:23" s="241" customFormat="1" ht="9.75" customHeight="1" x14ac:dyDescent="0.15">
      <c r="A444" s="448" t="s">
        <v>835</v>
      </c>
      <c r="B444" s="241">
        <v>12</v>
      </c>
      <c r="C444" s="241">
        <v>13</v>
      </c>
      <c r="D444" s="241">
        <v>1</v>
      </c>
      <c r="E444" s="241" t="s">
        <v>796</v>
      </c>
      <c r="F444" s="241" t="s">
        <v>796</v>
      </c>
      <c r="G444" s="241" t="s">
        <v>796</v>
      </c>
      <c r="H444" s="241" t="s">
        <v>796</v>
      </c>
      <c r="I444" s="241" t="s">
        <v>796</v>
      </c>
      <c r="J444" s="241">
        <v>12222</v>
      </c>
      <c r="K444" s="241">
        <v>9523</v>
      </c>
      <c r="L444" s="241">
        <v>1612</v>
      </c>
      <c r="M444" s="241">
        <v>2377</v>
      </c>
      <c r="N444" s="241">
        <v>1677</v>
      </c>
      <c r="O444" s="241">
        <v>55</v>
      </c>
      <c r="P444" s="241">
        <v>65</v>
      </c>
      <c r="Q444" s="241">
        <v>2978</v>
      </c>
      <c r="R444" s="241">
        <v>11</v>
      </c>
      <c r="S444" s="241" t="s">
        <v>796</v>
      </c>
      <c r="T444" s="241">
        <v>141</v>
      </c>
      <c r="U444" s="241">
        <v>77</v>
      </c>
      <c r="V444" s="241">
        <v>327</v>
      </c>
      <c r="W444" s="242" t="s">
        <v>836</v>
      </c>
    </row>
    <row r="445" spans="1:23" s="241" customFormat="1" ht="6.75" customHeight="1" x14ac:dyDescent="0.15">
      <c r="A445" s="464"/>
      <c r="W445" s="242"/>
    </row>
    <row r="446" spans="1:23" s="241" customFormat="1" ht="9.75" customHeight="1" x14ac:dyDescent="0.15">
      <c r="A446" s="448" t="s">
        <v>837</v>
      </c>
      <c r="B446" s="241" t="s">
        <v>796</v>
      </c>
      <c r="C446" s="241">
        <v>6</v>
      </c>
      <c r="D446" s="241" t="s">
        <v>796</v>
      </c>
      <c r="E446" s="241" t="s">
        <v>796</v>
      </c>
      <c r="F446" s="241" t="s">
        <v>796</v>
      </c>
      <c r="G446" s="241" t="s">
        <v>796</v>
      </c>
      <c r="H446" s="241" t="s">
        <v>796</v>
      </c>
      <c r="I446" s="241" t="s">
        <v>796</v>
      </c>
      <c r="J446" s="241">
        <v>4590</v>
      </c>
      <c r="K446" s="241">
        <v>3272</v>
      </c>
      <c r="L446" s="241">
        <v>330</v>
      </c>
      <c r="M446" s="241">
        <v>585</v>
      </c>
      <c r="N446" s="241">
        <v>689</v>
      </c>
      <c r="O446" s="241">
        <v>11</v>
      </c>
      <c r="P446" s="241" t="s">
        <v>796</v>
      </c>
      <c r="Q446" s="241">
        <v>1499</v>
      </c>
      <c r="R446" s="241">
        <v>12</v>
      </c>
      <c r="S446" s="241" t="s">
        <v>796</v>
      </c>
      <c r="T446" s="241">
        <v>32</v>
      </c>
      <c r="U446" s="241">
        <v>22</v>
      </c>
      <c r="V446" s="241">
        <v>40</v>
      </c>
      <c r="W446" s="242" t="s">
        <v>787</v>
      </c>
    </row>
    <row r="447" spans="1:23" s="241" customFormat="1" ht="9.75" customHeight="1" x14ac:dyDescent="0.15">
      <c r="A447" s="448" t="s">
        <v>559</v>
      </c>
      <c r="B447" s="241">
        <v>2</v>
      </c>
      <c r="C447" s="241">
        <v>4</v>
      </c>
      <c r="D447" s="241" t="s">
        <v>796</v>
      </c>
      <c r="E447" s="241" t="s">
        <v>796</v>
      </c>
      <c r="F447" s="241" t="s">
        <v>796</v>
      </c>
      <c r="G447" s="241" t="s">
        <v>796</v>
      </c>
      <c r="H447" s="241" t="s">
        <v>796</v>
      </c>
      <c r="I447" s="241" t="s">
        <v>796</v>
      </c>
      <c r="J447" s="241">
        <v>3900</v>
      </c>
      <c r="K447" s="241">
        <v>3064</v>
      </c>
      <c r="L447" s="241">
        <v>504</v>
      </c>
      <c r="M447" s="241">
        <v>797</v>
      </c>
      <c r="N447" s="241">
        <v>416</v>
      </c>
      <c r="O447" s="241">
        <v>11</v>
      </c>
      <c r="P447" s="241">
        <v>5</v>
      </c>
      <c r="Q447" s="241">
        <v>1111</v>
      </c>
      <c r="R447" s="241">
        <v>11</v>
      </c>
      <c r="S447" s="241" t="s">
        <v>796</v>
      </c>
      <c r="T447" s="241">
        <v>41</v>
      </c>
      <c r="U447" s="241">
        <v>22</v>
      </c>
      <c r="V447" s="241">
        <v>102</v>
      </c>
      <c r="W447" s="242" t="s">
        <v>78</v>
      </c>
    </row>
    <row r="448" spans="1:23" s="241" customFormat="1" ht="9.75" customHeight="1" x14ac:dyDescent="0.15">
      <c r="A448" s="448" t="s">
        <v>560</v>
      </c>
      <c r="B448" s="241" t="s">
        <v>796</v>
      </c>
      <c r="C448" s="241">
        <v>4</v>
      </c>
      <c r="D448" s="241">
        <v>1</v>
      </c>
      <c r="E448" s="241" t="s">
        <v>796</v>
      </c>
      <c r="F448" s="241" t="s">
        <v>796</v>
      </c>
      <c r="G448" s="241" t="s">
        <v>796</v>
      </c>
      <c r="H448" s="241" t="s">
        <v>796</v>
      </c>
      <c r="I448" s="241" t="s">
        <v>796</v>
      </c>
      <c r="J448" s="241">
        <v>3138</v>
      </c>
      <c r="K448" s="241">
        <v>2382</v>
      </c>
      <c r="L448" s="241">
        <v>347</v>
      </c>
      <c r="M448" s="241">
        <v>669</v>
      </c>
      <c r="N448" s="241">
        <v>373</v>
      </c>
      <c r="O448" s="241">
        <v>11</v>
      </c>
      <c r="P448" s="241">
        <v>19</v>
      </c>
      <c r="Q448" s="241">
        <v>772</v>
      </c>
      <c r="R448" s="241" t="s">
        <v>796</v>
      </c>
      <c r="S448" s="241" t="s">
        <v>796</v>
      </c>
      <c r="T448" s="241">
        <v>41</v>
      </c>
      <c r="U448" s="241">
        <v>22</v>
      </c>
      <c r="V448" s="241">
        <v>127</v>
      </c>
      <c r="W448" s="242" t="s">
        <v>79</v>
      </c>
    </row>
    <row r="449" spans="1:23" s="241" customFormat="1" ht="9.75" customHeight="1" x14ac:dyDescent="0.15">
      <c r="A449" s="448" t="s">
        <v>561</v>
      </c>
      <c r="B449" s="241">
        <v>10</v>
      </c>
      <c r="C449" s="241">
        <v>2</v>
      </c>
      <c r="D449" s="241" t="s">
        <v>796</v>
      </c>
      <c r="E449" s="241" t="s">
        <v>796</v>
      </c>
      <c r="F449" s="241" t="s">
        <v>796</v>
      </c>
      <c r="G449" s="241" t="s">
        <v>796</v>
      </c>
      <c r="H449" s="241" t="s">
        <v>796</v>
      </c>
      <c r="I449" s="241" t="s">
        <v>796</v>
      </c>
      <c r="J449" s="241">
        <v>3097</v>
      </c>
      <c r="K449" s="241">
        <v>2511</v>
      </c>
      <c r="L449" s="241">
        <v>404</v>
      </c>
      <c r="M449" s="241">
        <v>673</v>
      </c>
      <c r="N449" s="241">
        <v>413</v>
      </c>
      <c r="O449" s="241">
        <v>22</v>
      </c>
      <c r="P449" s="241">
        <v>24</v>
      </c>
      <c r="Q449" s="241">
        <v>802</v>
      </c>
      <c r="R449" s="241" t="s">
        <v>796</v>
      </c>
      <c r="S449" s="241" t="s">
        <v>796</v>
      </c>
      <c r="T449" s="241">
        <v>18</v>
      </c>
      <c r="U449" s="241">
        <v>11</v>
      </c>
      <c r="V449" s="241">
        <v>58</v>
      </c>
      <c r="W449" s="242" t="s">
        <v>80</v>
      </c>
    </row>
    <row r="450" spans="1:23" s="241" customFormat="1" ht="9.75" customHeight="1" x14ac:dyDescent="0.15">
      <c r="A450" s="448" t="s">
        <v>838</v>
      </c>
      <c r="B450" s="241" t="s">
        <v>796</v>
      </c>
      <c r="C450" s="241">
        <v>3</v>
      </c>
      <c r="D450" s="241" t="s">
        <v>796</v>
      </c>
      <c r="E450" s="241" t="s">
        <v>796</v>
      </c>
      <c r="F450" s="241" t="s">
        <v>796</v>
      </c>
      <c r="G450" s="241" t="s">
        <v>796</v>
      </c>
      <c r="H450" s="241" t="s">
        <v>796</v>
      </c>
      <c r="I450" s="241" t="s">
        <v>796</v>
      </c>
      <c r="J450" s="241">
        <v>2087</v>
      </c>
      <c r="K450" s="241">
        <v>1566</v>
      </c>
      <c r="L450" s="241">
        <v>357</v>
      </c>
      <c r="M450" s="241">
        <v>238</v>
      </c>
      <c r="N450" s="241">
        <v>475</v>
      </c>
      <c r="O450" s="241">
        <v>11</v>
      </c>
      <c r="P450" s="241">
        <v>17</v>
      </c>
      <c r="Q450" s="241">
        <v>293</v>
      </c>
      <c r="R450" s="241" t="s">
        <v>796</v>
      </c>
      <c r="S450" s="241" t="s">
        <v>796</v>
      </c>
      <c r="T450" s="241">
        <v>41</v>
      </c>
      <c r="U450" s="241">
        <v>22</v>
      </c>
      <c r="V450" s="241">
        <v>40</v>
      </c>
      <c r="W450" s="242" t="s">
        <v>839</v>
      </c>
    </row>
    <row r="451" spans="1:23" s="241" customFormat="1" ht="6.75" customHeight="1" x14ac:dyDescent="0.15">
      <c r="A451" s="464"/>
      <c r="W451" s="242"/>
    </row>
    <row r="452" spans="1:23" s="241" customFormat="1" ht="9.75" customHeight="1" x14ac:dyDescent="0.15">
      <c r="A452" s="448" t="s">
        <v>840</v>
      </c>
      <c r="B452" s="241" t="s">
        <v>796</v>
      </c>
      <c r="C452" s="241">
        <v>4</v>
      </c>
      <c r="D452" s="241" t="s">
        <v>796</v>
      </c>
      <c r="E452" s="241" t="s">
        <v>796</v>
      </c>
      <c r="F452" s="241" t="s">
        <v>796</v>
      </c>
      <c r="G452" s="241" t="s">
        <v>796</v>
      </c>
      <c r="H452" s="241" t="s">
        <v>796</v>
      </c>
      <c r="I452" s="241" t="s">
        <v>796</v>
      </c>
      <c r="J452" s="241">
        <v>1391</v>
      </c>
      <c r="K452" s="241">
        <v>983</v>
      </c>
      <c r="L452" s="241">
        <v>121</v>
      </c>
      <c r="M452" s="241">
        <v>137</v>
      </c>
      <c r="N452" s="241">
        <v>202</v>
      </c>
      <c r="O452" s="241" t="s">
        <v>796</v>
      </c>
      <c r="P452" s="241" t="s">
        <v>796</v>
      </c>
      <c r="Q452" s="241">
        <v>468</v>
      </c>
      <c r="R452" s="241">
        <v>11</v>
      </c>
      <c r="S452" s="241" t="s">
        <v>796</v>
      </c>
      <c r="T452" s="241">
        <v>16</v>
      </c>
      <c r="U452" s="241">
        <v>11</v>
      </c>
      <c r="V452" s="241">
        <v>17</v>
      </c>
      <c r="W452" s="242" t="s">
        <v>788</v>
      </c>
    </row>
    <row r="453" spans="1:23" s="241" customFormat="1" ht="9.75" customHeight="1" x14ac:dyDescent="0.15">
      <c r="A453" s="448" t="s">
        <v>562</v>
      </c>
      <c r="B453" s="241" t="s">
        <v>796</v>
      </c>
      <c r="C453" s="241" t="s">
        <v>796</v>
      </c>
      <c r="D453" s="241" t="s">
        <v>796</v>
      </c>
      <c r="E453" s="241" t="s">
        <v>796</v>
      </c>
      <c r="F453" s="241" t="s">
        <v>796</v>
      </c>
      <c r="G453" s="241" t="s">
        <v>796</v>
      </c>
      <c r="H453" s="241" t="s">
        <v>796</v>
      </c>
      <c r="I453" s="241" t="s">
        <v>796</v>
      </c>
      <c r="J453" s="241">
        <v>1392</v>
      </c>
      <c r="K453" s="241">
        <v>1000</v>
      </c>
      <c r="L453" s="241">
        <v>134</v>
      </c>
      <c r="M453" s="241">
        <v>161</v>
      </c>
      <c r="N453" s="241">
        <v>245</v>
      </c>
      <c r="O453" s="241">
        <v>11</v>
      </c>
      <c r="P453" s="241" t="s">
        <v>796</v>
      </c>
      <c r="Q453" s="241">
        <v>429</v>
      </c>
      <c r="R453" s="241">
        <v>1</v>
      </c>
      <c r="S453" s="241" t="s">
        <v>796</v>
      </c>
      <c r="T453" s="241" t="s">
        <v>796</v>
      </c>
      <c r="U453" s="241" t="s">
        <v>796</v>
      </c>
      <c r="V453" s="241">
        <v>1</v>
      </c>
      <c r="W453" s="242" t="s">
        <v>66</v>
      </c>
    </row>
    <row r="454" spans="1:23" s="241" customFormat="1" ht="9.75" customHeight="1" x14ac:dyDescent="0.15">
      <c r="A454" s="448" t="s">
        <v>563</v>
      </c>
      <c r="B454" s="241" t="s">
        <v>796</v>
      </c>
      <c r="C454" s="241">
        <v>2</v>
      </c>
      <c r="D454" s="241" t="s">
        <v>796</v>
      </c>
      <c r="E454" s="241" t="s">
        <v>796</v>
      </c>
      <c r="F454" s="241" t="s">
        <v>796</v>
      </c>
      <c r="G454" s="241" t="s">
        <v>796</v>
      </c>
      <c r="H454" s="241" t="s">
        <v>796</v>
      </c>
      <c r="I454" s="241" t="s">
        <v>796</v>
      </c>
      <c r="J454" s="241">
        <v>1807</v>
      </c>
      <c r="K454" s="241">
        <v>1289</v>
      </c>
      <c r="L454" s="241">
        <v>75</v>
      </c>
      <c r="M454" s="241">
        <v>287</v>
      </c>
      <c r="N454" s="241">
        <v>242</v>
      </c>
      <c r="O454" s="241" t="s">
        <v>796</v>
      </c>
      <c r="P454" s="241" t="s">
        <v>796</v>
      </c>
      <c r="Q454" s="241">
        <v>602</v>
      </c>
      <c r="R454" s="241" t="s">
        <v>796</v>
      </c>
      <c r="S454" s="241" t="s">
        <v>796</v>
      </c>
      <c r="T454" s="241">
        <v>16</v>
      </c>
      <c r="U454" s="241">
        <v>11</v>
      </c>
      <c r="V454" s="241">
        <v>22</v>
      </c>
      <c r="W454" s="242" t="s">
        <v>67</v>
      </c>
    </row>
    <row r="455" spans="1:23" s="241" customFormat="1" ht="9.75" customHeight="1" x14ac:dyDescent="0.15">
      <c r="A455" s="448" t="s">
        <v>564</v>
      </c>
      <c r="B455" s="241">
        <v>2</v>
      </c>
      <c r="C455" s="241" t="s">
        <v>796</v>
      </c>
      <c r="D455" s="241" t="s">
        <v>796</v>
      </c>
      <c r="E455" s="241" t="s">
        <v>796</v>
      </c>
      <c r="F455" s="241" t="s">
        <v>796</v>
      </c>
      <c r="G455" s="241" t="s">
        <v>796</v>
      </c>
      <c r="H455" s="241" t="s">
        <v>796</v>
      </c>
      <c r="I455" s="241" t="s">
        <v>796</v>
      </c>
      <c r="J455" s="241">
        <v>1491</v>
      </c>
      <c r="K455" s="241">
        <v>1143</v>
      </c>
      <c r="L455" s="241">
        <v>172</v>
      </c>
      <c r="M455" s="241">
        <v>166</v>
      </c>
      <c r="N455" s="241">
        <v>245</v>
      </c>
      <c r="O455" s="241" t="s">
        <v>796</v>
      </c>
      <c r="P455" s="241" t="s">
        <v>796</v>
      </c>
      <c r="Q455" s="241">
        <v>493</v>
      </c>
      <c r="R455" s="241" t="s">
        <v>796</v>
      </c>
      <c r="S455" s="241" t="s">
        <v>796</v>
      </c>
      <c r="T455" s="241">
        <v>25</v>
      </c>
      <c r="U455" s="241" t="s">
        <v>796</v>
      </c>
      <c r="V455" s="241">
        <v>17</v>
      </c>
      <c r="W455" s="242" t="s">
        <v>68</v>
      </c>
    </row>
    <row r="456" spans="1:23" s="241" customFormat="1" ht="9.75" customHeight="1" x14ac:dyDescent="0.15">
      <c r="A456" s="448" t="s">
        <v>565</v>
      </c>
      <c r="B456" s="241" t="s">
        <v>796</v>
      </c>
      <c r="C456" s="241">
        <v>3</v>
      </c>
      <c r="D456" s="241" t="s">
        <v>796</v>
      </c>
      <c r="E456" s="241" t="s">
        <v>796</v>
      </c>
      <c r="F456" s="241" t="s">
        <v>796</v>
      </c>
      <c r="G456" s="241" t="s">
        <v>796</v>
      </c>
      <c r="H456" s="241" t="s">
        <v>796</v>
      </c>
      <c r="I456" s="241" t="s">
        <v>796</v>
      </c>
      <c r="J456" s="241">
        <v>1397</v>
      </c>
      <c r="K456" s="241">
        <v>1077</v>
      </c>
      <c r="L456" s="241">
        <v>190</v>
      </c>
      <c r="M456" s="241">
        <v>293</v>
      </c>
      <c r="N456" s="241">
        <v>91</v>
      </c>
      <c r="O456" s="241" t="s">
        <v>796</v>
      </c>
      <c r="P456" s="241">
        <v>5</v>
      </c>
      <c r="Q456" s="241">
        <v>407</v>
      </c>
      <c r="R456" s="241">
        <v>11</v>
      </c>
      <c r="S456" s="241" t="s">
        <v>796</v>
      </c>
      <c r="T456" s="241" t="s">
        <v>796</v>
      </c>
      <c r="U456" s="241">
        <v>11</v>
      </c>
      <c r="V456" s="241">
        <v>51</v>
      </c>
      <c r="W456" s="242" t="s">
        <v>81</v>
      </c>
    </row>
    <row r="457" spans="1:23" s="241" customFormat="1" ht="9.75" customHeight="1" x14ac:dyDescent="0.15">
      <c r="A457" s="448" t="s">
        <v>566</v>
      </c>
      <c r="B457" s="241" t="s">
        <v>796</v>
      </c>
      <c r="C457" s="241">
        <v>1</v>
      </c>
      <c r="D457" s="241" t="s">
        <v>796</v>
      </c>
      <c r="E457" s="241" t="s">
        <v>796</v>
      </c>
      <c r="F457" s="241" t="s">
        <v>796</v>
      </c>
      <c r="G457" s="241" t="s">
        <v>796</v>
      </c>
      <c r="H457" s="241" t="s">
        <v>796</v>
      </c>
      <c r="I457" s="241" t="s">
        <v>796</v>
      </c>
      <c r="J457" s="241">
        <v>1012</v>
      </c>
      <c r="K457" s="241">
        <v>844</v>
      </c>
      <c r="L457" s="241">
        <v>142</v>
      </c>
      <c r="M457" s="241">
        <v>338</v>
      </c>
      <c r="N457" s="241">
        <v>80</v>
      </c>
      <c r="O457" s="241">
        <v>11</v>
      </c>
      <c r="P457" s="241" t="s">
        <v>796</v>
      </c>
      <c r="Q457" s="241">
        <v>211</v>
      </c>
      <c r="R457" s="241" t="s">
        <v>796</v>
      </c>
      <c r="S457" s="241" t="s">
        <v>796</v>
      </c>
      <c r="T457" s="241">
        <v>16</v>
      </c>
      <c r="U457" s="241">
        <v>11</v>
      </c>
      <c r="V457" s="241">
        <v>34</v>
      </c>
      <c r="W457" s="242" t="s">
        <v>82</v>
      </c>
    </row>
    <row r="458" spans="1:23" s="241" customFormat="1" ht="9.75" customHeight="1" x14ac:dyDescent="0.15">
      <c r="A458" s="448" t="s">
        <v>567</v>
      </c>
      <c r="B458" s="241" t="s">
        <v>796</v>
      </c>
      <c r="C458" s="241">
        <v>2</v>
      </c>
      <c r="D458" s="241">
        <v>1</v>
      </c>
      <c r="E458" s="241" t="s">
        <v>796</v>
      </c>
      <c r="F458" s="241" t="s">
        <v>796</v>
      </c>
      <c r="G458" s="241" t="s">
        <v>796</v>
      </c>
      <c r="H458" s="241" t="s">
        <v>796</v>
      </c>
      <c r="I458" s="241" t="s">
        <v>796</v>
      </c>
      <c r="J458" s="241">
        <v>1049</v>
      </c>
      <c r="K458" s="241">
        <v>740</v>
      </c>
      <c r="L458" s="241">
        <v>73</v>
      </c>
      <c r="M458" s="241">
        <v>246</v>
      </c>
      <c r="N458" s="241">
        <v>90</v>
      </c>
      <c r="O458" s="241" t="s">
        <v>796</v>
      </c>
      <c r="P458" s="241">
        <v>2</v>
      </c>
      <c r="Q458" s="241">
        <v>285</v>
      </c>
      <c r="R458" s="241" t="s">
        <v>796</v>
      </c>
      <c r="S458" s="241" t="s">
        <v>796</v>
      </c>
      <c r="T458" s="241" t="s">
        <v>796</v>
      </c>
      <c r="U458" s="241">
        <v>11</v>
      </c>
      <c r="V458" s="241">
        <v>33</v>
      </c>
      <c r="W458" s="242" t="s">
        <v>83</v>
      </c>
    </row>
    <row r="459" spans="1:23" s="241" customFormat="1" ht="9.75" customHeight="1" x14ac:dyDescent="0.15">
      <c r="A459" s="448" t="s">
        <v>568</v>
      </c>
      <c r="B459" s="241" t="s">
        <v>796</v>
      </c>
      <c r="C459" s="241" t="s">
        <v>796</v>
      </c>
      <c r="D459" s="241" t="s">
        <v>796</v>
      </c>
      <c r="E459" s="241" t="s">
        <v>796</v>
      </c>
      <c r="F459" s="241" t="s">
        <v>796</v>
      </c>
      <c r="G459" s="241" t="s">
        <v>796</v>
      </c>
      <c r="H459" s="241" t="s">
        <v>796</v>
      </c>
      <c r="I459" s="241" t="s">
        <v>796</v>
      </c>
      <c r="J459" s="241">
        <v>947</v>
      </c>
      <c r="K459" s="241">
        <v>789</v>
      </c>
      <c r="L459" s="241">
        <v>121</v>
      </c>
      <c r="M459" s="241">
        <v>206</v>
      </c>
      <c r="N459" s="241">
        <v>40</v>
      </c>
      <c r="O459" s="241" t="s">
        <v>796</v>
      </c>
      <c r="P459" s="241" t="s">
        <v>796</v>
      </c>
      <c r="Q459" s="241">
        <v>305</v>
      </c>
      <c r="R459" s="241" t="s">
        <v>796</v>
      </c>
      <c r="S459" s="241" t="s">
        <v>796</v>
      </c>
      <c r="T459" s="241">
        <v>41</v>
      </c>
      <c r="U459" s="241" t="s">
        <v>796</v>
      </c>
      <c r="V459" s="241">
        <v>76</v>
      </c>
      <c r="W459" s="242" t="s">
        <v>84</v>
      </c>
    </row>
    <row r="460" spans="1:23" s="241" customFormat="1" ht="9.75" customHeight="1" x14ac:dyDescent="0.15">
      <c r="A460" s="448" t="s">
        <v>569</v>
      </c>
      <c r="B460" s="241" t="s">
        <v>796</v>
      </c>
      <c r="C460" s="241">
        <v>2</v>
      </c>
      <c r="D460" s="241" t="s">
        <v>796</v>
      </c>
      <c r="E460" s="241" t="s">
        <v>796</v>
      </c>
      <c r="F460" s="241" t="s">
        <v>796</v>
      </c>
      <c r="G460" s="241" t="s">
        <v>796</v>
      </c>
      <c r="H460" s="241" t="s">
        <v>796</v>
      </c>
      <c r="I460" s="241" t="s">
        <v>796</v>
      </c>
      <c r="J460" s="241">
        <v>1142</v>
      </c>
      <c r="K460" s="241">
        <v>853</v>
      </c>
      <c r="L460" s="241">
        <v>153</v>
      </c>
      <c r="M460" s="241">
        <v>217</v>
      </c>
      <c r="N460" s="241">
        <v>243</v>
      </c>
      <c r="O460" s="241">
        <v>11</v>
      </c>
      <c r="P460" s="241">
        <v>17</v>
      </c>
      <c r="Q460" s="241">
        <v>182</v>
      </c>
      <c r="R460" s="241" t="s">
        <v>796</v>
      </c>
      <c r="S460" s="241" t="s">
        <v>796</v>
      </c>
      <c r="T460" s="241" t="s">
        <v>796</v>
      </c>
      <c r="U460" s="241">
        <v>11</v>
      </c>
      <c r="V460" s="241">
        <v>18</v>
      </c>
      <c r="W460" s="242" t="s">
        <v>85</v>
      </c>
    </row>
    <row r="461" spans="1:23" s="241" customFormat="1" ht="9.75" customHeight="1" x14ac:dyDescent="0.15">
      <c r="A461" s="448" t="s">
        <v>570</v>
      </c>
      <c r="B461" s="241" t="s">
        <v>796</v>
      </c>
      <c r="C461" s="241" t="s">
        <v>796</v>
      </c>
      <c r="D461" s="241" t="s">
        <v>796</v>
      </c>
      <c r="E461" s="241" t="s">
        <v>796</v>
      </c>
      <c r="F461" s="241" t="s">
        <v>796</v>
      </c>
      <c r="G461" s="241" t="s">
        <v>796</v>
      </c>
      <c r="H461" s="241" t="s">
        <v>796</v>
      </c>
      <c r="I461" s="241" t="s">
        <v>796</v>
      </c>
      <c r="J461" s="241">
        <v>652</v>
      </c>
      <c r="K461" s="241">
        <v>500</v>
      </c>
      <c r="L461" s="241">
        <v>101</v>
      </c>
      <c r="M461" s="241">
        <v>125</v>
      </c>
      <c r="N461" s="241">
        <v>105</v>
      </c>
      <c r="O461" s="241">
        <v>11</v>
      </c>
      <c r="P461" s="241">
        <v>3</v>
      </c>
      <c r="Q461" s="241">
        <v>136</v>
      </c>
      <c r="R461" s="241" t="s">
        <v>796</v>
      </c>
      <c r="S461" s="241" t="s">
        <v>796</v>
      </c>
      <c r="T461" s="241">
        <v>2</v>
      </c>
      <c r="U461" s="241" t="s">
        <v>796</v>
      </c>
      <c r="V461" s="241" t="s">
        <v>796</v>
      </c>
      <c r="W461" s="242" t="s">
        <v>69</v>
      </c>
    </row>
    <row r="462" spans="1:23" s="241" customFormat="1" ht="9.75" customHeight="1" x14ac:dyDescent="0.15">
      <c r="A462" s="448" t="s">
        <v>571</v>
      </c>
      <c r="B462" s="241" t="s">
        <v>796</v>
      </c>
      <c r="C462" s="241">
        <v>1</v>
      </c>
      <c r="D462" s="241" t="s">
        <v>796</v>
      </c>
      <c r="E462" s="241" t="s">
        <v>796</v>
      </c>
      <c r="F462" s="241" t="s">
        <v>796</v>
      </c>
      <c r="G462" s="241" t="s">
        <v>796</v>
      </c>
      <c r="H462" s="241" t="s">
        <v>796</v>
      </c>
      <c r="I462" s="241" t="s">
        <v>796</v>
      </c>
      <c r="J462" s="241">
        <v>1013</v>
      </c>
      <c r="K462" s="241">
        <v>838</v>
      </c>
      <c r="L462" s="241">
        <v>211</v>
      </c>
      <c r="M462" s="241">
        <v>129</v>
      </c>
      <c r="N462" s="241">
        <v>103</v>
      </c>
      <c r="O462" s="241" t="s">
        <v>796</v>
      </c>
      <c r="P462" s="241" t="s">
        <v>796</v>
      </c>
      <c r="Q462" s="241">
        <v>345</v>
      </c>
      <c r="R462" s="241" t="s">
        <v>796</v>
      </c>
      <c r="S462" s="241" t="s">
        <v>796</v>
      </c>
      <c r="T462" s="241">
        <v>16</v>
      </c>
      <c r="U462" s="241" t="s">
        <v>796</v>
      </c>
      <c r="V462" s="241">
        <v>17</v>
      </c>
      <c r="W462" s="242" t="s">
        <v>70</v>
      </c>
    </row>
    <row r="463" spans="1:23" s="241" customFormat="1" ht="9.75" customHeight="1" x14ac:dyDescent="0.15">
      <c r="A463" s="448" t="s">
        <v>572</v>
      </c>
      <c r="B463" s="241">
        <v>10</v>
      </c>
      <c r="C463" s="241">
        <v>1</v>
      </c>
      <c r="D463" s="241" t="s">
        <v>796</v>
      </c>
      <c r="E463" s="241" t="s">
        <v>796</v>
      </c>
      <c r="F463" s="241" t="s">
        <v>796</v>
      </c>
      <c r="G463" s="241" t="s">
        <v>796</v>
      </c>
      <c r="H463" s="241" t="s">
        <v>796</v>
      </c>
      <c r="I463" s="241" t="s">
        <v>796</v>
      </c>
      <c r="J463" s="241">
        <v>1432</v>
      </c>
      <c r="K463" s="241">
        <v>1173</v>
      </c>
      <c r="L463" s="241">
        <v>92</v>
      </c>
      <c r="M463" s="241">
        <v>419</v>
      </c>
      <c r="N463" s="241">
        <v>205</v>
      </c>
      <c r="O463" s="241">
        <v>11</v>
      </c>
      <c r="P463" s="241">
        <v>21</v>
      </c>
      <c r="Q463" s="241">
        <v>321</v>
      </c>
      <c r="R463" s="241" t="s">
        <v>796</v>
      </c>
      <c r="S463" s="241" t="s">
        <v>796</v>
      </c>
      <c r="T463" s="241" t="s">
        <v>796</v>
      </c>
      <c r="U463" s="241">
        <v>11</v>
      </c>
      <c r="V463" s="241">
        <v>41</v>
      </c>
      <c r="W463" s="242" t="s">
        <v>71</v>
      </c>
    </row>
    <row r="464" spans="1:23" s="241" customFormat="1" ht="9.75" customHeight="1" x14ac:dyDescent="0.15">
      <c r="A464" s="448" t="s">
        <v>841</v>
      </c>
      <c r="B464" s="241" t="s">
        <v>796</v>
      </c>
      <c r="C464" s="241" t="s">
        <v>796</v>
      </c>
      <c r="D464" s="241" t="s">
        <v>796</v>
      </c>
      <c r="E464" s="241" t="s">
        <v>796</v>
      </c>
      <c r="F464" s="241" t="s">
        <v>796</v>
      </c>
      <c r="G464" s="241" t="s">
        <v>796</v>
      </c>
      <c r="H464" s="241" t="s">
        <v>796</v>
      </c>
      <c r="I464" s="241" t="s">
        <v>796</v>
      </c>
      <c r="J464" s="241">
        <v>514</v>
      </c>
      <c r="K464" s="241">
        <v>429</v>
      </c>
      <c r="L464" s="241">
        <v>56</v>
      </c>
      <c r="M464" s="241">
        <v>7</v>
      </c>
      <c r="N464" s="241">
        <v>75</v>
      </c>
      <c r="O464" s="241" t="s">
        <v>796</v>
      </c>
      <c r="P464" s="241" t="s">
        <v>796</v>
      </c>
      <c r="Q464" s="241">
        <v>221</v>
      </c>
      <c r="R464" s="241" t="s">
        <v>796</v>
      </c>
      <c r="S464" s="241" t="s">
        <v>796</v>
      </c>
      <c r="T464" s="241">
        <v>16</v>
      </c>
      <c r="U464" s="241">
        <v>11</v>
      </c>
      <c r="V464" s="241">
        <v>23</v>
      </c>
      <c r="W464" s="242" t="s">
        <v>842</v>
      </c>
    </row>
    <row r="465" spans="1:23" s="241" customFormat="1" ht="9.75" customHeight="1" x14ac:dyDescent="0.15">
      <c r="A465" s="448" t="s">
        <v>573</v>
      </c>
      <c r="B465" s="241" t="s">
        <v>796</v>
      </c>
      <c r="C465" s="241" t="s">
        <v>796</v>
      </c>
      <c r="D465" s="241" t="s">
        <v>796</v>
      </c>
      <c r="E465" s="241" t="s">
        <v>796</v>
      </c>
      <c r="F465" s="241" t="s">
        <v>796</v>
      </c>
      <c r="G465" s="241" t="s">
        <v>796</v>
      </c>
      <c r="H465" s="241" t="s">
        <v>796</v>
      </c>
      <c r="I465" s="241" t="s">
        <v>796</v>
      </c>
      <c r="J465" s="241">
        <v>748</v>
      </c>
      <c r="K465" s="241">
        <v>526</v>
      </c>
      <c r="L465" s="241">
        <v>157</v>
      </c>
      <c r="M465" s="241">
        <v>51</v>
      </c>
      <c r="N465" s="241">
        <v>176</v>
      </c>
      <c r="O465" s="241">
        <v>11</v>
      </c>
      <c r="P465" s="241" t="s">
        <v>796</v>
      </c>
      <c r="Q465" s="241">
        <v>26</v>
      </c>
      <c r="R465" s="241" t="s">
        <v>796</v>
      </c>
      <c r="S465" s="241" t="s">
        <v>796</v>
      </c>
      <c r="T465" s="241">
        <v>25</v>
      </c>
      <c r="U465" s="241">
        <v>11</v>
      </c>
      <c r="V465" s="241">
        <v>17</v>
      </c>
      <c r="W465" s="242" t="s">
        <v>66</v>
      </c>
    </row>
    <row r="466" spans="1:23" s="241" customFormat="1" ht="9.75" customHeight="1" x14ac:dyDescent="0.15">
      <c r="A466" s="795" t="s">
        <v>574</v>
      </c>
      <c r="B466" s="796" t="s">
        <v>796</v>
      </c>
      <c r="C466" s="797">
        <v>3</v>
      </c>
      <c r="D466" s="797" t="s">
        <v>796</v>
      </c>
      <c r="E466" s="797" t="s">
        <v>796</v>
      </c>
      <c r="F466" s="797" t="s">
        <v>796</v>
      </c>
      <c r="G466" s="797" t="s">
        <v>796</v>
      </c>
      <c r="H466" s="797" t="s">
        <v>796</v>
      </c>
      <c r="I466" s="797" t="s">
        <v>796</v>
      </c>
      <c r="J466" s="797">
        <v>825</v>
      </c>
      <c r="K466" s="797">
        <v>611</v>
      </c>
      <c r="L466" s="797">
        <v>144</v>
      </c>
      <c r="M466" s="797">
        <v>180</v>
      </c>
      <c r="N466" s="797">
        <v>224</v>
      </c>
      <c r="O466" s="797" t="s">
        <v>796</v>
      </c>
      <c r="P466" s="797">
        <v>17</v>
      </c>
      <c r="Q466" s="797">
        <v>46</v>
      </c>
      <c r="R466" s="797" t="s">
        <v>796</v>
      </c>
      <c r="S466" s="797" t="s">
        <v>796</v>
      </c>
      <c r="T466" s="797" t="s">
        <v>796</v>
      </c>
      <c r="U466" s="797" t="s">
        <v>796</v>
      </c>
      <c r="V466" s="797" t="s">
        <v>796</v>
      </c>
      <c r="W466" s="798" t="s">
        <v>67</v>
      </c>
    </row>
    <row r="467" spans="1:23" ht="12" customHeight="1" x14ac:dyDescent="0.15"/>
    <row r="468" spans="1:23" ht="12" customHeight="1" x14ac:dyDescent="0.15"/>
    <row r="469" spans="1:23" ht="12" customHeight="1" x14ac:dyDescent="0.15">
      <c r="K469" s="246" t="s">
        <v>86</v>
      </c>
    </row>
    <row r="470" spans="1:23" s="244" customFormat="1" ht="21" customHeight="1" x14ac:dyDescent="0.15">
      <c r="A470" s="1026" t="s">
        <v>153</v>
      </c>
      <c r="B470" s="799" t="s">
        <v>298</v>
      </c>
      <c r="C470" s="790"/>
      <c r="D470" s="790"/>
      <c r="E470" s="790"/>
      <c r="F470" s="790"/>
      <c r="G470" s="790"/>
      <c r="H470" s="790"/>
      <c r="I470" s="790"/>
      <c r="J470" s="790"/>
      <c r="K470" s="790"/>
      <c r="L470" s="790"/>
      <c r="M470" s="790"/>
      <c r="N470" s="790"/>
      <c r="O470" s="790"/>
      <c r="P470" s="790"/>
      <c r="Q470" s="790"/>
      <c r="R470" s="790"/>
      <c r="S470" s="790"/>
      <c r="T470" s="790"/>
      <c r="U470" s="790"/>
      <c r="V470" s="790"/>
      <c r="W470" s="1029" t="s">
        <v>72</v>
      </c>
    </row>
    <row r="471" spans="1:23" s="244" customFormat="1" ht="21" customHeight="1" x14ac:dyDescent="0.15">
      <c r="A471" s="1027"/>
      <c r="B471" s="799" t="s">
        <v>239</v>
      </c>
      <c r="C471" s="790"/>
      <c r="D471" s="790"/>
      <c r="E471" s="790"/>
      <c r="F471" s="788"/>
      <c r="G471" s="789" t="s">
        <v>238</v>
      </c>
      <c r="H471" s="790"/>
      <c r="I471" s="790"/>
      <c r="J471" s="790"/>
      <c r="K471" s="790"/>
      <c r="L471" s="790"/>
      <c r="M471" s="790"/>
      <c r="N471" s="790"/>
      <c r="O471" s="790"/>
      <c r="P471" s="788"/>
      <c r="Q471" s="789" t="s">
        <v>237</v>
      </c>
      <c r="R471" s="790"/>
      <c r="S471" s="790"/>
      <c r="T471" s="790"/>
      <c r="U471" s="790"/>
      <c r="V471" s="790"/>
      <c r="W471" s="1030"/>
    </row>
    <row r="472" spans="1:23" s="244" customFormat="1" ht="52.5" customHeight="1" x14ac:dyDescent="0.15">
      <c r="A472" s="1028"/>
      <c r="B472" s="245" t="s">
        <v>281</v>
      </c>
      <c r="C472" s="245" t="s">
        <v>280</v>
      </c>
      <c r="D472" s="245" t="s">
        <v>279</v>
      </c>
      <c r="E472" s="245" t="s">
        <v>243</v>
      </c>
      <c r="F472" s="248" t="s">
        <v>925</v>
      </c>
      <c r="G472" s="530" t="s">
        <v>94</v>
      </c>
      <c r="H472" s="245" t="s">
        <v>131</v>
      </c>
      <c r="I472" s="245" t="s">
        <v>956</v>
      </c>
      <c r="J472" s="248" t="s">
        <v>922</v>
      </c>
      <c r="K472" s="245" t="s">
        <v>254</v>
      </c>
      <c r="L472" s="245" t="s">
        <v>225</v>
      </c>
      <c r="M472" s="245" t="s">
        <v>259</v>
      </c>
      <c r="N472" s="245" t="s">
        <v>300</v>
      </c>
      <c r="O472" s="245" t="s">
        <v>277</v>
      </c>
      <c r="P472" s="245" t="s">
        <v>253</v>
      </c>
      <c r="Q472" s="530" t="s">
        <v>96</v>
      </c>
      <c r="R472" s="245" t="s">
        <v>252</v>
      </c>
      <c r="S472" s="245" t="s">
        <v>223</v>
      </c>
      <c r="T472" s="245" t="s">
        <v>299</v>
      </c>
      <c r="U472" s="245" t="s">
        <v>245</v>
      </c>
      <c r="V472" s="247" t="s">
        <v>957</v>
      </c>
      <c r="W472" s="1031"/>
    </row>
    <row r="473" spans="1:23" s="241" customFormat="1" ht="9.75" customHeight="1" x14ac:dyDescent="0.15">
      <c r="A473" s="645" t="s">
        <v>831</v>
      </c>
      <c r="B473" s="792">
        <v>55</v>
      </c>
      <c r="C473" s="793">
        <v>478</v>
      </c>
      <c r="D473" s="793">
        <v>9</v>
      </c>
      <c r="E473" s="793">
        <v>8</v>
      </c>
      <c r="F473" s="793">
        <v>3</v>
      </c>
      <c r="G473" s="793">
        <v>3630</v>
      </c>
      <c r="H473" s="793">
        <v>4</v>
      </c>
      <c r="I473" s="793">
        <v>4</v>
      </c>
      <c r="J473" s="793">
        <v>54</v>
      </c>
      <c r="K473" s="793">
        <v>3028</v>
      </c>
      <c r="L473" s="793">
        <v>12</v>
      </c>
      <c r="M473" s="793" t="s">
        <v>796</v>
      </c>
      <c r="N473" s="793">
        <v>336</v>
      </c>
      <c r="O473" s="793" t="s">
        <v>796</v>
      </c>
      <c r="P473" s="793">
        <v>192</v>
      </c>
      <c r="Q473" s="793">
        <v>18200</v>
      </c>
      <c r="R473" s="793">
        <v>198</v>
      </c>
      <c r="S473" s="793">
        <v>16111</v>
      </c>
      <c r="T473" s="793">
        <v>14</v>
      </c>
      <c r="U473" s="793" t="s">
        <v>796</v>
      </c>
      <c r="V473" s="793">
        <v>1463</v>
      </c>
      <c r="W473" s="794" t="s">
        <v>517</v>
      </c>
    </row>
    <row r="474" spans="1:23" s="241" customFormat="1" ht="9.75" customHeight="1" x14ac:dyDescent="0.15">
      <c r="A474" s="448" t="s">
        <v>557</v>
      </c>
      <c r="B474" s="241">
        <v>139</v>
      </c>
      <c r="C474" s="241">
        <v>554</v>
      </c>
      <c r="D474" s="241">
        <v>5</v>
      </c>
      <c r="E474" s="241">
        <v>8</v>
      </c>
      <c r="F474" s="241">
        <v>2</v>
      </c>
      <c r="G474" s="241">
        <v>8081</v>
      </c>
      <c r="H474" s="241">
        <v>3</v>
      </c>
      <c r="I474" s="241">
        <v>6</v>
      </c>
      <c r="J474" s="241">
        <v>122</v>
      </c>
      <c r="K474" s="241">
        <v>7294</v>
      </c>
      <c r="L474" s="241">
        <v>116</v>
      </c>
      <c r="M474" s="241" t="s">
        <v>796</v>
      </c>
      <c r="N474" s="241">
        <v>178</v>
      </c>
      <c r="O474" s="241">
        <v>99</v>
      </c>
      <c r="P474" s="241">
        <v>263</v>
      </c>
      <c r="Q474" s="241">
        <v>15415</v>
      </c>
      <c r="R474" s="241">
        <v>252</v>
      </c>
      <c r="S474" s="241">
        <v>12778</v>
      </c>
      <c r="T474" s="241" t="s">
        <v>796</v>
      </c>
      <c r="U474" s="241" t="s">
        <v>796</v>
      </c>
      <c r="V474" s="241">
        <v>2385</v>
      </c>
      <c r="W474" s="242" t="s">
        <v>558</v>
      </c>
    </row>
    <row r="475" spans="1:23" s="241" customFormat="1" ht="9.75" customHeight="1" x14ac:dyDescent="0.15">
      <c r="A475" s="448" t="s">
        <v>682</v>
      </c>
      <c r="B475" s="241">
        <v>103</v>
      </c>
      <c r="C475" s="241">
        <v>244</v>
      </c>
      <c r="D475" s="241" t="s">
        <v>796</v>
      </c>
      <c r="E475" s="241">
        <v>8</v>
      </c>
      <c r="F475" s="241">
        <v>3</v>
      </c>
      <c r="G475" s="241">
        <v>8702</v>
      </c>
      <c r="H475" s="241">
        <v>3</v>
      </c>
      <c r="I475" s="241">
        <v>13</v>
      </c>
      <c r="J475" s="241">
        <v>143</v>
      </c>
      <c r="K475" s="241">
        <v>3924</v>
      </c>
      <c r="L475" s="241">
        <v>4011</v>
      </c>
      <c r="M475" s="241">
        <v>344</v>
      </c>
      <c r="N475" s="241" t="s">
        <v>796</v>
      </c>
      <c r="O475" s="241">
        <v>32</v>
      </c>
      <c r="P475" s="241">
        <v>232</v>
      </c>
      <c r="Q475" s="241">
        <v>16968</v>
      </c>
      <c r="R475" s="241">
        <v>288</v>
      </c>
      <c r="S475" s="241">
        <v>16652</v>
      </c>
      <c r="T475" s="241">
        <v>2</v>
      </c>
      <c r="U475" s="241" t="s">
        <v>796</v>
      </c>
      <c r="V475" s="241">
        <v>26</v>
      </c>
      <c r="W475" s="242" t="s">
        <v>683</v>
      </c>
    </row>
    <row r="476" spans="1:23" s="241" customFormat="1" ht="9.75" customHeight="1" x14ac:dyDescent="0.15">
      <c r="A476" s="448" t="s">
        <v>784</v>
      </c>
      <c r="B476" s="241">
        <v>105</v>
      </c>
      <c r="C476" s="241">
        <v>192</v>
      </c>
      <c r="D476" s="241" t="s">
        <v>796</v>
      </c>
      <c r="E476" s="241">
        <v>8</v>
      </c>
      <c r="F476" s="241">
        <v>5</v>
      </c>
      <c r="G476" s="241">
        <v>1019</v>
      </c>
      <c r="H476" s="241">
        <v>2</v>
      </c>
      <c r="I476" s="241">
        <v>2</v>
      </c>
      <c r="J476" s="241">
        <v>54</v>
      </c>
      <c r="K476" s="241">
        <v>516</v>
      </c>
      <c r="L476" s="241">
        <v>216</v>
      </c>
      <c r="M476" s="241" t="s">
        <v>796</v>
      </c>
      <c r="N476" s="241" t="s">
        <v>796</v>
      </c>
      <c r="O476" s="241">
        <v>48</v>
      </c>
      <c r="P476" s="241">
        <v>181</v>
      </c>
      <c r="Q476" s="241">
        <v>5036</v>
      </c>
      <c r="R476" s="241">
        <v>270</v>
      </c>
      <c r="S476" s="241">
        <v>3383</v>
      </c>
      <c r="T476" s="241">
        <v>8</v>
      </c>
      <c r="U476" s="241">
        <v>61</v>
      </c>
      <c r="V476" s="241">
        <v>1314</v>
      </c>
      <c r="W476" s="242" t="s">
        <v>785</v>
      </c>
    </row>
    <row r="477" spans="1:23" s="241" customFormat="1" ht="9.75" customHeight="1" x14ac:dyDescent="0.15">
      <c r="A477" s="448" t="s">
        <v>832</v>
      </c>
      <c r="B477" s="241">
        <v>34</v>
      </c>
      <c r="C477" s="241">
        <v>85</v>
      </c>
      <c r="D477" s="241" t="s">
        <v>796</v>
      </c>
      <c r="E477" s="241">
        <v>8</v>
      </c>
      <c r="F477" s="241">
        <v>56</v>
      </c>
      <c r="G477" s="241">
        <v>115</v>
      </c>
      <c r="H477" s="241" t="s">
        <v>796</v>
      </c>
      <c r="I477" s="241">
        <v>6</v>
      </c>
      <c r="J477" s="241">
        <v>17</v>
      </c>
      <c r="K477" s="241" t="s">
        <v>796</v>
      </c>
      <c r="L477" s="241">
        <v>22</v>
      </c>
      <c r="M477" s="241" t="s">
        <v>796</v>
      </c>
      <c r="N477" s="241" t="s">
        <v>796</v>
      </c>
      <c r="O477" s="241">
        <v>48</v>
      </c>
      <c r="P477" s="241">
        <v>22</v>
      </c>
      <c r="Q477" s="241">
        <v>2617</v>
      </c>
      <c r="R477" s="241">
        <v>162</v>
      </c>
      <c r="S477" s="241">
        <v>2414</v>
      </c>
      <c r="T477" s="241">
        <v>10</v>
      </c>
      <c r="U477" s="241" t="s">
        <v>796</v>
      </c>
      <c r="V477" s="241">
        <v>31</v>
      </c>
      <c r="W477" s="242" t="s">
        <v>833</v>
      </c>
    </row>
    <row r="478" spans="1:23" s="241" customFormat="1" ht="6.75" customHeight="1" x14ac:dyDescent="0.15">
      <c r="A478" s="464"/>
      <c r="W478" s="242"/>
    </row>
    <row r="479" spans="1:23" s="241" customFormat="1" ht="9.75" customHeight="1" x14ac:dyDescent="0.15">
      <c r="A479" s="448" t="s">
        <v>834</v>
      </c>
      <c r="B479" s="241">
        <v>105</v>
      </c>
      <c r="C479" s="241">
        <v>191</v>
      </c>
      <c r="D479" s="241" t="s">
        <v>796</v>
      </c>
      <c r="E479" s="241">
        <v>8</v>
      </c>
      <c r="F479" s="241">
        <v>6</v>
      </c>
      <c r="G479" s="241">
        <v>980</v>
      </c>
      <c r="H479" s="241">
        <v>2</v>
      </c>
      <c r="I479" s="241">
        <v>2</v>
      </c>
      <c r="J479" s="241">
        <v>53</v>
      </c>
      <c r="K479" s="241">
        <v>516</v>
      </c>
      <c r="L479" s="241">
        <v>227</v>
      </c>
      <c r="M479" s="241" t="s">
        <v>796</v>
      </c>
      <c r="N479" s="241" t="s">
        <v>796</v>
      </c>
      <c r="O479" s="241">
        <v>48</v>
      </c>
      <c r="P479" s="241">
        <v>132</v>
      </c>
      <c r="Q479" s="241">
        <v>4511</v>
      </c>
      <c r="R479" s="241">
        <v>342</v>
      </c>
      <c r="S479" s="241">
        <v>3067</v>
      </c>
      <c r="T479" s="241">
        <v>10</v>
      </c>
      <c r="U479" s="241">
        <v>61</v>
      </c>
      <c r="V479" s="241">
        <v>1031</v>
      </c>
      <c r="W479" s="242" t="s">
        <v>786</v>
      </c>
    </row>
    <row r="480" spans="1:23" s="241" customFormat="1" ht="9.75" customHeight="1" x14ac:dyDescent="0.15">
      <c r="A480" s="448" t="s">
        <v>835</v>
      </c>
      <c r="B480" s="241">
        <v>34</v>
      </c>
      <c r="C480" s="241">
        <v>86</v>
      </c>
      <c r="D480" s="241" t="s">
        <v>796</v>
      </c>
      <c r="E480" s="241">
        <v>8</v>
      </c>
      <c r="F480" s="241">
        <v>75</v>
      </c>
      <c r="G480" s="241">
        <v>101</v>
      </c>
      <c r="H480" s="241" t="s">
        <v>796</v>
      </c>
      <c r="I480" s="241">
        <v>8</v>
      </c>
      <c r="J480" s="241">
        <v>17</v>
      </c>
      <c r="K480" s="241" t="s">
        <v>796</v>
      </c>
      <c r="L480" s="241">
        <v>11</v>
      </c>
      <c r="M480" s="241" t="s">
        <v>796</v>
      </c>
      <c r="N480" s="241" t="s">
        <v>796</v>
      </c>
      <c r="O480" s="241">
        <v>32</v>
      </c>
      <c r="P480" s="241">
        <v>33</v>
      </c>
      <c r="Q480" s="241">
        <v>1954</v>
      </c>
      <c r="R480" s="241">
        <v>54</v>
      </c>
      <c r="S480" s="241">
        <v>1869</v>
      </c>
      <c r="T480" s="241" t="s">
        <v>796</v>
      </c>
      <c r="U480" s="241" t="s">
        <v>796</v>
      </c>
      <c r="V480" s="241">
        <v>31</v>
      </c>
      <c r="W480" s="242" t="s">
        <v>836</v>
      </c>
    </row>
    <row r="481" spans="1:23" s="241" customFormat="1" ht="6.75" customHeight="1" x14ac:dyDescent="0.15">
      <c r="A481" s="464"/>
      <c r="W481" s="242"/>
    </row>
    <row r="482" spans="1:23" s="241" customFormat="1" ht="9.75" customHeight="1" x14ac:dyDescent="0.15">
      <c r="A482" s="448" t="s">
        <v>837</v>
      </c>
      <c r="B482" s="241">
        <v>17</v>
      </c>
      <c r="C482" s="241">
        <v>34</v>
      </c>
      <c r="D482" s="241" t="s">
        <v>796</v>
      </c>
      <c r="E482" s="241" t="s">
        <v>796</v>
      </c>
      <c r="F482" s="241">
        <v>1</v>
      </c>
      <c r="G482" s="241">
        <v>33</v>
      </c>
      <c r="H482" s="241" t="s">
        <v>796</v>
      </c>
      <c r="I482" s="241" t="s">
        <v>796</v>
      </c>
      <c r="J482" s="241" t="s">
        <v>796</v>
      </c>
      <c r="K482" s="241" t="s">
        <v>796</v>
      </c>
      <c r="L482" s="241">
        <v>11</v>
      </c>
      <c r="M482" s="241" t="s">
        <v>796</v>
      </c>
      <c r="N482" s="241" t="s">
        <v>796</v>
      </c>
      <c r="O482" s="241">
        <v>16</v>
      </c>
      <c r="P482" s="241">
        <v>6</v>
      </c>
      <c r="Q482" s="241">
        <v>1037</v>
      </c>
      <c r="R482" s="241">
        <v>108</v>
      </c>
      <c r="S482" s="241">
        <v>919</v>
      </c>
      <c r="T482" s="241">
        <v>10</v>
      </c>
      <c r="U482" s="241" t="s">
        <v>796</v>
      </c>
      <c r="V482" s="241" t="s">
        <v>796</v>
      </c>
      <c r="W482" s="242" t="s">
        <v>787</v>
      </c>
    </row>
    <row r="483" spans="1:23" s="241" customFormat="1" ht="9.75" customHeight="1" x14ac:dyDescent="0.15">
      <c r="A483" s="448" t="s">
        <v>559</v>
      </c>
      <c r="B483" s="241" t="s">
        <v>796</v>
      </c>
      <c r="C483" s="241">
        <v>17</v>
      </c>
      <c r="D483" s="241" t="s">
        <v>796</v>
      </c>
      <c r="E483" s="241">
        <v>8</v>
      </c>
      <c r="F483" s="241">
        <v>19</v>
      </c>
      <c r="G483" s="241">
        <v>26</v>
      </c>
      <c r="H483" s="241" t="s">
        <v>796</v>
      </c>
      <c r="I483" s="241">
        <v>2</v>
      </c>
      <c r="J483" s="241" t="s">
        <v>796</v>
      </c>
      <c r="K483" s="241" t="s">
        <v>796</v>
      </c>
      <c r="L483" s="241" t="s">
        <v>796</v>
      </c>
      <c r="M483" s="241" t="s">
        <v>796</v>
      </c>
      <c r="N483" s="241" t="s">
        <v>796</v>
      </c>
      <c r="O483" s="241">
        <v>16</v>
      </c>
      <c r="P483" s="241">
        <v>8</v>
      </c>
      <c r="Q483" s="241">
        <v>604</v>
      </c>
      <c r="R483" s="241">
        <v>36</v>
      </c>
      <c r="S483" s="241">
        <v>568</v>
      </c>
      <c r="T483" s="241" t="s">
        <v>796</v>
      </c>
      <c r="U483" s="241" t="s">
        <v>796</v>
      </c>
      <c r="V483" s="241" t="s">
        <v>796</v>
      </c>
      <c r="W483" s="242" t="s">
        <v>78</v>
      </c>
    </row>
    <row r="484" spans="1:23" s="241" customFormat="1" ht="9.75" customHeight="1" x14ac:dyDescent="0.15">
      <c r="A484" s="448" t="s">
        <v>560</v>
      </c>
      <c r="B484" s="241" t="s">
        <v>796</v>
      </c>
      <c r="C484" s="241" t="s">
        <v>796</v>
      </c>
      <c r="D484" s="241" t="s">
        <v>796</v>
      </c>
      <c r="E484" s="241" t="s">
        <v>796</v>
      </c>
      <c r="F484" s="241">
        <v>1</v>
      </c>
      <c r="G484" s="241">
        <v>30</v>
      </c>
      <c r="H484" s="241" t="s">
        <v>796</v>
      </c>
      <c r="I484" s="241">
        <v>2</v>
      </c>
      <c r="J484" s="241">
        <v>17</v>
      </c>
      <c r="K484" s="241" t="s">
        <v>796</v>
      </c>
      <c r="L484" s="241">
        <v>11</v>
      </c>
      <c r="M484" s="241" t="s">
        <v>796</v>
      </c>
      <c r="N484" s="241" t="s">
        <v>796</v>
      </c>
      <c r="O484" s="241" t="s">
        <v>796</v>
      </c>
      <c r="P484" s="241" t="s">
        <v>796</v>
      </c>
      <c r="Q484" s="241">
        <v>592</v>
      </c>
      <c r="R484" s="241" t="s">
        <v>796</v>
      </c>
      <c r="S484" s="241">
        <v>592</v>
      </c>
      <c r="T484" s="241" t="s">
        <v>796</v>
      </c>
      <c r="U484" s="241" t="s">
        <v>796</v>
      </c>
      <c r="V484" s="241" t="s">
        <v>796</v>
      </c>
      <c r="W484" s="242" t="s">
        <v>79</v>
      </c>
    </row>
    <row r="485" spans="1:23" s="241" customFormat="1" ht="9.75" customHeight="1" x14ac:dyDescent="0.15">
      <c r="A485" s="448" t="s">
        <v>561</v>
      </c>
      <c r="B485" s="241">
        <v>17</v>
      </c>
      <c r="C485" s="241">
        <v>34</v>
      </c>
      <c r="D485" s="241" t="s">
        <v>796</v>
      </c>
      <c r="E485" s="241" t="s">
        <v>796</v>
      </c>
      <c r="F485" s="241">
        <v>35</v>
      </c>
      <c r="G485" s="241">
        <v>26</v>
      </c>
      <c r="H485" s="241" t="s">
        <v>796</v>
      </c>
      <c r="I485" s="241">
        <v>2</v>
      </c>
      <c r="J485" s="241" t="s">
        <v>796</v>
      </c>
      <c r="K485" s="241" t="s">
        <v>796</v>
      </c>
      <c r="L485" s="241" t="s">
        <v>796</v>
      </c>
      <c r="M485" s="241" t="s">
        <v>796</v>
      </c>
      <c r="N485" s="241" t="s">
        <v>796</v>
      </c>
      <c r="O485" s="241">
        <v>16</v>
      </c>
      <c r="P485" s="241">
        <v>8</v>
      </c>
      <c r="Q485" s="241">
        <v>384</v>
      </c>
      <c r="R485" s="241">
        <v>18</v>
      </c>
      <c r="S485" s="241">
        <v>335</v>
      </c>
      <c r="T485" s="241" t="s">
        <v>796</v>
      </c>
      <c r="U485" s="241" t="s">
        <v>796</v>
      </c>
      <c r="V485" s="241">
        <v>31</v>
      </c>
      <c r="W485" s="242" t="s">
        <v>80</v>
      </c>
    </row>
    <row r="486" spans="1:23" s="241" customFormat="1" ht="9.75" customHeight="1" x14ac:dyDescent="0.15">
      <c r="A486" s="448" t="s">
        <v>838</v>
      </c>
      <c r="B486" s="241">
        <v>17</v>
      </c>
      <c r="C486" s="241">
        <v>35</v>
      </c>
      <c r="D486" s="241" t="s">
        <v>796</v>
      </c>
      <c r="E486" s="241" t="s">
        <v>796</v>
      </c>
      <c r="F486" s="241">
        <v>20</v>
      </c>
      <c r="G486" s="241">
        <v>19</v>
      </c>
      <c r="H486" s="241" t="s">
        <v>796</v>
      </c>
      <c r="I486" s="241">
        <v>2</v>
      </c>
      <c r="J486" s="241" t="s">
        <v>796</v>
      </c>
      <c r="K486" s="241" t="s">
        <v>796</v>
      </c>
      <c r="L486" s="241" t="s">
        <v>796</v>
      </c>
      <c r="M486" s="241" t="s">
        <v>796</v>
      </c>
      <c r="N486" s="241" t="s">
        <v>796</v>
      </c>
      <c r="O486" s="241" t="s">
        <v>796</v>
      </c>
      <c r="P486" s="241">
        <v>17</v>
      </c>
      <c r="Q486" s="241">
        <v>374</v>
      </c>
      <c r="R486" s="241" t="s">
        <v>796</v>
      </c>
      <c r="S486" s="241">
        <v>374</v>
      </c>
      <c r="T486" s="241" t="s">
        <v>796</v>
      </c>
      <c r="U486" s="241" t="s">
        <v>796</v>
      </c>
      <c r="V486" s="241" t="s">
        <v>796</v>
      </c>
      <c r="W486" s="242" t="s">
        <v>839</v>
      </c>
    </row>
    <row r="487" spans="1:23" s="241" customFormat="1" ht="6.75" customHeight="1" x14ac:dyDescent="0.15">
      <c r="A487" s="464"/>
      <c r="W487" s="242"/>
    </row>
    <row r="488" spans="1:23" s="241" customFormat="1" ht="9.75" customHeight="1" x14ac:dyDescent="0.15">
      <c r="A488" s="448" t="s">
        <v>840</v>
      </c>
      <c r="B488" s="241" t="s">
        <v>796</v>
      </c>
      <c r="C488" s="241" t="s">
        <v>796</v>
      </c>
      <c r="D488" s="241" t="s">
        <v>796</v>
      </c>
      <c r="E488" s="241" t="s">
        <v>796</v>
      </c>
      <c r="F488" s="241" t="s">
        <v>796</v>
      </c>
      <c r="G488" s="241">
        <v>17</v>
      </c>
      <c r="H488" s="241" t="s">
        <v>796</v>
      </c>
      <c r="I488" s="241" t="s">
        <v>796</v>
      </c>
      <c r="J488" s="241" t="s">
        <v>796</v>
      </c>
      <c r="K488" s="241" t="s">
        <v>796</v>
      </c>
      <c r="L488" s="241">
        <v>11</v>
      </c>
      <c r="M488" s="241" t="s">
        <v>796</v>
      </c>
      <c r="N488" s="241" t="s">
        <v>796</v>
      </c>
      <c r="O488" s="241" t="s">
        <v>796</v>
      </c>
      <c r="P488" s="241">
        <v>6</v>
      </c>
      <c r="Q488" s="241">
        <v>311</v>
      </c>
      <c r="R488" s="241">
        <v>36</v>
      </c>
      <c r="S488" s="241">
        <v>275</v>
      </c>
      <c r="T488" s="241" t="s">
        <v>796</v>
      </c>
      <c r="U488" s="241" t="s">
        <v>796</v>
      </c>
      <c r="V488" s="241" t="s">
        <v>796</v>
      </c>
      <c r="W488" s="242" t="s">
        <v>788</v>
      </c>
    </row>
    <row r="489" spans="1:23" s="241" customFormat="1" ht="9.75" customHeight="1" x14ac:dyDescent="0.15">
      <c r="A489" s="448" t="s">
        <v>562</v>
      </c>
      <c r="B489" s="241" t="s">
        <v>796</v>
      </c>
      <c r="C489" s="241">
        <v>17</v>
      </c>
      <c r="D489" s="241" t="s">
        <v>796</v>
      </c>
      <c r="E489" s="241" t="s">
        <v>796</v>
      </c>
      <c r="F489" s="241">
        <v>1</v>
      </c>
      <c r="G489" s="241">
        <v>16</v>
      </c>
      <c r="H489" s="241" t="s">
        <v>796</v>
      </c>
      <c r="I489" s="241" t="s">
        <v>796</v>
      </c>
      <c r="J489" s="241" t="s">
        <v>796</v>
      </c>
      <c r="K489" s="241" t="s">
        <v>796</v>
      </c>
      <c r="L489" s="241" t="s">
        <v>796</v>
      </c>
      <c r="M489" s="241" t="s">
        <v>796</v>
      </c>
      <c r="N489" s="241" t="s">
        <v>796</v>
      </c>
      <c r="O489" s="241">
        <v>16</v>
      </c>
      <c r="P489" s="241" t="s">
        <v>796</v>
      </c>
      <c r="Q489" s="241">
        <v>306</v>
      </c>
      <c r="R489" s="241">
        <v>36</v>
      </c>
      <c r="S489" s="241">
        <v>260</v>
      </c>
      <c r="T489" s="241">
        <v>10</v>
      </c>
      <c r="U489" s="241" t="s">
        <v>796</v>
      </c>
      <c r="V489" s="241" t="s">
        <v>796</v>
      </c>
      <c r="W489" s="242" t="s">
        <v>66</v>
      </c>
    </row>
    <row r="490" spans="1:23" s="241" customFormat="1" ht="9.75" customHeight="1" x14ac:dyDescent="0.15">
      <c r="A490" s="448" t="s">
        <v>563</v>
      </c>
      <c r="B490" s="241">
        <v>17</v>
      </c>
      <c r="C490" s="241">
        <v>17</v>
      </c>
      <c r="D490" s="241" t="s">
        <v>796</v>
      </c>
      <c r="E490" s="241" t="s">
        <v>796</v>
      </c>
      <c r="F490" s="241" t="s">
        <v>796</v>
      </c>
      <c r="G490" s="241" t="s">
        <v>796</v>
      </c>
      <c r="H490" s="241" t="s">
        <v>796</v>
      </c>
      <c r="I490" s="241" t="s">
        <v>796</v>
      </c>
      <c r="J490" s="241" t="s">
        <v>796</v>
      </c>
      <c r="K490" s="241" t="s">
        <v>796</v>
      </c>
      <c r="L490" s="241" t="s">
        <v>796</v>
      </c>
      <c r="M490" s="241" t="s">
        <v>796</v>
      </c>
      <c r="N490" s="241" t="s">
        <v>796</v>
      </c>
      <c r="O490" s="241" t="s">
        <v>796</v>
      </c>
      <c r="P490" s="241" t="s">
        <v>796</v>
      </c>
      <c r="Q490" s="241">
        <v>420</v>
      </c>
      <c r="R490" s="241">
        <v>36</v>
      </c>
      <c r="S490" s="241">
        <v>384</v>
      </c>
      <c r="T490" s="241" t="s">
        <v>796</v>
      </c>
      <c r="U490" s="241" t="s">
        <v>796</v>
      </c>
      <c r="V490" s="241" t="s">
        <v>796</v>
      </c>
      <c r="W490" s="242" t="s">
        <v>67</v>
      </c>
    </row>
    <row r="491" spans="1:23" s="241" customFormat="1" ht="9.75" customHeight="1" x14ac:dyDescent="0.15">
      <c r="A491" s="448" t="s">
        <v>564</v>
      </c>
      <c r="B491" s="241" t="s">
        <v>796</v>
      </c>
      <c r="C491" s="241">
        <v>17</v>
      </c>
      <c r="D491" s="241" t="s">
        <v>796</v>
      </c>
      <c r="E491" s="241">
        <v>8</v>
      </c>
      <c r="F491" s="241" t="s">
        <v>796</v>
      </c>
      <c r="G491" s="241">
        <v>24</v>
      </c>
      <c r="H491" s="241" t="s">
        <v>796</v>
      </c>
      <c r="I491" s="241" t="s">
        <v>796</v>
      </c>
      <c r="J491" s="241" t="s">
        <v>796</v>
      </c>
      <c r="K491" s="241" t="s">
        <v>796</v>
      </c>
      <c r="L491" s="241" t="s">
        <v>796</v>
      </c>
      <c r="M491" s="241" t="s">
        <v>796</v>
      </c>
      <c r="N491" s="241" t="s">
        <v>796</v>
      </c>
      <c r="O491" s="241">
        <v>16</v>
      </c>
      <c r="P491" s="241">
        <v>8</v>
      </c>
      <c r="Q491" s="241">
        <v>259</v>
      </c>
      <c r="R491" s="241">
        <v>18</v>
      </c>
      <c r="S491" s="241">
        <v>241</v>
      </c>
      <c r="T491" s="241" t="s">
        <v>796</v>
      </c>
      <c r="U491" s="241" t="s">
        <v>796</v>
      </c>
      <c r="V491" s="241" t="s">
        <v>796</v>
      </c>
      <c r="W491" s="242" t="s">
        <v>68</v>
      </c>
    </row>
    <row r="492" spans="1:23" s="241" customFormat="1" ht="9.75" customHeight="1" x14ac:dyDescent="0.15">
      <c r="A492" s="448" t="s">
        <v>565</v>
      </c>
      <c r="B492" s="241" t="s">
        <v>796</v>
      </c>
      <c r="C492" s="241" t="s">
        <v>796</v>
      </c>
      <c r="D492" s="241" t="s">
        <v>796</v>
      </c>
      <c r="E492" s="241" t="s">
        <v>796</v>
      </c>
      <c r="F492" s="241">
        <v>18</v>
      </c>
      <c r="G492" s="241">
        <v>2</v>
      </c>
      <c r="H492" s="241" t="s">
        <v>796</v>
      </c>
      <c r="I492" s="241">
        <v>2</v>
      </c>
      <c r="J492" s="241" t="s">
        <v>796</v>
      </c>
      <c r="K492" s="241" t="s">
        <v>796</v>
      </c>
      <c r="L492" s="241" t="s">
        <v>796</v>
      </c>
      <c r="M492" s="241" t="s">
        <v>796</v>
      </c>
      <c r="N492" s="241" t="s">
        <v>796</v>
      </c>
      <c r="O492" s="241" t="s">
        <v>796</v>
      </c>
      <c r="P492" s="241" t="s">
        <v>796</v>
      </c>
      <c r="Q492" s="241">
        <v>259</v>
      </c>
      <c r="R492" s="241">
        <v>18</v>
      </c>
      <c r="S492" s="241">
        <v>241</v>
      </c>
      <c r="T492" s="241" t="s">
        <v>796</v>
      </c>
      <c r="U492" s="241" t="s">
        <v>796</v>
      </c>
      <c r="V492" s="241" t="s">
        <v>796</v>
      </c>
      <c r="W492" s="242" t="s">
        <v>81</v>
      </c>
    </row>
    <row r="493" spans="1:23" s="241" customFormat="1" ht="9.75" customHeight="1" x14ac:dyDescent="0.15">
      <c r="A493" s="448" t="s">
        <v>566</v>
      </c>
      <c r="B493" s="241" t="s">
        <v>796</v>
      </c>
      <c r="C493" s="241" t="s">
        <v>796</v>
      </c>
      <c r="D493" s="241" t="s">
        <v>796</v>
      </c>
      <c r="E493" s="241" t="s">
        <v>796</v>
      </c>
      <c r="F493" s="241">
        <v>1</v>
      </c>
      <c r="G493" s="241" t="s">
        <v>796</v>
      </c>
      <c r="H493" s="241" t="s">
        <v>796</v>
      </c>
      <c r="I493" s="241" t="s">
        <v>796</v>
      </c>
      <c r="J493" s="241" t="s">
        <v>796</v>
      </c>
      <c r="K493" s="241" t="s">
        <v>796</v>
      </c>
      <c r="L493" s="241" t="s">
        <v>796</v>
      </c>
      <c r="M493" s="241" t="s">
        <v>796</v>
      </c>
      <c r="N493" s="241" t="s">
        <v>796</v>
      </c>
      <c r="O493" s="241" t="s">
        <v>796</v>
      </c>
      <c r="P493" s="241" t="s">
        <v>796</v>
      </c>
      <c r="Q493" s="241">
        <v>86</v>
      </c>
      <c r="R493" s="241" t="s">
        <v>796</v>
      </c>
      <c r="S493" s="241">
        <v>86</v>
      </c>
      <c r="T493" s="241" t="s">
        <v>796</v>
      </c>
      <c r="U493" s="241" t="s">
        <v>796</v>
      </c>
      <c r="V493" s="241" t="s">
        <v>796</v>
      </c>
      <c r="W493" s="242" t="s">
        <v>82</v>
      </c>
    </row>
    <row r="494" spans="1:23" s="241" customFormat="1" ht="9.75" customHeight="1" x14ac:dyDescent="0.15">
      <c r="A494" s="448" t="s">
        <v>567</v>
      </c>
      <c r="B494" s="241" t="s">
        <v>796</v>
      </c>
      <c r="C494" s="241" t="s">
        <v>796</v>
      </c>
      <c r="D494" s="241" t="s">
        <v>796</v>
      </c>
      <c r="E494" s="241" t="s">
        <v>796</v>
      </c>
      <c r="F494" s="241" t="s">
        <v>796</v>
      </c>
      <c r="G494" s="241" t="s">
        <v>796</v>
      </c>
      <c r="H494" s="241" t="s">
        <v>796</v>
      </c>
      <c r="I494" s="241" t="s">
        <v>796</v>
      </c>
      <c r="J494" s="241" t="s">
        <v>796</v>
      </c>
      <c r="K494" s="241" t="s">
        <v>796</v>
      </c>
      <c r="L494" s="241" t="s">
        <v>796</v>
      </c>
      <c r="M494" s="241" t="s">
        <v>796</v>
      </c>
      <c r="N494" s="241" t="s">
        <v>796</v>
      </c>
      <c r="O494" s="241" t="s">
        <v>796</v>
      </c>
      <c r="P494" s="241" t="s">
        <v>796</v>
      </c>
      <c r="Q494" s="241">
        <v>240</v>
      </c>
      <c r="R494" s="241" t="s">
        <v>796</v>
      </c>
      <c r="S494" s="241">
        <v>240</v>
      </c>
      <c r="T494" s="241" t="s">
        <v>796</v>
      </c>
      <c r="U494" s="241" t="s">
        <v>796</v>
      </c>
      <c r="V494" s="241" t="s">
        <v>796</v>
      </c>
      <c r="W494" s="242" t="s">
        <v>83</v>
      </c>
    </row>
    <row r="495" spans="1:23" s="241" customFormat="1" ht="9.75" customHeight="1" x14ac:dyDescent="0.15">
      <c r="A495" s="448" t="s">
        <v>568</v>
      </c>
      <c r="B495" s="241" t="s">
        <v>796</v>
      </c>
      <c r="C495" s="241" t="s">
        <v>796</v>
      </c>
      <c r="D495" s="241" t="s">
        <v>796</v>
      </c>
      <c r="E495" s="241" t="s">
        <v>796</v>
      </c>
      <c r="F495" s="241" t="s">
        <v>796</v>
      </c>
      <c r="G495" s="241">
        <v>30</v>
      </c>
      <c r="H495" s="241" t="s">
        <v>796</v>
      </c>
      <c r="I495" s="241">
        <v>2</v>
      </c>
      <c r="J495" s="241">
        <v>17</v>
      </c>
      <c r="K495" s="241" t="s">
        <v>796</v>
      </c>
      <c r="L495" s="241">
        <v>11</v>
      </c>
      <c r="M495" s="241" t="s">
        <v>796</v>
      </c>
      <c r="N495" s="241" t="s">
        <v>796</v>
      </c>
      <c r="O495" s="241" t="s">
        <v>796</v>
      </c>
      <c r="P495" s="241" t="s">
        <v>796</v>
      </c>
      <c r="Q495" s="241">
        <v>112</v>
      </c>
      <c r="R495" s="241" t="s">
        <v>796</v>
      </c>
      <c r="S495" s="241">
        <v>112</v>
      </c>
      <c r="T495" s="241" t="s">
        <v>796</v>
      </c>
      <c r="U495" s="241" t="s">
        <v>796</v>
      </c>
      <c r="V495" s="241" t="s">
        <v>796</v>
      </c>
      <c r="W495" s="242" t="s">
        <v>84</v>
      </c>
    </row>
    <row r="496" spans="1:23" s="241" customFormat="1" ht="9.75" customHeight="1" x14ac:dyDescent="0.15">
      <c r="A496" s="448" t="s">
        <v>569</v>
      </c>
      <c r="B496" s="241" t="s">
        <v>796</v>
      </c>
      <c r="C496" s="241" t="s">
        <v>796</v>
      </c>
      <c r="D496" s="241" t="s">
        <v>796</v>
      </c>
      <c r="E496" s="241" t="s">
        <v>796</v>
      </c>
      <c r="F496" s="241">
        <v>1</v>
      </c>
      <c r="G496" s="241" t="s">
        <v>796</v>
      </c>
      <c r="H496" s="241" t="s">
        <v>796</v>
      </c>
      <c r="I496" s="241" t="s">
        <v>796</v>
      </c>
      <c r="J496" s="241" t="s">
        <v>796</v>
      </c>
      <c r="K496" s="241" t="s">
        <v>796</v>
      </c>
      <c r="L496" s="241" t="s">
        <v>796</v>
      </c>
      <c r="M496" s="241" t="s">
        <v>796</v>
      </c>
      <c r="N496" s="241" t="s">
        <v>796</v>
      </c>
      <c r="O496" s="241" t="s">
        <v>796</v>
      </c>
      <c r="P496" s="241" t="s">
        <v>796</v>
      </c>
      <c r="Q496" s="241">
        <v>240</v>
      </c>
      <c r="R496" s="241" t="s">
        <v>796</v>
      </c>
      <c r="S496" s="241">
        <v>240</v>
      </c>
      <c r="T496" s="241" t="s">
        <v>796</v>
      </c>
      <c r="U496" s="241" t="s">
        <v>796</v>
      </c>
      <c r="V496" s="241" t="s">
        <v>796</v>
      </c>
      <c r="W496" s="242" t="s">
        <v>85</v>
      </c>
    </row>
    <row r="497" spans="1:23" s="241" customFormat="1" ht="9.75" customHeight="1" x14ac:dyDescent="0.15">
      <c r="A497" s="448" t="s">
        <v>570</v>
      </c>
      <c r="B497" s="241" t="s">
        <v>796</v>
      </c>
      <c r="C497" s="241">
        <v>17</v>
      </c>
      <c r="D497" s="241" t="s">
        <v>796</v>
      </c>
      <c r="E497" s="241" t="s">
        <v>796</v>
      </c>
      <c r="F497" s="241" t="s">
        <v>796</v>
      </c>
      <c r="G497" s="241" t="s">
        <v>796</v>
      </c>
      <c r="H497" s="241" t="s">
        <v>796</v>
      </c>
      <c r="I497" s="241" t="s">
        <v>796</v>
      </c>
      <c r="J497" s="241" t="s">
        <v>796</v>
      </c>
      <c r="K497" s="241" t="s">
        <v>796</v>
      </c>
      <c r="L497" s="241" t="s">
        <v>796</v>
      </c>
      <c r="M497" s="241" t="s">
        <v>796</v>
      </c>
      <c r="N497" s="241" t="s">
        <v>796</v>
      </c>
      <c r="O497" s="241" t="s">
        <v>796</v>
      </c>
      <c r="P497" s="241" t="s">
        <v>796</v>
      </c>
      <c r="Q497" s="241">
        <v>104</v>
      </c>
      <c r="R497" s="241">
        <v>18</v>
      </c>
      <c r="S497" s="241">
        <v>86</v>
      </c>
      <c r="T497" s="241" t="s">
        <v>796</v>
      </c>
      <c r="U497" s="241" t="s">
        <v>796</v>
      </c>
      <c r="V497" s="241" t="s">
        <v>796</v>
      </c>
      <c r="W497" s="242" t="s">
        <v>69</v>
      </c>
    </row>
    <row r="498" spans="1:23" s="241" customFormat="1" ht="9.75" customHeight="1" x14ac:dyDescent="0.15">
      <c r="A498" s="448" t="s">
        <v>571</v>
      </c>
      <c r="B498" s="241" t="s">
        <v>796</v>
      </c>
      <c r="C498" s="241" t="s">
        <v>796</v>
      </c>
      <c r="D498" s="241" t="s">
        <v>796</v>
      </c>
      <c r="E498" s="241" t="s">
        <v>796</v>
      </c>
      <c r="F498" s="241">
        <v>17</v>
      </c>
      <c r="G498" s="241">
        <v>26</v>
      </c>
      <c r="H498" s="241" t="s">
        <v>796</v>
      </c>
      <c r="I498" s="241">
        <v>2</v>
      </c>
      <c r="J498" s="241" t="s">
        <v>796</v>
      </c>
      <c r="K498" s="241" t="s">
        <v>796</v>
      </c>
      <c r="L498" s="241" t="s">
        <v>796</v>
      </c>
      <c r="M498" s="241" t="s">
        <v>796</v>
      </c>
      <c r="N498" s="241" t="s">
        <v>796</v>
      </c>
      <c r="O498" s="241">
        <v>16</v>
      </c>
      <c r="P498" s="241">
        <v>8</v>
      </c>
      <c r="Q498" s="241">
        <v>118</v>
      </c>
      <c r="R498" s="241" t="s">
        <v>796</v>
      </c>
      <c r="S498" s="241">
        <v>87</v>
      </c>
      <c r="T498" s="241" t="s">
        <v>796</v>
      </c>
      <c r="U498" s="241" t="s">
        <v>796</v>
      </c>
      <c r="V498" s="241">
        <v>31</v>
      </c>
      <c r="W498" s="242" t="s">
        <v>70</v>
      </c>
    </row>
    <row r="499" spans="1:23" s="241" customFormat="1" ht="9.75" customHeight="1" x14ac:dyDescent="0.15">
      <c r="A499" s="448" t="s">
        <v>572</v>
      </c>
      <c r="B499" s="241">
        <v>17</v>
      </c>
      <c r="C499" s="241">
        <v>17</v>
      </c>
      <c r="D499" s="241" t="s">
        <v>796</v>
      </c>
      <c r="E499" s="241" t="s">
        <v>796</v>
      </c>
      <c r="F499" s="241">
        <v>18</v>
      </c>
      <c r="G499" s="241" t="s">
        <v>796</v>
      </c>
      <c r="H499" s="241" t="s">
        <v>796</v>
      </c>
      <c r="I499" s="241" t="s">
        <v>796</v>
      </c>
      <c r="J499" s="241" t="s">
        <v>796</v>
      </c>
      <c r="K499" s="241" t="s">
        <v>796</v>
      </c>
      <c r="L499" s="241" t="s">
        <v>796</v>
      </c>
      <c r="M499" s="241" t="s">
        <v>796</v>
      </c>
      <c r="N499" s="241" t="s">
        <v>796</v>
      </c>
      <c r="O499" s="241" t="s">
        <v>796</v>
      </c>
      <c r="P499" s="241" t="s">
        <v>796</v>
      </c>
      <c r="Q499" s="241">
        <v>162</v>
      </c>
      <c r="R499" s="241" t="s">
        <v>796</v>
      </c>
      <c r="S499" s="241">
        <v>162</v>
      </c>
      <c r="T499" s="241" t="s">
        <v>796</v>
      </c>
      <c r="U499" s="241" t="s">
        <v>796</v>
      </c>
      <c r="V499" s="241" t="s">
        <v>796</v>
      </c>
      <c r="W499" s="242" t="s">
        <v>71</v>
      </c>
    </row>
    <row r="500" spans="1:23" s="241" customFormat="1" ht="9.75" customHeight="1" x14ac:dyDescent="0.15">
      <c r="A500" s="448" t="s">
        <v>841</v>
      </c>
      <c r="B500" s="241">
        <v>17</v>
      </c>
      <c r="C500" s="241" t="s">
        <v>796</v>
      </c>
      <c r="D500" s="241" t="s">
        <v>796</v>
      </c>
      <c r="E500" s="241" t="s">
        <v>796</v>
      </c>
      <c r="F500" s="241">
        <v>3</v>
      </c>
      <c r="G500" s="241" t="s">
        <v>796</v>
      </c>
      <c r="H500" s="241" t="s">
        <v>796</v>
      </c>
      <c r="I500" s="241" t="s">
        <v>796</v>
      </c>
      <c r="J500" s="241" t="s">
        <v>796</v>
      </c>
      <c r="K500" s="241" t="s">
        <v>796</v>
      </c>
      <c r="L500" s="241" t="s">
        <v>796</v>
      </c>
      <c r="M500" s="241" t="s">
        <v>796</v>
      </c>
      <c r="N500" s="241" t="s">
        <v>796</v>
      </c>
      <c r="O500" s="241" t="s">
        <v>796</v>
      </c>
      <c r="P500" s="241" t="s">
        <v>796</v>
      </c>
      <c r="Q500" s="241">
        <v>52</v>
      </c>
      <c r="R500" s="241" t="s">
        <v>796</v>
      </c>
      <c r="S500" s="241">
        <v>52</v>
      </c>
      <c r="T500" s="241" t="s">
        <v>796</v>
      </c>
      <c r="U500" s="241" t="s">
        <v>796</v>
      </c>
      <c r="V500" s="241" t="s">
        <v>796</v>
      </c>
      <c r="W500" s="242" t="s">
        <v>842</v>
      </c>
    </row>
    <row r="501" spans="1:23" s="241" customFormat="1" ht="9.75" customHeight="1" x14ac:dyDescent="0.15">
      <c r="A501" s="448" t="s">
        <v>573</v>
      </c>
      <c r="B501" s="241" t="s">
        <v>796</v>
      </c>
      <c r="C501" s="241">
        <v>35</v>
      </c>
      <c r="D501" s="241" t="s">
        <v>796</v>
      </c>
      <c r="E501" s="241" t="s">
        <v>796</v>
      </c>
      <c r="F501" s="241">
        <v>17</v>
      </c>
      <c r="G501" s="241">
        <v>19</v>
      </c>
      <c r="H501" s="241" t="s">
        <v>796</v>
      </c>
      <c r="I501" s="241">
        <v>2</v>
      </c>
      <c r="J501" s="241" t="s">
        <v>796</v>
      </c>
      <c r="K501" s="241" t="s">
        <v>796</v>
      </c>
      <c r="L501" s="241" t="s">
        <v>796</v>
      </c>
      <c r="M501" s="241" t="s">
        <v>796</v>
      </c>
      <c r="N501" s="241" t="s">
        <v>796</v>
      </c>
      <c r="O501" s="241" t="s">
        <v>796</v>
      </c>
      <c r="P501" s="241">
        <v>17</v>
      </c>
      <c r="Q501" s="241">
        <v>143</v>
      </c>
      <c r="R501" s="241" t="s">
        <v>796</v>
      </c>
      <c r="S501" s="241">
        <v>143</v>
      </c>
      <c r="T501" s="241" t="s">
        <v>796</v>
      </c>
      <c r="U501" s="241" t="s">
        <v>796</v>
      </c>
      <c r="V501" s="241" t="s">
        <v>796</v>
      </c>
      <c r="W501" s="242" t="s">
        <v>66</v>
      </c>
    </row>
    <row r="502" spans="1:23" s="241" customFormat="1" ht="9.75" customHeight="1" x14ac:dyDescent="0.15">
      <c r="A502" s="795" t="s">
        <v>574</v>
      </c>
      <c r="B502" s="796" t="s">
        <v>796</v>
      </c>
      <c r="C502" s="797" t="s">
        <v>796</v>
      </c>
      <c r="D502" s="797" t="s">
        <v>796</v>
      </c>
      <c r="E502" s="797" t="s">
        <v>796</v>
      </c>
      <c r="F502" s="797" t="s">
        <v>796</v>
      </c>
      <c r="G502" s="797" t="s">
        <v>796</v>
      </c>
      <c r="H502" s="797" t="s">
        <v>796</v>
      </c>
      <c r="I502" s="797" t="s">
        <v>796</v>
      </c>
      <c r="J502" s="797" t="s">
        <v>796</v>
      </c>
      <c r="K502" s="797" t="s">
        <v>796</v>
      </c>
      <c r="L502" s="797" t="s">
        <v>796</v>
      </c>
      <c r="M502" s="797" t="s">
        <v>796</v>
      </c>
      <c r="N502" s="797" t="s">
        <v>796</v>
      </c>
      <c r="O502" s="797" t="s">
        <v>796</v>
      </c>
      <c r="P502" s="797" t="s">
        <v>796</v>
      </c>
      <c r="Q502" s="797">
        <v>179</v>
      </c>
      <c r="R502" s="797" t="s">
        <v>796</v>
      </c>
      <c r="S502" s="797">
        <v>179</v>
      </c>
      <c r="T502" s="797" t="s">
        <v>796</v>
      </c>
      <c r="U502" s="797" t="s">
        <v>796</v>
      </c>
      <c r="V502" s="797" t="s">
        <v>796</v>
      </c>
      <c r="W502" s="798" t="s">
        <v>67</v>
      </c>
    </row>
    <row r="503" spans="1:23" ht="12" customHeight="1" x14ac:dyDescent="0.15"/>
    <row r="504" spans="1:23" ht="12" customHeight="1" x14ac:dyDescent="0.15"/>
    <row r="505" spans="1:23" ht="12" customHeight="1" x14ac:dyDescent="0.15">
      <c r="K505" s="246" t="s">
        <v>86</v>
      </c>
      <c r="V505" s="249" t="s">
        <v>924</v>
      </c>
    </row>
    <row r="506" spans="1:23" s="244" customFormat="1" ht="21" customHeight="1" x14ac:dyDescent="0.15">
      <c r="A506" s="1026" t="s">
        <v>153</v>
      </c>
      <c r="B506" s="799" t="s">
        <v>298</v>
      </c>
      <c r="C506" s="790"/>
      <c r="D506" s="790"/>
      <c r="E506" s="790"/>
      <c r="F506" s="790"/>
      <c r="G506" s="790"/>
      <c r="H506" s="790"/>
      <c r="I506" s="790"/>
      <c r="J506" s="790"/>
      <c r="K506" s="790"/>
      <c r="L506" s="790"/>
      <c r="M506" s="790"/>
      <c r="N506" s="790"/>
      <c r="O506" s="790"/>
      <c r="P506" s="790"/>
      <c r="Q506" s="788"/>
      <c r="R506" s="800" t="s">
        <v>958</v>
      </c>
      <c r="S506" s="790"/>
      <c r="T506" s="790"/>
      <c r="U506" s="790"/>
      <c r="V506" s="790"/>
      <c r="W506" s="1029" t="s">
        <v>72</v>
      </c>
    </row>
    <row r="507" spans="1:23" s="244" customFormat="1" ht="21" customHeight="1" x14ac:dyDescent="0.15">
      <c r="A507" s="1027"/>
      <c r="B507" s="802" t="s">
        <v>959</v>
      </c>
      <c r="C507" s="789" t="s">
        <v>236</v>
      </c>
      <c r="D507" s="790"/>
      <c r="E507" s="790"/>
      <c r="F507" s="790"/>
      <c r="G507" s="790"/>
      <c r="H507" s="790"/>
      <c r="I507" s="790"/>
      <c r="J507" s="790"/>
      <c r="K507" s="788"/>
      <c r="L507" s="789" t="s">
        <v>221</v>
      </c>
      <c r="M507" s="790"/>
      <c r="N507" s="788"/>
      <c r="O507" s="789" t="s">
        <v>220</v>
      </c>
      <c r="P507" s="790"/>
      <c r="Q507" s="788"/>
      <c r="R507" s="1032" t="s">
        <v>251</v>
      </c>
      <c r="S507" s="789" t="s">
        <v>244</v>
      </c>
      <c r="T507" s="790"/>
      <c r="U507" s="790"/>
      <c r="V507" s="790"/>
      <c r="W507" s="1030"/>
    </row>
    <row r="508" spans="1:23" s="244" customFormat="1" ht="52.5" customHeight="1" x14ac:dyDescent="0.15">
      <c r="A508" s="1028"/>
      <c r="B508" s="245" t="s">
        <v>297</v>
      </c>
      <c r="C508" s="530" t="s">
        <v>923</v>
      </c>
      <c r="D508" s="245" t="s">
        <v>296</v>
      </c>
      <c r="E508" s="245" t="s">
        <v>719</v>
      </c>
      <c r="F508" s="245" t="s">
        <v>295</v>
      </c>
      <c r="G508" s="245" t="s">
        <v>222</v>
      </c>
      <c r="H508" s="245" t="s">
        <v>294</v>
      </c>
      <c r="I508" s="245" t="s">
        <v>219</v>
      </c>
      <c r="J508" s="245" t="s">
        <v>492</v>
      </c>
      <c r="K508" s="245" t="s">
        <v>240</v>
      </c>
      <c r="L508" s="530" t="s">
        <v>21</v>
      </c>
      <c r="M508" s="245" t="s">
        <v>293</v>
      </c>
      <c r="N508" s="245" t="s">
        <v>708</v>
      </c>
      <c r="O508" s="530" t="s">
        <v>45</v>
      </c>
      <c r="P508" s="245" t="s">
        <v>215</v>
      </c>
      <c r="Q508" s="245" t="s">
        <v>938</v>
      </c>
      <c r="R508" s="1033"/>
      <c r="S508" s="530" t="s">
        <v>920</v>
      </c>
      <c r="T508" s="245" t="s">
        <v>235</v>
      </c>
      <c r="U508" s="245" t="s">
        <v>929</v>
      </c>
      <c r="V508" s="247" t="s">
        <v>250</v>
      </c>
      <c r="W508" s="1031"/>
    </row>
    <row r="509" spans="1:23" s="241" customFormat="1" ht="9.75" customHeight="1" x14ac:dyDescent="0.15">
      <c r="A509" s="645" t="s">
        <v>831</v>
      </c>
      <c r="B509" s="792">
        <v>414</v>
      </c>
      <c r="C509" s="793">
        <v>4652</v>
      </c>
      <c r="D509" s="793">
        <v>72</v>
      </c>
      <c r="E509" s="793">
        <v>129</v>
      </c>
      <c r="F509" s="793">
        <v>36</v>
      </c>
      <c r="G509" s="793">
        <v>86</v>
      </c>
      <c r="H509" s="793">
        <v>173</v>
      </c>
      <c r="I509" s="793">
        <v>4036</v>
      </c>
      <c r="J509" s="793">
        <v>34</v>
      </c>
      <c r="K509" s="793">
        <v>86</v>
      </c>
      <c r="L509" s="793">
        <v>191</v>
      </c>
      <c r="M509" s="793">
        <v>34</v>
      </c>
      <c r="N509" s="793">
        <v>157</v>
      </c>
      <c r="O509" s="793">
        <v>311</v>
      </c>
      <c r="P509" s="793">
        <v>190</v>
      </c>
      <c r="Q509" s="793">
        <v>121</v>
      </c>
      <c r="R509" s="793">
        <v>133245</v>
      </c>
      <c r="S509" s="793">
        <v>133245</v>
      </c>
      <c r="T509" s="793">
        <v>26131</v>
      </c>
      <c r="U509" s="793">
        <v>93639</v>
      </c>
      <c r="V509" s="793">
        <v>13475</v>
      </c>
      <c r="W509" s="794" t="s">
        <v>517</v>
      </c>
    </row>
    <row r="510" spans="1:23" s="241" customFormat="1" ht="9.75" customHeight="1" x14ac:dyDescent="0.15">
      <c r="A510" s="448" t="s">
        <v>557</v>
      </c>
      <c r="B510" s="241" t="s">
        <v>796</v>
      </c>
      <c r="C510" s="241">
        <v>577</v>
      </c>
      <c r="D510" s="241">
        <v>75</v>
      </c>
      <c r="E510" s="241" t="s">
        <v>796</v>
      </c>
      <c r="F510" s="241">
        <v>29</v>
      </c>
      <c r="G510" s="241">
        <v>137</v>
      </c>
      <c r="H510" s="241">
        <v>122</v>
      </c>
      <c r="I510" s="241">
        <v>129</v>
      </c>
      <c r="J510" s="241">
        <v>52</v>
      </c>
      <c r="K510" s="241">
        <v>33</v>
      </c>
      <c r="L510" s="241">
        <v>356</v>
      </c>
      <c r="M510" s="241">
        <v>104</v>
      </c>
      <c r="N510" s="241">
        <v>252</v>
      </c>
      <c r="O510" s="241">
        <v>262</v>
      </c>
      <c r="P510" s="241">
        <v>124</v>
      </c>
      <c r="Q510" s="241">
        <v>138</v>
      </c>
      <c r="R510" s="241">
        <v>147278</v>
      </c>
      <c r="S510" s="241">
        <v>147278</v>
      </c>
      <c r="T510" s="241">
        <v>14309</v>
      </c>
      <c r="U510" s="241">
        <v>106158</v>
      </c>
      <c r="V510" s="241">
        <v>26811</v>
      </c>
      <c r="W510" s="242" t="s">
        <v>558</v>
      </c>
    </row>
    <row r="511" spans="1:23" s="241" customFormat="1" ht="9.75" customHeight="1" x14ac:dyDescent="0.15">
      <c r="A511" s="448" t="s">
        <v>682</v>
      </c>
      <c r="B511" s="241" t="s">
        <v>796</v>
      </c>
      <c r="C511" s="241">
        <v>392</v>
      </c>
      <c r="D511" s="241">
        <v>156</v>
      </c>
      <c r="E511" s="241" t="s">
        <v>796</v>
      </c>
      <c r="F511" s="241">
        <v>36</v>
      </c>
      <c r="G511" s="241">
        <v>95</v>
      </c>
      <c r="H511" s="241">
        <v>87</v>
      </c>
      <c r="I511" s="241" t="s">
        <v>796</v>
      </c>
      <c r="J511" s="241">
        <v>18</v>
      </c>
      <c r="K511" s="241" t="s">
        <v>796</v>
      </c>
      <c r="L511" s="241">
        <v>321</v>
      </c>
      <c r="M511" s="241">
        <v>85</v>
      </c>
      <c r="N511" s="241">
        <v>236</v>
      </c>
      <c r="O511" s="241">
        <v>263</v>
      </c>
      <c r="P511" s="241">
        <v>112</v>
      </c>
      <c r="Q511" s="241">
        <v>151</v>
      </c>
      <c r="R511" s="241">
        <v>236149</v>
      </c>
      <c r="S511" s="241">
        <v>236149</v>
      </c>
      <c r="T511" s="241">
        <v>15198</v>
      </c>
      <c r="U511" s="241">
        <v>167626</v>
      </c>
      <c r="V511" s="241">
        <v>53325</v>
      </c>
      <c r="W511" s="242" t="s">
        <v>683</v>
      </c>
    </row>
    <row r="512" spans="1:23" s="241" customFormat="1" ht="9.75" customHeight="1" x14ac:dyDescent="0.15">
      <c r="A512" s="448" t="s">
        <v>784</v>
      </c>
      <c r="B512" s="241" t="s">
        <v>796</v>
      </c>
      <c r="C512" s="241">
        <v>149</v>
      </c>
      <c r="D512" s="241">
        <v>11</v>
      </c>
      <c r="E512" s="241" t="s">
        <v>796</v>
      </c>
      <c r="F512" s="241">
        <v>18</v>
      </c>
      <c r="G512" s="241">
        <v>40</v>
      </c>
      <c r="H512" s="241">
        <v>17</v>
      </c>
      <c r="I512" s="241" t="s">
        <v>796</v>
      </c>
      <c r="J512" s="241">
        <v>18</v>
      </c>
      <c r="K512" s="241">
        <v>45</v>
      </c>
      <c r="L512" s="241">
        <v>226</v>
      </c>
      <c r="M512" s="241">
        <v>53</v>
      </c>
      <c r="N512" s="241">
        <v>173</v>
      </c>
      <c r="O512" s="241">
        <v>210</v>
      </c>
      <c r="P512" s="241">
        <v>110</v>
      </c>
      <c r="Q512" s="241">
        <v>100</v>
      </c>
      <c r="R512" s="241">
        <v>224841</v>
      </c>
      <c r="S512" s="241">
        <v>224841</v>
      </c>
      <c r="T512" s="241">
        <v>3641</v>
      </c>
      <c r="U512" s="241">
        <v>169143</v>
      </c>
      <c r="V512" s="241">
        <v>52057</v>
      </c>
      <c r="W512" s="242" t="s">
        <v>785</v>
      </c>
    </row>
    <row r="513" spans="1:23" s="241" customFormat="1" ht="9.75" customHeight="1" x14ac:dyDescent="0.15">
      <c r="A513" s="448" t="s">
        <v>832</v>
      </c>
      <c r="B513" s="241" t="s">
        <v>796</v>
      </c>
      <c r="C513" s="241">
        <v>189</v>
      </c>
      <c r="D513" s="241">
        <v>30</v>
      </c>
      <c r="E513" s="241" t="s">
        <v>796</v>
      </c>
      <c r="F513" s="241">
        <v>36</v>
      </c>
      <c r="G513" s="241">
        <v>106</v>
      </c>
      <c r="H513" s="241">
        <v>17</v>
      </c>
      <c r="I513" s="241" t="s">
        <v>796</v>
      </c>
      <c r="J513" s="241" t="s">
        <v>796</v>
      </c>
      <c r="K513" s="241" t="s">
        <v>796</v>
      </c>
      <c r="L513" s="241">
        <v>307</v>
      </c>
      <c r="M513" s="241">
        <v>86</v>
      </c>
      <c r="N513" s="241">
        <v>221</v>
      </c>
      <c r="O513" s="241">
        <v>268</v>
      </c>
      <c r="P513" s="241">
        <v>122</v>
      </c>
      <c r="Q513" s="241">
        <v>146</v>
      </c>
      <c r="R513" s="241">
        <v>153181</v>
      </c>
      <c r="S513" s="241">
        <v>153181</v>
      </c>
      <c r="T513" s="241">
        <v>5096</v>
      </c>
      <c r="U513" s="241">
        <v>110392</v>
      </c>
      <c r="V513" s="241">
        <v>37693</v>
      </c>
      <c r="W513" s="242" t="s">
        <v>833</v>
      </c>
    </row>
    <row r="514" spans="1:23" s="241" customFormat="1" ht="6.75" customHeight="1" x14ac:dyDescent="0.15">
      <c r="A514" s="464"/>
      <c r="W514" s="242"/>
    </row>
    <row r="515" spans="1:23" s="241" customFormat="1" ht="9.75" customHeight="1" x14ac:dyDescent="0.15">
      <c r="A515" s="448" t="s">
        <v>834</v>
      </c>
      <c r="B515" s="241" t="s">
        <v>796</v>
      </c>
      <c r="C515" s="241">
        <v>222</v>
      </c>
      <c r="D515" s="241">
        <v>11</v>
      </c>
      <c r="E515" s="241" t="s">
        <v>796</v>
      </c>
      <c r="F515" s="241">
        <v>36</v>
      </c>
      <c r="G515" s="241">
        <v>78</v>
      </c>
      <c r="H515" s="241">
        <v>34</v>
      </c>
      <c r="I515" s="241" t="s">
        <v>796</v>
      </c>
      <c r="J515" s="241">
        <v>18</v>
      </c>
      <c r="K515" s="241">
        <v>45</v>
      </c>
      <c r="L515" s="241">
        <v>274</v>
      </c>
      <c r="M515" s="241">
        <v>70</v>
      </c>
      <c r="N515" s="241">
        <v>204</v>
      </c>
      <c r="O515" s="241">
        <v>257</v>
      </c>
      <c r="P515" s="241">
        <v>125</v>
      </c>
      <c r="Q515" s="241">
        <v>132</v>
      </c>
      <c r="R515" s="241">
        <v>196191</v>
      </c>
      <c r="S515" s="241">
        <v>196191</v>
      </c>
      <c r="T515" s="241">
        <v>2139</v>
      </c>
      <c r="U515" s="241">
        <v>151514</v>
      </c>
      <c r="V515" s="241">
        <v>42538</v>
      </c>
      <c r="W515" s="242" t="s">
        <v>786</v>
      </c>
    </row>
    <row r="516" spans="1:23" s="241" customFormat="1" ht="9.75" customHeight="1" x14ac:dyDescent="0.15">
      <c r="A516" s="448" t="s">
        <v>835</v>
      </c>
      <c r="B516" s="241" t="s">
        <v>796</v>
      </c>
      <c r="C516" s="241">
        <v>179</v>
      </c>
      <c r="D516" s="241">
        <v>30</v>
      </c>
      <c r="E516" s="241" t="s">
        <v>796</v>
      </c>
      <c r="F516" s="241">
        <v>18</v>
      </c>
      <c r="G516" s="241">
        <v>131</v>
      </c>
      <c r="H516" s="241" t="s">
        <v>796</v>
      </c>
      <c r="I516" s="241" t="s">
        <v>796</v>
      </c>
      <c r="J516" s="241" t="s">
        <v>796</v>
      </c>
      <c r="K516" s="241" t="s">
        <v>796</v>
      </c>
      <c r="L516" s="241">
        <v>243</v>
      </c>
      <c r="M516" s="241">
        <v>69</v>
      </c>
      <c r="N516" s="241">
        <v>174</v>
      </c>
      <c r="O516" s="241">
        <v>222</v>
      </c>
      <c r="P516" s="241">
        <v>92</v>
      </c>
      <c r="Q516" s="241">
        <v>130</v>
      </c>
      <c r="R516" s="241">
        <v>149206</v>
      </c>
      <c r="S516" s="241">
        <v>149206</v>
      </c>
      <c r="T516" s="241">
        <v>5096</v>
      </c>
      <c r="U516" s="241">
        <v>106417</v>
      </c>
      <c r="V516" s="241">
        <v>37693</v>
      </c>
      <c r="W516" s="242" t="s">
        <v>836</v>
      </c>
    </row>
    <row r="517" spans="1:23" s="241" customFormat="1" ht="6.75" customHeight="1" x14ac:dyDescent="0.15">
      <c r="A517" s="464"/>
      <c r="W517" s="242"/>
    </row>
    <row r="518" spans="1:23" s="241" customFormat="1" ht="9.75" customHeight="1" x14ac:dyDescent="0.15">
      <c r="A518" s="448" t="s">
        <v>837</v>
      </c>
      <c r="B518" s="241" t="s">
        <v>796</v>
      </c>
      <c r="C518" s="241">
        <v>73</v>
      </c>
      <c r="D518" s="241" t="s">
        <v>796</v>
      </c>
      <c r="E518" s="241" t="s">
        <v>796</v>
      </c>
      <c r="F518" s="241">
        <v>18</v>
      </c>
      <c r="G518" s="241">
        <v>38</v>
      </c>
      <c r="H518" s="241">
        <v>17</v>
      </c>
      <c r="I518" s="241" t="s">
        <v>796</v>
      </c>
      <c r="J518" s="241" t="s">
        <v>796</v>
      </c>
      <c r="K518" s="241" t="s">
        <v>796</v>
      </c>
      <c r="L518" s="241">
        <v>80</v>
      </c>
      <c r="M518" s="241">
        <v>17</v>
      </c>
      <c r="N518" s="241">
        <v>63</v>
      </c>
      <c r="O518" s="241">
        <v>95</v>
      </c>
      <c r="P518" s="241">
        <v>46</v>
      </c>
      <c r="Q518" s="241">
        <v>49</v>
      </c>
      <c r="R518" s="241">
        <v>30787</v>
      </c>
      <c r="S518" s="241">
        <v>30787</v>
      </c>
      <c r="T518" s="241" t="s">
        <v>796</v>
      </c>
      <c r="U518" s="241">
        <v>26024</v>
      </c>
      <c r="V518" s="241">
        <v>4763</v>
      </c>
      <c r="W518" s="242" t="s">
        <v>787</v>
      </c>
    </row>
    <row r="519" spans="1:23" s="241" customFormat="1" ht="9.75" customHeight="1" x14ac:dyDescent="0.15">
      <c r="A519" s="448" t="s">
        <v>559</v>
      </c>
      <c r="B519" s="241" t="s">
        <v>796</v>
      </c>
      <c r="C519" s="241">
        <v>29</v>
      </c>
      <c r="D519" s="241">
        <v>12</v>
      </c>
      <c r="E519" s="241" t="s">
        <v>796</v>
      </c>
      <c r="F519" s="241" t="s">
        <v>796</v>
      </c>
      <c r="G519" s="241">
        <v>17</v>
      </c>
      <c r="H519" s="241" t="s">
        <v>796</v>
      </c>
      <c r="I519" s="241" t="s">
        <v>796</v>
      </c>
      <c r="J519" s="241" t="s">
        <v>796</v>
      </c>
      <c r="K519" s="241" t="s">
        <v>796</v>
      </c>
      <c r="L519" s="241">
        <v>84</v>
      </c>
      <c r="M519" s="241">
        <v>52</v>
      </c>
      <c r="N519" s="241">
        <v>32</v>
      </c>
      <c r="O519" s="241">
        <v>93</v>
      </c>
      <c r="P519" s="241">
        <v>29</v>
      </c>
      <c r="Q519" s="241">
        <v>64</v>
      </c>
      <c r="R519" s="241">
        <v>30799</v>
      </c>
      <c r="S519" s="241">
        <v>30799</v>
      </c>
      <c r="T519" s="241">
        <v>3058</v>
      </c>
      <c r="U519" s="241">
        <v>22978</v>
      </c>
      <c r="V519" s="241">
        <v>4763</v>
      </c>
      <c r="W519" s="242" t="s">
        <v>78</v>
      </c>
    </row>
    <row r="520" spans="1:23" s="241" customFormat="1" ht="9.75" customHeight="1" x14ac:dyDescent="0.15">
      <c r="A520" s="448" t="s">
        <v>560</v>
      </c>
      <c r="B520" s="241" t="s">
        <v>796</v>
      </c>
      <c r="C520" s="241">
        <v>35</v>
      </c>
      <c r="D520" s="241">
        <v>18</v>
      </c>
      <c r="E520" s="241" t="s">
        <v>796</v>
      </c>
      <c r="F520" s="241" t="s">
        <v>796</v>
      </c>
      <c r="G520" s="241">
        <v>17</v>
      </c>
      <c r="H520" s="241" t="s">
        <v>796</v>
      </c>
      <c r="I520" s="241" t="s">
        <v>796</v>
      </c>
      <c r="J520" s="241" t="s">
        <v>796</v>
      </c>
      <c r="K520" s="241" t="s">
        <v>796</v>
      </c>
      <c r="L520" s="241">
        <v>65</v>
      </c>
      <c r="M520" s="241">
        <v>17</v>
      </c>
      <c r="N520" s="241">
        <v>48</v>
      </c>
      <c r="O520" s="241">
        <v>34</v>
      </c>
      <c r="P520" s="241">
        <v>1</v>
      </c>
      <c r="Q520" s="241">
        <v>33</v>
      </c>
      <c r="R520" s="241">
        <v>50972</v>
      </c>
      <c r="S520" s="241">
        <v>50972</v>
      </c>
      <c r="T520" s="241">
        <v>2038</v>
      </c>
      <c r="U520" s="241">
        <v>36504</v>
      </c>
      <c r="V520" s="241">
        <v>12430</v>
      </c>
      <c r="W520" s="242" t="s">
        <v>79</v>
      </c>
    </row>
    <row r="521" spans="1:23" s="241" customFormat="1" ht="9.75" customHeight="1" x14ac:dyDescent="0.15">
      <c r="A521" s="448" t="s">
        <v>561</v>
      </c>
      <c r="B521" s="241" t="s">
        <v>796</v>
      </c>
      <c r="C521" s="241">
        <v>52</v>
      </c>
      <c r="D521" s="241" t="s">
        <v>796</v>
      </c>
      <c r="E521" s="241" t="s">
        <v>796</v>
      </c>
      <c r="F521" s="241">
        <v>18</v>
      </c>
      <c r="G521" s="241">
        <v>34</v>
      </c>
      <c r="H521" s="241" t="s">
        <v>796</v>
      </c>
      <c r="I521" s="241" t="s">
        <v>796</v>
      </c>
      <c r="J521" s="241" t="s">
        <v>796</v>
      </c>
      <c r="K521" s="241" t="s">
        <v>796</v>
      </c>
      <c r="L521" s="241">
        <v>78</v>
      </c>
      <c r="M521" s="241" t="s">
        <v>796</v>
      </c>
      <c r="N521" s="241">
        <v>78</v>
      </c>
      <c r="O521" s="241">
        <v>46</v>
      </c>
      <c r="P521" s="241">
        <v>46</v>
      </c>
      <c r="Q521" s="241" t="s">
        <v>796</v>
      </c>
      <c r="R521" s="241">
        <v>40623</v>
      </c>
      <c r="S521" s="241">
        <v>40623</v>
      </c>
      <c r="T521" s="241" t="s">
        <v>796</v>
      </c>
      <c r="U521" s="241">
        <v>24886</v>
      </c>
      <c r="V521" s="241">
        <v>15737</v>
      </c>
      <c r="W521" s="242" t="s">
        <v>80</v>
      </c>
    </row>
    <row r="522" spans="1:23" s="241" customFormat="1" ht="9.75" customHeight="1" x14ac:dyDescent="0.15">
      <c r="A522" s="448" t="s">
        <v>838</v>
      </c>
      <c r="B522" s="241" t="s">
        <v>796</v>
      </c>
      <c r="C522" s="241">
        <v>63</v>
      </c>
      <c r="D522" s="241" t="s">
        <v>796</v>
      </c>
      <c r="E522" s="241" t="s">
        <v>796</v>
      </c>
      <c r="F522" s="241" t="s">
        <v>796</v>
      </c>
      <c r="G522" s="241">
        <v>63</v>
      </c>
      <c r="H522" s="241" t="s">
        <v>796</v>
      </c>
      <c r="I522" s="241" t="s">
        <v>796</v>
      </c>
      <c r="J522" s="241" t="s">
        <v>796</v>
      </c>
      <c r="K522" s="241" t="s">
        <v>796</v>
      </c>
      <c r="L522" s="241">
        <v>16</v>
      </c>
      <c r="M522" s="241" t="s">
        <v>796</v>
      </c>
      <c r="N522" s="241">
        <v>16</v>
      </c>
      <c r="O522" s="241">
        <v>49</v>
      </c>
      <c r="P522" s="241">
        <v>16</v>
      </c>
      <c r="Q522" s="241">
        <v>33</v>
      </c>
      <c r="R522" s="241">
        <v>26812</v>
      </c>
      <c r="S522" s="241">
        <v>26812</v>
      </c>
      <c r="T522" s="241" t="s">
        <v>796</v>
      </c>
      <c r="U522" s="241">
        <v>22049</v>
      </c>
      <c r="V522" s="241">
        <v>4763</v>
      </c>
      <c r="W522" s="242" t="s">
        <v>839</v>
      </c>
    </row>
    <row r="523" spans="1:23" s="241" customFormat="1" ht="6.75" customHeight="1" x14ac:dyDescent="0.15">
      <c r="A523" s="464"/>
      <c r="W523" s="242"/>
    </row>
    <row r="524" spans="1:23" s="241" customFormat="1" ht="9.75" customHeight="1" x14ac:dyDescent="0.15">
      <c r="A524" s="448" t="s">
        <v>840</v>
      </c>
      <c r="B524" s="241" t="s">
        <v>796</v>
      </c>
      <c r="C524" s="241" t="s">
        <v>796</v>
      </c>
      <c r="D524" s="241" t="s">
        <v>796</v>
      </c>
      <c r="E524" s="241" t="s">
        <v>796</v>
      </c>
      <c r="F524" s="241" t="s">
        <v>796</v>
      </c>
      <c r="G524" s="241" t="s">
        <v>796</v>
      </c>
      <c r="H524" s="241" t="s">
        <v>796</v>
      </c>
      <c r="I524" s="241" t="s">
        <v>796</v>
      </c>
      <c r="J524" s="241" t="s">
        <v>796</v>
      </c>
      <c r="K524" s="241" t="s">
        <v>796</v>
      </c>
      <c r="L524" s="241">
        <v>31</v>
      </c>
      <c r="M524" s="241" t="s">
        <v>796</v>
      </c>
      <c r="N524" s="241">
        <v>31</v>
      </c>
      <c r="O524" s="241">
        <v>49</v>
      </c>
      <c r="P524" s="241">
        <v>31</v>
      </c>
      <c r="Q524" s="241">
        <v>18</v>
      </c>
      <c r="R524" s="241">
        <v>18478</v>
      </c>
      <c r="S524" s="241">
        <v>18478</v>
      </c>
      <c r="T524" s="241" t="s">
        <v>796</v>
      </c>
      <c r="U524" s="241">
        <v>18478</v>
      </c>
      <c r="V524" s="241" t="s">
        <v>796</v>
      </c>
      <c r="W524" s="242" t="s">
        <v>788</v>
      </c>
    </row>
    <row r="525" spans="1:23" s="241" customFormat="1" ht="9.75" customHeight="1" x14ac:dyDescent="0.15">
      <c r="A525" s="448" t="s">
        <v>562</v>
      </c>
      <c r="B525" s="241" t="s">
        <v>796</v>
      </c>
      <c r="C525" s="241">
        <v>38</v>
      </c>
      <c r="D525" s="241" t="s">
        <v>796</v>
      </c>
      <c r="E525" s="241" t="s">
        <v>796</v>
      </c>
      <c r="F525" s="241" t="s">
        <v>796</v>
      </c>
      <c r="G525" s="241">
        <v>38</v>
      </c>
      <c r="H525" s="241" t="s">
        <v>796</v>
      </c>
      <c r="I525" s="241" t="s">
        <v>796</v>
      </c>
      <c r="J525" s="241" t="s">
        <v>796</v>
      </c>
      <c r="K525" s="241" t="s">
        <v>796</v>
      </c>
      <c r="L525" s="241">
        <v>16</v>
      </c>
      <c r="M525" s="241" t="s">
        <v>796</v>
      </c>
      <c r="N525" s="241">
        <v>16</v>
      </c>
      <c r="O525" s="241">
        <v>16</v>
      </c>
      <c r="P525" s="241" t="s">
        <v>796</v>
      </c>
      <c r="Q525" s="241">
        <v>16</v>
      </c>
      <c r="R525" s="241">
        <v>9266</v>
      </c>
      <c r="S525" s="241">
        <v>9266</v>
      </c>
      <c r="T525" s="241" t="s">
        <v>796</v>
      </c>
      <c r="U525" s="241">
        <v>4503</v>
      </c>
      <c r="V525" s="241">
        <v>4763</v>
      </c>
      <c r="W525" s="242" t="s">
        <v>66</v>
      </c>
    </row>
    <row r="526" spans="1:23" s="241" customFormat="1" ht="9.75" customHeight="1" x14ac:dyDescent="0.15">
      <c r="A526" s="448" t="s">
        <v>563</v>
      </c>
      <c r="B526" s="241" t="s">
        <v>796</v>
      </c>
      <c r="C526" s="241">
        <v>35</v>
      </c>
      <c r="D526" s="241" t="s">
        <v>796</v>
      </c>
      <c r="E526" s="241" t="s">
        <v>796</v>
      </c>
      <c r="F526" s="241">
        <v>18</v>
      </c>
      <c r="G526" s="241" t="s">
        <v>796</v>
      </c>
      <c r="H526" s="241">
        <v>17</v>
      </c>
      <c r="I526" s="241" t="s">
        <v>796</v>
      </c>
      <c r="J526" s="241" t="s">
        <v>796</v>
      </c>
      <c r="K526" s="241" t="s">
        <v>796</v>
      </c>
      <c r="L526" s="241">
        <v>33</v>
      </c>
      <c r="M526" s="241">
        <v>17</v>
      </c>
      <c r="N526" s="241">
        <v>16</v>
      </c>
      <c r="O526" s="241">
        <v>30</v>
      </c>
      <c r="P526" s="241">
        <v>15</v>
      </c>
      <c r="Q526" s="241">
        <v>15</v>
      </c>
      <c r="R526" s="241">
        <v>3043</v>
      </c>
      <c r="S526" s="241">
        <v>3043</v>
      </c>
      <c r="T526" s="241" t="s">
        <v>796</v>
      </c>
      <c r="U526" s="241">
        <v>3043</v>
      </c>
      <c r="V526" s="241" t="s">
        <v>796</v>
      </c>
      <c r="W526" s="242" t="s">
        <v>67</v>
      </c>
    </row>
    <row r="527" spans="1:23" s="241" customFormat="1" ht="9.75" customHeight="1" x14ac:dyDescent="0.15">
      <c r="A527" s="448" t="s">
        <v>564</v>
      </c>
      <c r="B527" s="241" t="s">
        <v>796</v>
      </c>
      <c r="C527" s="241" t="s">
        <v>796</v>
      </c>
      <c r="D527" s="241" t="s">
        <v>796</v>
      </c>
      <c r="E527" s="241" t="s">
        <v>796</v>
      </c>
      <c r="F527" s="241" t="s">
        <v>796</v>
      </c>
      <c r="G527" s="241" t="s">
        <v>796</v>
      </c>
      <c r="H527" s="241" t="s">
        <v>796</v>
      </c>
      <c r="I527" s="241" t="s">
        <v>796</v>
      </c>
      <c r="J527" s="241" t="s">
        <v>796</v>
      </c>
      <c r="K527" s="241" t="s">
        <v>796</v>
      </c>
      <c r="L527" s="241">
        <v>33</v>
      </c>
      <c r="M527" s="241">
        <v>17</v>
      </c>
      <c r="N527" s="241">
        <v>16</v>
      </c>
      <c r="O527" s="241">
        <v>32</v>
      </c>
      <c r="P527" s="241">
        <v>15</v>
      </c>
      <c r="Q527" s="241">
        <v>17</v>
      </c>
      <c r="R527" s="241">
        <v>3106</v>
      </c>
      <c r="S527" s="241">
        <v>3106</v>
      </c>
      <c r="T527" s="241" t="s">
        <v>796</v>
      </c>
      <c r="U527" s="241">
        <v>3106</v>
      </c>
      <c r="V527" s="241" t="s">
        <v>796</v>
      </c>
      <c r="W527" s="242" t="s">
        <v>68</v>
      </c>
    </row>
    <row r="528" spans="1:23" s="241" customFormat="1" ht="9.75" customHeight="1" x14ac:dyDescent="0.15">
      <c r="A528" s="448" t="s">
        <v>565</v>
      </c>
      <c r="B528" s="241" t="s">
        <v>796</v>
      </c>
      <c r="C528" s="241">
        <v>29</v>
      </c>
      <c r="D528" s="241">
        <v>12</v>
      </c>
      <c r="E528" s="241" t="s">
        <v>796</v>
      </c>
      <c r="F528" s="241" t="s">
        <v>796</v>
      </c>
      <c r="G528" s="241">
        <v>17</v>
      </c>
      <c r="H528" s="241" t="s">
        <v>796</v>
      </c>
      <c r="I528" s="241" t="s">
        <v>796</v>
      </c>
      <c r="J528" s="241" t="s">
        <v>796</v>
      </c>
      <c r="K528" s="241" t="s">
        <v>796</v>
      </c>
      <c r="L528" s="241" t="s">
        <v>796</v>
      </c>
      <c r="M528" s="241" t="s">
        <v>796</v>
      </c>
      <c r="N528" s="241" t="s">
        <v>796</v>
      </c>
      <c r="O528" s="241">
        <v>30</v>
      </c>
      <c r="P528" s="241" t="s">
        <v>796</v>
      </c>
      <c r="Q528" s="241">
        <v>30</v>
      </c>
      <c r="R528" s="241">
        <v>6057</v>
      </c>
      <c r="S528" s="241">
        <v>6057</v>
      </c>
      <c r="T528" s="241" t="s">
        <v>796</v>
      </c>
      <c r="U528" s="241">
        <v>6057</v>
      </c>
      <c r="V528" s="241" t="s">
        <v>796</v>
      </c>
      <c r="W528" s="242" t="s">
        <v>81</v>
      </c>
    </row>
    <row r="529" spans="1:23" s="241" customFormat="1" ht="9.75" customHeight="1" x14ac:dyDescent="0.15">
      <c r="A529" s="448" t="s">
        <v>566</v>
      </c>
      <c r="B529" s="241" t="s">
        <v>796</v>
      </c>
      <c r="C529" s="241" t="s">
        <v>796</v>
      </c>
      <c r="D529" s="241" t="s">
        <v>796</v>
      </c>
      <c r="E529" s="241" t="s">
        <v>796</v>
      </c>
      <c r="F529" s="241" t="s">
        <v>796</v>
      </c>
      <c r="G529" s="241" t="s">
        <v>796</v>
      </c>
      <c r="H529" s="241" t="s">
        <v>796</v>
      </c>
      <c r="I529" s="241" t="s">
        <v>796</v>
      </c>
      <c r="J529" s="241" t="s">
        <v>796</v>
      </c>
      <c r="K529" s="241" t="s">
        <v>796</v>
      </c>
      <c r="L529" s="241">
        <v>51</v>
      </c>
      <c r="M529" s="241">
        <v>35</v>
      </c>
      <c r="N529" s="241">
        <v>16</v>
      </c>
      <c r="O529" s="241">
        <v>31</v>
      </c>
      <c r="P529" s="241">
        <v>14</v>
      </c>
      <c r="Q529" s="241">
        <v>17</v>
      </c>
      <c r="R529" s="241">
        <v>21636</v>
      </c>
      <c r="S529" s="241">
        <v>21636</v>
      </c>
      <c r="T529" s="241">
        <v>3058</v>
      </c>
      <c r="U529" s="241">
        <v>13815</v>
      </c>
      <c r="V529" s="241">
        <v>4763</v>
      </c>
      <c r="W529" s="242" t="s">
        <v>82</v>
      </c>
    </row>
    <row r="530" spans="1:23" s="241" customFormat="1" ht="9.75" customHeight="1" x14ac:dyDescent="0.15">
      <c r="A530" s="448" t="s">
        <v>567</v>
      </c>
      <c r="B530" s="241" t="s">
        <v>796</v>
      </c>
      <c r="C530" s="241">
        <v>35</v>
      </c>
      <c r="D530" s="241">
        <v>18</v>
      </c>
      <c r="E530" s="241" t="s">
        <v>796</v>
      </c>
      <c r="F530" s="241" t="s">
        <v>796</v>
      </c>
      <c r="G530" s="241">
        <v>17</v>
      </c>
      <c r="H530" s="241" t="s">
        <v>796</v>
      </c>
      <c r="I530" s="241" t="s">
        <v>796</v>
      </c>
      <c r="J530" s="241" t="s">
        <v>796</v>
      </c>
      <c r="K530" s="241" t="s">
        <v>796</v>
      </c>
      <c r="L530" s="241">
        <v>33</v>
      </c>
      <c r="M530" s="241">
        <v>17</v>
      </c>
      <c r="N530" s="241">
        <v>16</v>
      </c>
      <c r="O530" s="241">
        <v>1</v>
      </c>
      <c r="P530" s="241">
        <v>1</v>
      </c>
      <c r="Q530" s="241" t="s">
        <v>796</v>
      </c>
      <c r="R530" s="241">
        <v>14532</v>
      </c>
      <c r="S530" s="241">
        <v>14532</v>
      </c>
      <c r="T530" s="241">
        <v>607</v>
      </c>
      <c r="U530" s="241">
        <v>13925</v>
      </c>
      <c r="V530" s="241" t="s">
        <v>796</v>
      </c>
      <c r="W530" s="242" t="s">
        <v>83</v>
      </c>
    </row>
    <row r="531" spans="1:23" s="241" customFormat="1" ht="9.75" customHeight="1" x14ac:dyDescent="0.15">
      <c r="A531" s="448" t="s">
        <v>568</v>
      </c>
      <c r="B531" s="241" t="s">
        <v>796</v>
      </c>
      <c r="C531" s="241" t="s">
        <v>796</v>
      </c>
      <c r="D531" s="241" t="s">
        <v>796</v>
      </c>
      <c r="E531" s="241" t="s">
        <v>796</v>
      </c>
      <c r="F531" s="241" t="s">
        <v>796</v>
      </c>
      <c r="G531" s="241" t="s">
        <v>796</v>
      </c>
      <c r="H531" s="241" t="s">
        <v>796</v>
      </c>
      <c r="I531" s="241" t="s">
        <v>796</v>
      </c>
      <c r="J531" s="241" t="s">
        <v>796</v>
      </c>
      <c r="K531" s="241" t="s">
        <v>796</v>
      </c>
      <c r="L531" s="241">
        <v>16</v>
      </c>
      <c r="M531" s="241" t="s">
        <v>796</v>
      </c>
      <c r="N531" s="241">
        <v>16</v>
      </c>
      <c r="O531" s="241" t="s">
        <v>796</v>
      </c>
      <c r="P531" s="241" t="s">
        <v>796</v>
      </c>
      <c r="Q531" s="241" t="s">
        <v>796</v>
      </c>
      <c r="R531" s="241">
        <v>15327</v>
      </c>
      <c r="S531" s="241">
        <v>15327</v>
      </c>
      <c r="T531" s="241" t="s">
        <v>796</v>
      </c>
      <c r="U531" s="241">
        <v>9113</v>
      </c>
      <c r="V531" s="241">
        <v>6214</v>
      </c>
      <c r="W531" s="242" t="s">
        <v>84</v>
      </c>
    </row>
    <row r="532" spans="1:23" s="241" customFormat="1" ht="9.75" customHeight="1" x14ac:dyDescent="0.15">
      <c r="A532" s="448" t="s">
        <v>569</v>
      </c>
      <c r="B532" s="241" t="s">
        <v>796</v>
      </c>
      <c r="C532" s="241" t="s">
        <v>796</v>
      </c>
      <c r="D532" s="241" t="s">
        <v>796</v>
      </c>
      <c r="E532" s="241" t="s">
        <v>796</v>
      </c>
      <c r="F532" s="241" t="s">
        <v>796</v>
      </c>
      <c r="G532" s="241" t="s">
        <v>796</v>
      </c>
      <c r="H532" s="241" t="s">
        <v>796</v>
      </c>
      <c r="I532" s="241" t="s">
        <v>796</v>
      </c>
      <c r="J532" s="241" t="s">
        <v>796</v>
      </c>
      <c r="K532" s="241" t="s">
        <v>796</v>
      </c>
      <c r="L532" s="241">
        <v>16</v>
      </c>
      <c r="M532" s="241" t="s">
        <v>796</v>
      </c>
      <c r="N532" s="241">
        <v>16</v>
      </c>
      <c r="O532" s="241">
        <v>33</v>
      </c>
      <c r="P532" s="241" t="s">
        <v>796</v>
      </c>
      <c r="Q532" s="241">
        <v>33</v>
      </c>
      <c r="R532" s="241">
        <v>21113</v>
      </c>
      <c r="S532" s="241">
        <v>21113</v>
      </c>
      <c r="T532" s="241">
        <v>1431</v>
      </c>
      <c r="U532" s="241">
        <v>13466</v>
      </c>
      <c r="V532" s="241">
        <v>6216</v>
      </c>
      <c r="W532" s="242" t="s">
        <v>85</v>
      </c>
    </row>
    <row r="533" spans="1:23" s="241" customFormat="1" ht="9.75" customHeight="1" x14ac:dyDescent="0.15">
      <c r="A533" s="448" t="s">
        <v>570</v>
      </c>
      <c r="B533" s="241" t="s">
        <v>796</v>
      </c>
      <c r="C533" s="241">
        <v>17</v>
      </c>
      <c r="D533" s="241" t="s">
        <v>796</v>
      </c>
      <c r="E533" s="241" t="s">
        <v>796</v>
      </c>
      <c r="F533" s="241" t="s">
        <v>796</v>
      </c>
      <c r="G533" s="241">
        <v>17</v>
      </c>
      <c r="H533" s="241" t="s">
        <v>796</v>
      </c>
      <c r="I533" s="241" t="s">
        <v>796</v>
      </c>
      <c r="J533" s="241" t="s">
        <v>796</v>
      </c>
      <c r="K533" s="241" t="s">
        <v>796</v>
      </c>
      <c r="L533" s="241">
        <v>16</v>
      </c>
      <c r="M533" s="241" t="s">
        <v>796</v>
      </c>
      <c r="N533" s="241">
        <v>16</v>
      </c>
      <c r="O533" s="241">
        <v>15</v>
      </c>
      <c r="P533" s="241">
        <v>15</v>
      </c>
      <c r="Q533" s="241" t="s">
        <v>796</v>
      </c>
      <c r="R533" s="241">
        <v>26497</v>
      </c>
      <c r="S533" s="241">
        <v>26497</v>
      </c>
      <c r="T533" s="241" t="s">
        <v>796</v>
      </c>
      <c r="U533" s="241">
        <v>15522</v>
      </c>
      <c r="V533" s="241">
        <v>10975</v>
      </c>
      <c r="W533" s="242" t="s">
        <v>69</v>
      </c>
    </row>
    <row r="534" spans="1:23" s="241" customFormat="1" ht="9.75" customHeight="1" x14ac:dyDescent="0.15">
      <c r="A534" s="448" t="s">
        <v>571</v>
      </c>
      <c r="B534" s="241" t="s">
        <v>796</v>
      </c>
      <c r="C534" s="241" t="s">
        <v>796</v>
      </c>
      <c r="D534" s="241" t="s">
        <v>796</v>
      </c>
      <c r="E534" s="241" t="s">
        <v>796</v>
      </c>
      <c r="F534" s="241" t="s">
        <v>796</v>
      </c>
      <c r="G534" s="241" t="s">
        <v>796</v>
      </c>
      <c r="H534" s="241" t="s">
        <v>796</v>
      </c>
      <c r="I534" s="241" t="s">
        <v>796</v>
      </c>
      <c r="J534" s="241" t="s">
        <v>796</v>
      </c>
      <c r="K534" s="241" t="s">
        <v>796</v>
      </c>
      <c r="L534" s="241">
        <v>31</v>
      </c>
      <c r="M534" s="241" t="s">
        <v>796</v>
      </c>
      <c r="N534" s="241">
        <v>31</v>
      </c>
      <c r="O534" s="241" t="s">
        <v>796</v>
      </c>
      <c r="P534" s="241" t="s">
        <v>796</v>
      </c>
      <c r="Q534" s="241" t="s">
        <v>796</v>
      </c>
      <c r="R534" s="241">
        <v>7864</v>
      </c>
      <c r="S534" s="241">
        <v>7864</v>
      </c>
      <c r="T534" s="241" t="s">
        <v>796</v>
      </c>
      <c r="U534" s="241">
        <v>7864</v>
      </c>
      <c r="V534" s="241" t="s">
        <v>796</v>
      </c>
      <c r="W534" s="242" t="s">
        <v>70</v>
      </c>
    </row>
    <row r="535" spans="1:23" s="241" customFormat="1" ht="9.75" customHeight="1" x14ac:dyDescent="0.15">
      <c r="A535" s="448" t="s">
        <v>572</v>
      </c>
      <c r="B535" s="241" t="s">
        <v>796</v>
      </c>
      <c r="C535" s="241">
        <v>35</v>
      </c>
      <c r="D535" s="241" t="s">
        <v>796</v>
      </c>
      <c r="E535" s="241" t="s">
        <v>796</v>
      </c>
      <c r="F535" s="241">
        <v>18</v>
      </c>
      <c r="G535" s="241">
        <v>17</v>
      </c>
      <c r="H535" s="241" t="s">
        <v>796</v>
      </c>
      <c r="I535" s="241" t="s">
        <v>796</v>
      </c>
      <c r="J535" s="241" t="s">
        <v>796</v>
      </c>
      <c r="K535" s="241" t="s">
        <v>796</v>
      </c>
      <c r="L535" s="241">
        <v>31</v>
      </c>
      <c r="M535" s="241" t="s">
        <v>796</v>
      </c>
      <c r="N535" s="241">
        <v>31</v>
      </c>
      <c r="O535" s="241">
        <v>31</v>
      </c>
      <c r="P535" s="241">
        <v>31</v>
      </c>
      <c r="Q535" s="241" t="s">
        <v>796</v>
      </c>
      <c r="R535" s="241">
        <v>6262</v>
      </c>
      <c r="S535" s="241">
        <v>6262</v>
      </c>
      <c r="T535" s="241" t="s">
        <v>796</v>
      </c>
      <c r="U535" s="241">
        <v>1500</v>
      </c>
      <c r="V535" s="241">
        <v>4762</v>
      </c>
      <c r="W535" s="242" t="s">
        <v>71</v>
      </c>
    </row>
    <row r="536" spans="1:23" s="241" customFormat="1" ht="9.75" customHeight="1" x14ac:dyDescent="0.15">
      <c r="A536" s="448" t="s">
        <v>841</v>
      </c>
      <c r="B536" s="241" t="s">
        <v>796</v>
      </c>
      <c r="C536" s="241">
        <v>17</v>
      </c>
      <c r="D536" s="241" t="s">
        <v>796</v>
      </c>
      <c r="E536" s="241" t="s">
        <v>796</v>
      </c>
      <c r="F536" s="241" t="s">
        <v>796</v>
      </c>
      <c r="G536" s="241">
        <v>17</v>
      </c>
      <c r="H536" s="241" t="s">
        <v>796</v>
      </c>
      <c r="I536" s="241" t="s">
        <v>796</v>
      </c>
      <c r="J536" s="241" t="s">
        <v>796</v>
      </c>
      <c r="K536" s="241" t="s">
        <v>796</v>
      </c>
      <c r="L536" s="241">
        <v>16</v>
      </c>
      <c r="M536" s="241" t="s">
        <v>796</v>
      </c>
      <c r="N536" s="241">
        <v>16</v>
      </c>
      <c r="O536" s="241" t="s">
        <v>796</v>
      </c>
      <c r="P536" s="241" t="s">
        <v>796</v>
      </c>
      <c r="Q536" s="241" t="s">
        <v>796</v>
      </c>
      <c r="R536" s="241">
        <v>4760</v>
      </c>
      <c r="S536" s="241">
        <v>4760</v>
      </c>
      <c r="T536" s="241" t="s">
        <v>796</v>
      </c>
      <c r="U536" s="241">
        <v>4760</v>
      </c>
      <c r="V536" s="241" t="s">
        <v>796</v>
      </c>
      <c r="W536" s="242" t="s">
        <v>842</v>
      </c>
    </row>
    <row r="537" spans="1:23" s="241" customFormat="1" ht="9.75" customHeight="1" x14ac:dyDescent="0.15">
      <c r="A537" s="448" t="s">
        <v>573</v>
      </c>
      <c r="B537" s="241" t="s">
        <v>796</v>
      </c>
      <c r="C537" s="241">
        <v>11</v>
      </c>
      <c r="D537" s="241" t="s">
        <v>796</v>
      </c>
      <c r="E537" s="241" t="s">
        <v>796</v>
      </c>
      <c r="F537" s="241" t="s">
        <v>796</v>
      </c>
      <c r="G537" s="241">
        <v>11</v>
      </c>
      <c r="H537" s="241" t="s">
        <v>796</v>
      </c>
      <c r="I537" s="241" t="s">
        <v>796</v>
      </c>
      <c r="J537" s="241" t="s">
        <v>796</v>
      </c>
      <c r="K537" s="241" t="s">
        <v>796</v>
      </c>
      <c r="L537" s="241" t="s">
        <v>796</v>
      </c>
      <c r="M537" s="241" t="s">
        <v>796</v>
      </c>
      <c r="N537" s="241" t="s">
        <v>796</v>
      </c>
      <c r="O537" s="241">
        <v>49</v>
      </c>
      <c r="P537" s="241">
        <v>16</v>
      </c>
      <c r="Q537" s="241">
        <v>33</v>
      </c>
      <c r="R537" s="241">
        <v>10977</v>
      </c>
      <c r="S537" s="241">
        <v>10977</v>
      </c>
      <c r="T537" s="241" t="s">
        <v>796</v>
      </c>
      <c r="U537" s="241">
        <v>10977</v>
      </c>
      <c r="V537" s="241" t="s">
        <v>796</v>
      </c>
      <c r="W537" s="242" t="s">
        <v>66</v>
      </c>
    </row>
    <row r="538" spans="1:23" s="241" customFormat="1" ht="9.75" customHeight="1" x14ac:dyDescent="0.15">
      <c r="A538" s="795" t="s">
        <v>574</v>
      </c>
      <c r="B538" s="796" t="s">
        <v>796</v>
      </c>
      <c r="C538" s="797">
        <v>35</v>
      </c>
      <c r="D538" s="797" t="s">
        <v>796</v>
      </c>
      <c r="E538" s="797" t="s">
        <v>796</v>
      </c>
      <c r="F538" s="797" t="s">
        <v>796</v>
      </c>
      <c r="G538" s="797">
        <v>35</v>
      </c>
      <c r="H538" s="797" t="s">
        <v>796</v>
      </c>
      <c r="I538" s="797" t="s">
        <v>796</v>
      </c>
      <c r="J538" s="797" t="s">
        <v>796</v>
      </c>
      <c r="K538" s="797" t="s">
        <v>796</v>
      </c>
      <c r="L538" s="797" t="s">
        <v>796</v>
      </c>
      <c r="M538" s="797" t="s">
        <v>796</v>
      </c>
      <c r="N538" s="797" t="s">
        <v>796</v>
      </c>
      <c r="O538" s="797" t="s">
        <v>796</v>
      </c>
      <c r="P538" s="797" t="s">
        <v>796</v>
      </c>
      <c r="Q538" s="797" t="s">
        <v>796</v>
      </c>
      <c r="R538" s="797">
        <v>11075</v>
      </c>
      <c r="S538" s="797">
        <v>11075</v>
      </c>
      <c r="T538" s="797" t="s">
        <v>796</v>
      </c>
      <c r="U538" s="797">
        <v>6312</v>
      </c>
      <c r="V538" s="797">
        <v>4763</v>
      </c>
      <c r="W538" s="798" t="s">
        <v>67</v>
      </c>
    </row>
    <row r="539" spans="1:23" ht="12" customHeight="1" x14ac:dyDescent="0.15"/>
    <row r="540" spans="1:23" ht="12" customHeight="1" x14ac:dyDescent="0.15"/>
    <row r="541" spans="1:23" ht="12" customHeight="1" x14ac:dyDescent="0.15"/>
    <row r="542" spans="1:23" s="244" customFormat="1" ht="21" customHeight="1" x14ac:dyDescent="0.15">
      <c r="A542" s="1026" t="s">
        <v>153</v>
      </c>
      <c r="B542" s="789" t="s">
        <v>248</v>
      </c>
      <c r="C542" s="790"/>
      <c r="D542" s="790"/>
      <c r="E542" s="790"/>
      <c r="F542" s="788"/>
      <c r="G542" s="789" t="s">
        <v>247</v>
      </c>
      <c r="H542" s="790"/>
      <c r="I542" s="790"/>
      <c r="J542" s="788"/>
      <c r="K542" s="1029" t="s">
        <v>72</v>
      </c>
    </row>
    <row r="543" spans="1:23" s="244" customFormat="1" ht="21" customHeight="1" x14ac:dyDescent="0.15">
      <c r="A543" s="1027"/>
      <c r="B543" s="1032" t="s">
        <v>960</v>
      </c>
      <c r="C543" s="789" t="s">
        <v>244</v>
      </c>
      <c r="D543" s="790"/>
      <c r="E543" s="790"/>
      <c r="F543" s="788"/>
      <c r="G543" s="1032" t="s">
        <v>246</v>
      </c>
      <c r="H543" s="789" t="s">
        <v>244</v>
      </c>
      <c r="I543" s="790"/>
      <c r="J543" s="788"/>
      <c r="K543" s="1030"/>
    </row>
    <row r="544" spans="1:23" s="244" customFormat="1" ht="52.5" customHeight="1" x14ac:dyDescent="0.15">
      <c r="A544" s="1028"/>
      <c r="B544" s="1033"/>
      <c r="C544" s="530" t="s">
        <v>920</v>
      </c>
      <c r="D544" s="245" t="s">
        <v>235</v>
      </c>
      <c r="E544" s="245" t="s">
        <v>929</v>
      </c>
      <c r="F544" s="245" t="s">
        <v>250</v>
      </c>
      <c r="G544" s="1033"/>
      <c r="H544" s="530" t="s">
        <v>920</v>
      </c>
      <c r="I544" s="245" t="s">
        <v>235</v>
      </c>
      <c r="J544" s="245" t="s">
        <v>929</v>
      </c>
      <c r="K544" s="1031"/>
    </row>
    <row r="545" spans="1:11" s="241" customFormat="1" ht="9.75" customHeight="1" x14ac:dyDescent="0.15">
      <c r="A545" s="645" t="s">
        <v>831</v>
      </c>
      <c r="B545" s="792">
        <v>110328</v>
      </c>
      <c r="C545" s="793">
        <v>110328</v>
      </c>
      <c r="D545" s="793">
        <v>9217</v>
      </c>
      <c r="E545" s="793">
        <v>87636</v>
      </c>
      <c r="F545" s="793">
        <v>13475</v>
      </c>
      <c r="G545" s="793">
        <v>22917</v>
      </c>
      <c r="H545" s="793">
        <v>22917</v>
      </c>
      <c r="I545" s="793">
        <v>16914</v>
      </c>
      <c r="J545" s="803">
        <v>6003</v>
      </c>
      <c r="K545" s="794" t="s">
        <v>517</v>
      </c>
    </row>
    <row r="546" spans="1:11" s="241" customFormat="1" ht="9.75" customHeight="1" x14ac:dyDescent="0.15">
      <c r="A546" s="448" t="s">
        <v>557</v>
      </c>
      <c r="B546" s="241">
        <v>133767</v>
      </c>
      <c r="C546" s="241">
        <v>133767</v>
      </c>
      <c r="D546" s="241">
        <v>3740</v>
      </c>
      <c r="E546" s="241">
        <v>103216</v>
      </c>
      <c r="F546" s="241">
        <v>26811</v>
      </c>
      <c r="G546" s="241">
        <v>13511</v>
      </c>
      <c r="H546" s="241">
        <v>13511</v>
      </c>
      <c r="I546" s="241">
        <v>10569</v>
      </c>
      <c r="J546" s="243">
        <v>2942</v>
      </c>
      <c r="K546" s="242" t="s">
        <v>558</v>
      </c>
    </row>
    <row r="547" spans="1:11" s="241" customFormat="1" ht="9.75" customHeight="1" x14ac:dyDescent="0.15">
      <c r="A547" s="448" t="s">
        <v>682</v>
      </c>
      <c r="B547" s="241">
        <v>227133</v>
      </c>
      <c r="C547" s="241">
        <v>227133</v>
      </c>
      <c r="D547" s="241">
        <v>6182</v>
      </c>
      <c r="E547" s="241">
        <v>167626</v>
      </c>
      <c r="F547" s="241">
        <v>53325</v>
      </c>
      <c r="G547" s="241">
        <v>9016</v>
      </c>
      <c r="H547" s="241">
        <v>9016</v>
      </c>
      <c r="I547" s="241">
        <v>9016</v>
      </c>
      <c r="J547" s="243" t="s">
        <v>796</v>
      </c>
      <c r="K547" s="242" t="s">
        <v>683</v>
      </c>
    </row>
    <row r="548" spans="1:11" s="241" customFormat="1" ht="9.75" customHeight="1" x14ac:dyDescent="0.15">
      <c r="A548" s="448" t="s">
        <v>784</v>
      </c>
      <c r="B548" s="241">
        <v>218966</v>
      </c>
      <c r="C548" s="241">
        <v>218966</v>
      </c>
      <c r="D548" s="241">
        <v>802</v>
      </c>
      <c r="E548" s="241">
        <v>166107</v>
      </c>
      <c r="F548" s="241">
        <v>52057</v>
      </c>
      <c r="G548" s="241">
        <v>5875</v>
      </c>
      <c r="H548" s="241">
        <v>5875</v>
      </c>
      <c r="I548" s="241">
        <v>2839</v>
      </c>
      <c r="J548" s="243">
        <v>3036</v>
      </c>
      <c r="K548" s="242" t="s">
        <v>785</v>
      </c>
    </row>
    <row r="549" spans="1:11" s="241" customFormat="1" ht="9.75" customHeight="1" x14ac:dyDescent="0.15">
      <c r="A549" s="448" t="s">
        <v>832</v>
      </c>
      <c r="B549" s="241">
        <v>148746</v>
      </c>
      <c r="C549" s="241">
        <v>148746</v>
      </c>
      <c r="D549" s="241">
        <v>2163</v>
      </c>
      <c r="E549" s="241">
        <v>108890</v>
      </c>
      <c r="F549" s="241">
        <v>37693</v>
      </c>
      <c r="G549" s="241">
        <v>4435</v>
      </c>
      <c r="H549" s="241">
        <v>4435</v>
      </c>
      <c r="I549" s="241">
        <v>2933</v>
      </c>
      <c r="J549" s="243">
        <v>1502</v>
      </c>
      <c r="K549" s="242" t="s">
        <v>833</v>
      </c>
    </row>
    <row r="550" spans="1:11" s="241" customFormat="1" ht="6.75" customHeight="1" x14ac:dyDescent="0.15">
      <c r="A550" s="464"/>
      <c r="J550" s="243"/>
      <c r="K550" s="242"/>
    </row>
    <row r="551" spans="1:11" s="241" customFormat="1" ht="9.75" customHeight="1" x14ac:dyDescent="0.15">
      <c r="A551" s="448" t="s">
        <v>834</v>
      </c>
      <c r="B551" s="241">
        <v>191818</v>
      </c>
      <c r="C551" s="241">
        <v>191818</v>
      </c>
      <c r="D551" s="241">
        <v>802</v>
      </c>
      <c r="E551" s="241">
        <v>148478</v>
      </c>
      <c r="F551" s="241">
        <v>42538</v>
      </c>
      <c r="G551" s="241">
        <v>4373</v>
      </c>
      <c r="H551" s="241">
        <v>4373</v>
      </c>
      <c r="I551" s="241">
        <v>1337</v>
      </c>
      <c r="J551" s="243">
        <v>3036</v>
      </c>
      <c r="K551" s="242" t="s">
        <v>786</v>
      </c>
    </row>
    <row r="552" spans="1:11" s="241" customFormat="1" ht="9.75" customHeight="1" x14ac:dyDescent="0.15">
      <c r="A552" s="448" t="s">
        <v>835</v>
      </c>
      <c r="B552" s="241">
        <v>144771</v>
      </c>
      <c r="C552" s="241">
        <v>144771</v>
      </c>
      <c r="D552" s="241">
        <v>2163</v>
      </c>
      <c r="E552" s="241">
        <v>104915</v>
      </c>
      <c r="F552" s="241">
        <v>37693</v>
      </c>
      <c r="G552" s="241">
        <v>4435</v>
      </c>
      <c r="H552" s="241">
        <v>4435</v>
      </c>
      <c r="I552" s="241">
        <v>2933</v>
      </c>
      <c r="J552" s="243">
        <v>1502</v>
      </c>
      <c r="K552" s="242" t="s">
        <v>836</v>
      </c>
    </row>
    <row r="553" spans="1:11" s="241" customFormat="1" ht="6.75" customHeight="1" x14ac:dyDescent="0.15">
      <c r="A553" s="464"/>
      <c r="J553" s="243"/>
      <c r="K553" s="242"/>
    </row>
    <row r="554" spans="1:11" s="241" customFormat="1" ht="9.75" customHeight="1" x14ac:dyDescent="0.15">
      <c r="A554" s="448" t="s">
        <v>837</v>
      </c>
      <c r="B554" s="241">
        <v>30787</v>
      </c>
      <c r="C554" s="241">
        <v>30787</v>
      </c>
      <c r="D554" s="241" t="s">
        <v>796</v>
      </c>
      <c r="E554" s="241">
        <v>26024</v>
      </c>
      <c r="F554" s="241">
        <v>4763</v>
      </c>
      <c r="G554" s="241" t="s">
        <v>796</v>
      </c>
      <c r="H554" s="241" t="s">
        <v>796</v>
      </c>
      <c r="I554" s="241" t="s">
        <v>796</v>
      </c>
      <c r="J554" s="243" t="s">
        <v>796</v>
      </c>
      <c r="K554" s="242" t="s">
        <v>787</v>
      </c>
    </row>
    <row r="555" spans="1:11" s="241" customFormat="1" ht="9.75" customHeight="1" x14ac:dyDescent="0.15">
      <c r="A555" s="448" t="s">
        <v>559</v>
      </c>
      <c r="B555" s="241">
        <v>27795</v>
      </c>
      <c r="C555" s="241">
        <v>27795</v>
      </c>
      <c r="D555" s="241">
        <v>1556</v>
      </c>
      <c r="E555" s="241">
        <v>21476</v>
      </c>
      <c r="F555" s="241">
        <v>4763</v>
      </c>
      <c r="G555" s="241">
        <v>3004</v>
      </c>
      <c r="H555" s="241">
        <v>3004</v>
      </c>
      <c r="I555" s="241">
        <v>1502</v>
      </c>
      <c r="J555" s="243">
        <v>1502</v>
      </c>
      <c r="K555" s="242" t="s">
        <v>78</v>
      </c>
    </row>
    <row r="556" spans="1:11" s="241" customFormat="1" ht="9.75" customHeight="1" x14ac:dyDescent="0.15">
      <c r="A556" s="448" t="s">
        <v>560</v>
      </c>
      <c r="B556" s="241">
        <v>49541</v>
      </c>
      <c r="C556" s="241">
        <v>49541</v>
      </c>
      <c r="D556" s="241">
        <v>607</v>
      </c>
      <c r="E556" s="241">
        <v>36504</v>
      </c>
      <c r="F556" s="241">
        <v>12430</v>
      </c>
      <c r="G556" s="241">
        <v>1431</v>
      </c>
      <c r="H556" s="241">
        <v>1431</v>
      </c>
      <c r="I556" s="241">
        <v>1431</v>
      </c>
      <c r="J556" s="243" t="s">
        <v>796</v>
      </c>
      <c r="K556" s="242" t="s">
        <v>79</v>
      </c>
    </row>
    <row r="557" spans="1:11" s="241" customFormat="1" ht="9.75" customHeight="1" x14ac:dyDescent="0.15">
      <c r="A557" s="448" t="s">
        <v>561</v>
      </c>
      <c r="B557" s="241">
        <v>40623</v>
      </c>
      <c r="C557" s="241">
        <v>40623</v>
      </c>
      <c r="D557" s="241" t="s">
        <v>796</v>
      </c>
      <c r="E557" s="241">
        <v>24886</v>
      </c>
      <c r="F557" s="241">
        <v>15737</v>
      </c>
      <c r="G557" s="241" t="s">
        <v>796</v>
      </c>
      <c r="H557" s="241" t="s">
        <v>796</v>
      </c>
      <c r="I557" s="241" t="s">
        <v>796</v>
      </c>
      <c r="J557" s="243" t="s">
        <v>796</v>
      </c>
      <c r="K557" s="242" t="s">
        <v>80</v>
      </c>
    </row>
    <row r="558" spans="1:11" s="241" customFormat="1" ht="9.75" customHeight="1" x14ac:dyDescent="0.15">
      <c r="A558" s="448" t="s">
        <v>838</v>
      </c>
      <c r="B558" s="241">
        <v>26812</v>
      </c>
      <c r="C558" s="241">
        <v>26812</v>
      </c>
      <c r="D558" s="241" t="s">
        <v>796</v>
      </c>
      <c r="E558" s="241">
        <v>22049</v>
      </c>
      <c r="F558" s="241">
        <v>4763</v>
      </c>
      <c r="G558" s="241" t="s">
        <v>796</v>
      </c>
      <c r="H558" s="241" t="s">
        <v>796</v>
      </c>
      <c r="I558" s="241" t="s">
        <v>796</v>
      </c>
      <c r="J558" s="243" t="s">
        <v>796</v>
      </c>
      <c r="K558" s="242" t="s">
        <v>839</v>
      </c>
    </row>
    <row r="559" spans="1:11" s="241" customFormat="1" ht="6.75" customHeight="1" x14ac:dyDescent="0.15">
      <c r="A559" s="464"/>
      <c r="J559" s="243"/>
      <c r="K559" s="242"/>
    </row>
    <row r="560" spans="1:11" s="241" customFormat="1" ht="9.75" customHeight="1" x14ac:dyDescent="0.15">
      <c r="A560" s="448" t="s">
        <v>840</v>
      </c>
      <c r="B560" s="241">
        <v>18478</v>
      </c>
      <c r="C560" s="241">
        <v>18478</v>
      </c>
      <c r="D560" s="241" t="s">
        <v>796</v>
      </c>
      <c r="E560" s="241">
        <v>18478</v>
      </c>
      <c r="F560" s="241" t="s">
        <v>796</v>
      </c>
      <c r="G560" s="241" t="s">
        <v>796</v>
      </c>
      <c r="H560" s="241" t="s">
        <v>796</v>
      </c>
      <c r="I560" s="241" t="s">
        <v>796</v>
      </c>
      <c r="J560" s="243" t="s">
        <v>796</v>
      </c>
      <c r="K560" s="242" t="s">
        <v>788</v>
      </c>
    </row>
    <row r="561" spans="1:11" s="241" customFormat="1" ht="9.75" customHeight="1" x14ac:dyDescent="0.15">
      <c r="A561" s="448" t="s">
        <v>562</v>
      </c>
      <c r="B561" s="241">
        <v>9266</v>
      </c>
      <c r="C561" s="241">
        <v>9266</v>
      </c>
      <c r="D561" s="241" t="s">
        <v>796</v>
      </c>
      <c r="E561" s="241">
        <v>4503</v>
      </c>
      <c r="F561" s="241">
        <v>4763</v>
      </c>
      <c r="G561" s="241" t="s">
        <v>796</v>
      </c>
      <c r="H561" s="241" t="s">
        <v>796</v>
      </c>
      <c r="I561" s="241" t="s">
        <v>796</v>
      </c>
      <c r="J561" s="243" t="s">
        <v>796</v>
      </c>
      <c r="K561" s="242" t="s">
        <v>66</v>
      </c>
    </row>
    <row r="562" spans="1:11" s="241" customFormat="1" ht="9.75" customHeight="1" x14ac:dyDescent="0.15">
      <c r="A562" s="448" t="s">
        <v>563</v>
      </c>
      <c r="B562" s="241">
        <v>3043</v>
      </c>
      <c r="C562" s="241">
        <v>3043</v>
      </c>
      <c r="D562" s="241" t="s">
        <v>796</v>
      </c>
      <c r="E562" s="241">
        <v>3043</v>
      </c>
      <c r="F562" s="241" t="s">
        <v>796</v>
      </c>
      <c r="G562" s="241" t="s">
        <v>796</v>
      </c>
      <c r="H562" s="241" t="s">
        <v>796</v>
      </c>
      <c r="I562" s="241" t="s">
        <v>796</v>
      </c>
      <c r="J562" s="243" t="s">
        <v>796</v>
      </c>
      <c r="K562" s="242" t="s">
        <v>67</v>
      </c>
    </row>
    <row r="563" spans="1:11" s="241" customFormat="1" ht="9.75" customHeight="1" x14ac:dyDescent="0.15">
      <c r="A563" s="448" t="s">
        <v>564</v>
      </c>
      <c r="B563" s="241">
        <v>3106</v>
      </c>
      <c r="C563" s="241">
        <v>3106</v>
      </c>
      <c r="D563" s="241" t="s">
        <v>796</v>
      </c>
      <c r="E563" s="241">
        <v>3106</v>
      </c>
      <c r="F563" s="241" t="s">
        <v>796</v>
      </c>
      <c r="G563" s="241" t="s">
        <v>796</v>
      </c>
      <c r="H563" s="241" t="s">
        <v>796</v>
      </c>
      <c r="I563" s="241" t="s">
        <v>796</v>
      </c>
      <c r="J563" s="243" t="s">
        <v>796</v>
      </c>
      <c r="K563" s="242" t="s">
        <v>68</v>
      </c>
    </row>
    <row r="564" spans="1:11" s="241" customFormat="1" ht="9.75" customHeight="1" x14ac:dyDescent="0.15">
      <c r="A564" s="448" t="s">
        <v>565</v>
      </c>
      <c r="B564" s="241">
        <v>6057</v>
      </c>
      <c r="C564" s="241">
        <v>6057</v>
      </c>
      <c r="D564" s="241" t="s">
        <v>796</v>
      </c>
      <c r="E564" s="241">
        <v>6057</v>
      </c>
      <c r="F564" s="241" t="s">
        <v>796</v>
      </c>
      <c r="G564" s="241" t="s">
        <v>796</v>
      </c>
      <c r="H564" s="241" t="s">
        <v>796</v>
      </c>
      <c r="I564" s="241" t="s">
        <v>796</v>
      </c>
      <c r="J564" s="243" t="s">
        <v>796</v>
      </c>
      <c r="K564" s="242" t="s">
        <v>81</v>
      </c>
    </row>
    <row r="565" spans="1:11" s="241" customFormat="1" ht="9.75" customHeight="1" x14ac:dyDescent="0.15">
      <c r="A565" s="448" t="s">
        <v>566</v>
      </c>
      <c r="B565" s="241">
        <v>18632</v>
      </c>
      <c r="C565" s="241">
        <v>18632</v>
      </c>
      <c r="D565" s="241">
        <v>1556</v>
      </c>
      <c r="E565" s="241">
        <v>12313</v>
      </c>
      <c r="F565" s="241">
        <v>4763</v>
      </c>
      <c r="G565" s="241">
        <v>3004</v>
      </c>
      <c r="H565" s="241">
        <v>3004</v>
      </c>
      <c r="I565" s="241">
        <v>1502</v>
      </c>
      <c r="J565" s="243">
        <v>1502</v>
      </c>
      <c r="K565" s="242" t="s">
        <v>82</v>
      </c>
    </row>
    <row r="566" spans="1:11" s="241" customFormat="1" ht="9.75" customHeight="1" x14ac:dyDescent="0.15">
      <c r="A566" s="448" t="s">
        <v>567</v>
      </c>
      <c r="B566" s="241">
        <v>14532</v>
      </c>
      <c r="C566" s="241">
        <v>14532</v>
      </c>
      <c r="D566" s="241">
        <v>607</v>
      </c>
      <c r="E566" s="241">
        <v>13925</v>
      </c>
      <c r="F566" s="241" t="s">
        <v>796</v>
      </c>
      <c r="G566" s="241" t="s">
        <v>796</v>
      </c>
      <c r="H566" s="241" t="s">
        <v>796</v>
      </c>
      <c r="I566" s="241" t="s">
        <v>796</v>
      </c>
      <c r="J566" s="243" t="s">
        <v>796</v>
      </c>
      <c r="K566" s="242" t="s">
        <v>83</v>
      </c>
    </row>
    <row r="567" spans="1:11" s="241" customFormat="1" ht="9.75" customHeight="1" x14ac:dyDescent="0.15">
      <c r="A567" s="448" t="s">
        <v>568</v>
      </c>
      <c r="B567" s="241">
        <v>15327</v>
      </c>
      <c r="C567" s="241">
        <v>15327</v>
      </c>
      <c r="D567" s="241" t="s">
        <v>796</v>
      </c>
      <c r="E567" s="241">
        <v>9113</v>
      </c>
      <c r="F567" s="241">
        <v>6214</v>
      </c>
      <c r="G567" s="241" t="s">
        <v>796</v>
      </c>
      <c r="H567" s="241" t="s">
        <v>796</v>
      </c>
      <c r="I567" s="241" t="s">
        <v>796</v>
      </c>
      <c r="J567" s="243" t="s">
        <v>796</v>
      </c>
      <c r="K567" s="242" t="s">
        <v>84</v>
      </c>
    </row>
    <row r="568" spans="1:11" s="241" customFormat="1" ht="9.75" customHeight="1" x14ac:dyDescent="0.15">
      <c r="A568" s="448" t="s">
        <v>569</v>
      </c>
      <c r="B568" s="241">
        <v>19682</v>
      </c>
      <c r="C568" s="241">
        <v>19682</v>
      </c>
      <c r="D568" s="241" t="s">
        <v>796</v>
      </c>
      <c r="E568" s="241">
        <v>13466</v>
      </c>
      <c r="F568" s="241">
        <v>6216</v>
      </c>
      <c r="G568" s="241">
        <v>1431</v>
      </c>
      <c r="H568" s="241">
        <v>1431</v>
      </c>
      <c r="I568" s="241">
        <v>1431</v>
      </c>
      <c r="J568" s="243" t="s">
        <v>796</v>
      </c>
      <c r="K568" s="242" t="s">
        <v>85</v>
      </c>
    </row>
    <row r="569" spans="1:11" s="241" customFormat="1" ht="9.75" customHeight="1" x14ac:dyDescent="0.15">
      <c r="A569" s="448" t="s">
        <v>570</v>
      </c>
      <c r="B569" s="241">
        <v>26497</v>
      </c>
      <c r="C569" s="241">
        <v>26497</v>
      </c>
      <c r="D569" s="241" t="s">
        <v>796</v>
      </c>
      <c r="E569" s="241">
        <v>15522</v>
      </c>
      <c r="F569" s="241">
        <v>10975</v>
      </c>
      <c r="G569" s="241" t="s">
        <v>796</v>
      </c>
      <c r="H569" s="241" t="s">
        <v>796</v>
      </c>
      <c r="I569" s="241" t="s">
        <v>796</v>
      </c>
      <c r="J569" s="243" t="s">
        <v>796</v>
      </c>
      <c r="K569" s="242" t="s">
        <v>69</v>
      </c>
    </row>
    <row r="570" spans="1:11" s="241" customFormat="1" ht="9.75" customHeight="1" x14ac:dyDescent="0.15">
      <c r="A570" s="448" t="s">
        <v>571</v>
      </c>
      <c r="B570" s="241">
        <v>7864</v>
      </c>
      <c r="C570" s="241">
        <v>7864</v>
      </c>
      <c r="D570" s="241" t="s">
        <v>796</v>
      </c>
      <c r="E570" s="241">
        <v>7864</v>
      </c>
      <c r="F570" s="241" t="s">
        <v>796</v>
      </c>
      <c r="G570" s="241" t="s">
        <v>796</v>
      </c>
      <c r="H570" s="241" t="s">
        <v>796</v>
      </c>
      <c r="I570" s="241" t="s">
        <v>796</v>
      </c>
      <c r="J570" s="243" t="s">
        <v>796</v>
      </c>
      <c r="K570" s="242" t="s">
        <v>70</v>
      </c>
    </row>
    <row r="571" spans="1:11" s="241" customFormat="1" ht="9.75" customHeight="1" x14ac:dyDescent="0.15">
      <c r="A571" s="448" t="s">
        <v>572</v>
      </c>
      <c r="B571" s="241">
        <v>6262</v>
      </c>
      <c r="C571" s="241">
        <v>6262</v>
      </c>
      <c r="D571" s="241" t="s">
        <v>796</v>
      </c>
      <c r="E571" s="241">
        <v>1500</v>
      </c>
      <c r="F571" s="241">
        <v>4762</v>
      </c>
      <c r="G571" s="241" t="s">
        <v>796</v>
      </c>
      <c r="H571" s="241" t="s">
        <v>796</v>
      </c>
      <c r="I571" s="241" t="s">
        <v>796</v>
      </c>
      <c r="J571" s="243" t="s">
        <v>796</v>
      </c>
      <c r="K571" s="242" t="s">
        <v>71</v>
      </c>
    </row>
    <row r="572" spans="1:11" s="241" customFormat="1" ht="9.75" customHeight="1" x14ac:dyDescent="0.15">
      <c r="A572" s="448" t="s">
        <v>841</v>
      </c>
      <c r="B572" s="241">
        <v>4760</v>
      </c>
      <c r="C572" s="241">
        <v>4760</v>
      </c>
      <c r="D572" s="241" t="s">
        <v>796</v>
      </c>
      <c r="E572" s="241">
        <v>4760</v>
      </c>
      <c r="F572" s="241" t="s">
        <v>796</v>
      </c>
      <c r="G572" s="241" t="s">
        <v>796</v>
      </c>
      <c r="H572" s="241" t="s">
        <v>796</v>
      </c>
      <c r="I572" s="241" t="s">
        <v>796</v>
      </c>
      <c r="J572" s="243" t="s">
        <v>796</v>
      </c>
      <c r="K572" s="242" t="s">
        <v>842</v>
      </c>
    </row>
    <row r="573" spans="1:11" s="241" customFormat="1" ht="9.75" customHeight="1" x14ac:dyDescent="0.15">
      <c r="A573" s="448" t="s">
        <v>573</v>
      </c>
      <c r="B573" s="241">
        <v>10977</v>
      </c>
      <c r="C573" s="241">
        <v>10977</v>
      </c>
      <c r="D573" s="241" t="s">
        <v>796</v>
      </c>
      <c r="E573" s="241">
        <v>10977</v>
      </c>
      <c r="F573" s="241" t="s">
        <v>796</v>
      </c>
      <c r="G573" s="241" t="s">
        <v>796</v>
      </c>
      <c r="H573" s="241" t="s">
        <v>796</v>
      </c>
      <c r="I573" s="241" t="s">
        <v>796</v>
      </c>
      <c r="J573" s="243" t="s">
        <v>796</v>
      </c>
      <c r="K573" s="242" t="s">
        <v>66</v>
      </c>
    </row>
    <row r="574" spans="1:11" s="241" customFormat="1" ht="9.75" customHeight="1" x14ac:dyDescent="0.15">
      <c r="A574" s="795" t="s">
        <v>574</v>
      </c>
      <c r="B574" s="796">
        <v>11075</v>
      </c>
      <c r="C574" s="797">
        <v>11075</v>
      </c>
      <c r="D574" s="797" t="s">
        <v>796</v>
      </c>
      <c r="E574" s="797">
        <v>6312</v>
      </c>
      <c r="F574" s="797">
        <v>4763</v>
      </c>
      <c r="G574" s="797" t="s">
        <v>796</v>
      </c>
      <c r="H574" s="797" t="s">
        <v>796</v>
      </c>
      <c r="I574" s="797" t="s">
        <v>796</v>
      </c>
      <c r="J574" s="804" t="s">
        <v>796</v>
      </c>
      <c r="K574" s="798" t="s">
        <v>67</v>
      </c>
    </row>
    <row r="575" spans="1:11" ht="12" customHeight="1" x14ac:dyDescent="0.15"/>
    <row r="576" spans="1:11" ht="12" customHeight="1" x14ac:dyDescent="0.15"/>
    <row r="577" ht="12" customHeight="1" x14ac:dyDescent="0.15"/>
  </sheetData>
  <mergeCells count="47">
    <mergeCell ref="A542:A544"/>
    <mergeCell ref="K542:K544"/>
    <mergeCell ref="B543:B544"/>
    <mergeCell ref="G543:G544"/>
    <mergeCell ref="A434:A436"/>
    <mergeCell ref="W434:W436"/>
    <mergeCell ref="J435:J436"/>
    <mergeCell ref="A470:A472"/>
    <mergeCell ref="W470:W472"/>
    <mergeCell ref="A506:A508"/>
    <mergeCell ref="W506:W508"/>
    <mergeCell ref="R507:R508"/>
    <mergeCell ref="A398:A400"/>
    <mergeCell ref="W398:W400"/>
    <mergeCell ref="C399:C400"/>
    <mergeCell ref="A254:A256"/>
    <mergeCell ref="W254:W256"/>
    <mergeCell ref="J255:J256"/>
    <mergeCell ref="A290:A292"/>
    <mergeCell ref="W290:W292"/>
    <mergeCell ref="D291:D292"/>
    <mergeCell ref="A326:A328"/>
    <mergeCell ref="W326:W328"/>
    <mergeCell ref="A362:A364"/>
    <mergeCell ref="W362:W364"/>
    <mergeCell ref="U363:U364"/>
    <mergeCell ref="A182:A184"/>
    <mergeCell ref="W182:W184"/>
    <mergeCell ref="F183:F184"/>
    <mergeCell ref="A218:A220"/>
    <mergeCell ref="W218:W220"/>
    <mergeCell ref="V219:V220"/>
    <mergeCell ref="A110:A112"/>
    <mergeCell ref="W110:W112"/>
    <mergeCell ref="K111:K112"/>
    <mergeCell ref="N111:N112"/>
    <mergeCell ref="A146:A148"/>
    <mergeCell ref="W146:W148"/>
    <mergeCell ref="R147:R148"/>
    <mergeCell ref="A74:A76"/>
    <mergeCell ref="W74:W76"/>
    <mergeCell ref="C75:C76"/>
    <mergeCell ref="A2:A4"/>
    <mergeCell ref="W2:W4"/>
    <mergeCell ref="B3:B4"/>
    <mergeCell ref="A38:A40"/>
    <mergeCell ref="W38:W40"/>
  </mergeCells>
  <phoneticPr fontId="34"/>
  <pageMargins left="0.59055118110236227" right="0.59055118110236227" top="0.59055118110236227" bottom="0.59055118110236227" header="0.51181102362204722" footer="0.51181102362204722"/>
  <pageSetup paperSize="9" scale="81" pageOrder="overThenDown" orientation="portrait" r:id="rId1"/>
  <headerFooter alignWithMargins="0"/>
  <rowBreaks count="7" manualBreakCount="7">
    <brk id="72" max="9" man="1"/>
    <brk id="144" max="9" man="1"/>
    <brk id="216" max="9" man="1"/>
    <brk id="288" max="9" man="1"/>
    <brk id="360" max="9" man="1"/>
    <brk id="432" max="9" man="1"/>
    <brk id="504" max="9" man="1"/>
  </rowBreaks>
  <colBreaks count="1" manualBreakCount="1">
    <brk id="11" max="573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6B97-2DF9-4AC9-B8BA-B6409DD6E7FB}">
  <dimension ref="A1:X60"/>
  <sheetViews>
    <sheetView view="pageBreakPreview" topLeftCell="A3" zoomScaleNormal="75" zoomScaleSheetLayoutView="100" workbookViewId="0">
      <pane xSplit="5" ySplit="8" topLeftCell="F11" activePane="bottomRight" state="frozen"/>
      <selection activeCell="A3" sqref="A3"/>
      <selection pane="topRight" activeCell="G3" sqref="G3"/>
      <selection pane="bottomLeft" activeCell="A12" sqref="A12"/>
      <selection pane="bottomRight" activeCell="B6" sqref="B6"/>
    </sheetView>
  </sheetViews>
  <sheetFormatPr defaultColWidth="8.125" defaultRowHeight="13.5" x14ac:dyDescent="0.15"/>
  <cols>
    <col min="1" max="1" width="2.375" style="92" customWidth="1"/>
    <col min="2" max="2" width="3.25" style="92" customWidth="1"/>
    <col min="3" max="3" width="10.5" style="92" customWidth="1"/>
    <col min="4" max="4" width="0.75" style="92" customWidth="1"/>
    <col min="5" max="5" width="9.625" style="92" customWidth="1"/>
    <col min="6" max="20" width="9.125" style="92" customWidth="1"/>
    <col min="21" max="21" width="11.125" style="92" customWidth="1"/>
    <col min="22" max="22" width="2.375" style="93" customWidth="1"/>
    <col min="23" max="16384" width="8.125" style="92"/>
  </cols>
  <sheetData>
    <row r="1" spans="1:24" ht="24.95" customHeight="1" x14ac:dyDescent="0.15"/>
    <row r="2" spans="1:24" ht="30" customHeight="1" x14ac:dyDescent="0.2">
      <c r="A2" s="575" t="s">
        <v>319</v>
      </c>
      <c r="B2" s="576"/>
      <c r="C2" s="576"/>
      <c r="D2" s="576"/>
      <c r="E2" s="577"/>
      <c r="F2" s="577"/>
      <c r="G2" s="577"/>
      <c r="H2" s="577"/>
      <c r="I2" s="578"/>
      <c r="J2" s="577"/>
      <c r="K2" s="577"/>
      <c r="L2" s="577"/>
      <c r="M2" s="577"/>
      <c r="N2" s="577"/>
      <c r="O2" s="577"/>
      <c r="P2" s="577"/>
      <c r="Q2" s="577"/>
      <c r="R2" s="579"/>
      <c r="S2" s="579"/>
      <c r="T2" s="579"/>
      <c r="U2" s="577"/>
      <c r="V2" s="577"/>
    </row>
    <row r="3" spans="1:24" ht="17.100000000000001" customHeight="1" x14ac:dyDescent="0.15">
      <c r="I3" s="580"/>
      <c r="J3" s="580"/>
      <c r="K3" s="580"/>
      <c r="L3" s="580"/>
      <c r="M3" s="580"/>
      <c r="N3" s="580"/>
      <c r="O3" s="580"/>
      <c r="P3" s="580"/>
      <c r="Q3" s="580"/>
      <c r="V3" s="92"/>
    </row>
    <row r="4" spans="1:24" s="583" customFormat="1" ht="14.85" customHeight="1" x14ac:dyDescent="0.15">
      <c r="A4" s="581"/>
      <c r="B4" s="582"/>
      <c r="G4" s="584"/>
      <c r="H4" s="585"/>
      <c r="I4" s="585"/>
      <c r="J4" s="585"/>
      <c r="K4" s="585"/>
      <c r="M4" s="586"/>
      <c r="N4" s="584"/>
      <c r="O4" s="584"/>
      <c r="P4" s="584"/>
      <c r="Q4" s="584"/>
      <c r="R4" s="586"/>
      <c r="S4" s="584"/>
      <c r="T4" s="587"/>
      <c r="U4" s="584"/>
      <c r="V4" s="585"/>
    </row>
    <row r="5" spans="1:24" ht="14.85" customHeight="1" x14ac:dyDescent="0.2">
      <c r="A5" s="588"/>
      <c r="B5" s="589"/>
      <c r="G5" s="584"/>
      <c r="H5" s="265"/>
      <c r="I5" s="265"/>
      <c r="J5" s="265"/>
      <c r="K5" s="265"/>
      <c r="L5" s="584"/>
      <c r="M5" s="584"/>
      <c r="N5" s="584"/>
      <c r="O5" s="590"/>
      <c r="P5" s="584"/>
      <c r="Q5" s="584"/>
      <c r="R5" s="591"/>
      <c r="S5" s="575"/>
      <c r="T5" s="592"/>
      <c r="U5" s="584"/>
    </row>
    <row r="6" spans="1:24" ht="14.85" customHeight="1" x14ac:dyDescent="0.2">
      <c r="A6" s="593"/>
      <c r="B6" s="760" t="s">
        <v>318</v>
      </c>
      <c r="C6" s="813"/>
      <c r="D6" s="813"/>
      <c r="E6" s="813"/>
      <c r="F6" s="813"/>
      <c r="G6" s="813"/>
      <c r="H6" s="814"/>
      <c r="I6" s="814"/>
      <c r="J6" s="813"/>
      <c r="K6" s="813"/>
      <c r="L6" s="813"/>
      <c r="M6" s="815"/>
      <c r="N6" s="815"/>
      <c r="O6" s="753"/>
      <c r="P6" s="756"/>
      <c r="Q6" s="816"/>
      <c r="S6" s="817"/>
      <c r="T6" s="719" t="s">
        <v>603</v>
      </c>
      <c r="U6" s="753"/>
    </row>
    <row r="7" spans="1:24" s="94" customFormat="1" ht="14.85" customHeight="1" x14ac:dyDescent="0.15">
      <c r="A7" s="89"/>
      <c r="B7" s="510"/>
      <c r="C7" s="510"/>
      <c r="D7" s="594"/>
      <c r="E7" s="806"/>
      <c r="F7" s="119"/>
      <c r="G7" s="119"/>
      <c r="H7" s="119"/>
      <c r="I7" s="119"/>
      <c r="J7" s="119"/>
      <c r="K7" s="119"/>
      <c r="L7" s="119"/>
      <c r="M7" s="118"/>
      <c r="N7" s="117"/>
      <c r="O7" s="116"/>
      <c r="P7" s="116"/>
      <c r="Q7" s="116"/>
      <c r="R7" s="818"/>
      <c r="S7" s="115"/>
      <c r="T7" s="114"/>
      <c r="U7" s="1036" t="s">
        <v>545</v>
      </c>
      <c r="V7" s="595"/>
    </row>
    <row r="8" spans="1:24" s="94" customFormat="1" ht="21.75" customHeight="1" x14ac:dyDescent="0.15">
      <c r="A8" s="89"/>
      <c r="B8" s="1011" t="s">
        <v>441</v>
      </c>
      <c r="C8" s="1011"/>
      <c r="D8" s="1012"/>
      <c r="E8" s="111" t="s">
        <v>206</v>
      </c>
      <c r="F8" s="107" t="s">
        <v>442</v>
      </c>
      <c r="G8" s="107" t="s">
        <v>443</v>
      </c>
      <c r="H8" s="107" t="s">
        <v>444</v>
      </c>
      <c r="I8" s="107" t="s">
        <v>445</v>
      </c>
      <c r="J8" s="107" t="s">
        <v>446</v>
      </c>
      <c r="K8" s="107" t="s">
        <v>447</v>
      </c>
      <c r="L8" s="700"/>
      <c r="M8" s="701"/>
      <c r="N8" s="109" t="s">
        <v>448</v>
      </c>
      <c r="O8" s="110" t="s">
        <v>449</v>
      </c>
      <c r="P8" s="110" t="s">
        <v>450</v>
      </c>
      <c r="Q8" s="110" t="s">
        <v>451</v>
      </c>
      <c r="R8" s="112" t="s">
        <v>610</v>
      </c>
      <c r="S8" s="702"/>
      <c r="T8" s="703"/>
      <c r="U8" s="1037"/>
      <c r="V8" s="595"/>
    </row>
    <row r="9" spans="1:24" s="94" customFormat="1" ht="14.25" customHeight="1" x14ac:dyDescent="0.15">
      <c r="A9" s="89"/>
      <c r="B9" s="510"/>
      <c r="C9" s="510"/>
      <c r="D9" s="596"/>
      <c r="E9" s="111"/>
      <c r="F9" s="107" t="s">
        <v>203</v>
      </c>
      <c r="G9" s="107" t="s">
        <v>203</v>
      </c>
      <c r="H9" s="107" t="s">
        <v>204</v>
      </c>
      <c r="I9" s="107"/>
      <c r="J9" s="107"/>
      <c r="K9" s="107" t="s">
        <v>203</v>
      </c>
      <c r="L9" s="107" t="s">
        <v>202</v>
      </c>
      <c r="M9" s="704" t="s">
        <v>201</v>
      </c>
      <c r="N9" s="109"/>
      <c r="O9" s="110"/>
      <c r="P9" s="110"/>
      <c r="Q9" s="110"/>
      <c r="R9" s="110"/>
      <c r="S9" s="110" t="s">
        <v>453</v>
      </c>
      <c r="T9" s="109" t="s">
        <v>454</v>
      </c>
      <c r="U9" s="1037"/>
      <c r="V9" s="595"/>
    </row>
    <row r="10" spans="1:24" s="598" customFormat="1" ht="33.75" customHeight="1" x14ac:dyDescent="0.15">
      <c r="A10" s="597"/>
      <c r="B10" s="752"/>
      <c r="C10" s="752"/>
      <c r="D10" s="819"/>
      <c r="E10" s="706" t="s">
        <v>691</v>
      </c>
      <c r="F10" s="706" t="s">
        <v>200</v>
      </c>
      <c r="G10" s="706" t="s">
        <v>461</v>
      </c>
      <c r="H10" s="706" t="s">
        <v>462</v>
      </c>
      <c r="I10" s="706" t="s">
        <v>199</v>
      </c>
      <c r="J10" s="706" t="s">
        <v>455</v>
      </c>
      <c r="K10" s="706" t="s">
        <v>692</v>
      </c>
      <c r="L10" s="706" t="s">
        <v>463</v>
      </c>
      <c r="M10" s="572" t="s">
        <v>464</v>
      </c>
      <c r="N10" s="707" t="s">
        <v>208</v>
      </c>
      <c r="O10" s="707" t="s">
        <v>198</v>
      </c>
      <c r="P10" s="707" t="s">
        <v>197</v>
      </c>
      <c r="Q10" s="708" t="s">
        <v>196</v>
      </c>
      <c r="R10" s="513" t="s">
        <v>465</v>
      </c>
      <c r="S10" s="106"/>
      <c r="T10" s="106"/>
      <c r="U10" s="1038"/>
      <c r="V10" s="595"/>
    </row>
    <row r="11" spans="1:24" s="94" customFormat="1" ht="13.5" customHeight="1" x14ac:dyDescent="0.15">
      <c r="A11" s="89"/>
      <c r="B11" s="1039" t="s">
        <v>805</v>
      </c>
      <c r="C11" s="1039"/>
      <c r="D11" s="599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639"/>
      <c r="U11" s="264"/>
      <c r="V11" s="89"/>
    </row>
    <row r="12" spans="1:24" s="94" customFormat="1" ht="14.25" customHeight="1" x14ac:dyDescent="0.15">
      <c r="A12" s="89"/>
      <c r="B12" s="600"/>
      <c r="C12" s="601" t="s">
        <v>171</v>
      </c>
      <c r="D12" s="602"/>
      <c r="E12" s="603">
        <v>9345171</v>
      </c>
      <c r="F12" s="604">
        <v>1789047</v>
      </c>
      <c r="G12" s="604">
        <v>1302763</v>
      </c>
      <c r="H12" s="604">
        <v>711764</v>
      </c>
      <c r="I12" s="604">
        <v>2030713</v>
      </c>
      <c r="J12" s="604">
        <v>1533099</v>
      </c>
      <c r="K12" s="604">
        <v>1977785</v>
      </c>
      <c r="L12" s="604">
        <v>710951</v>
      </c>
      <c r="M12" s="604">
        <v>1266834</v>
      </c>
      <c r="N12" s="604">
        <v>435807</v>
      </c>
      <c r="O12" s="604">
        <v>218581</v>
      </c>
      <c r="P12" s="604">
        <v>9742</v>
      </c>
      <c r="Q12" s="604">
        <v>10507</v>
      </c>
      <c r="R12" s="262">
        <v>1929735</v>
      </c>
      <c r="S12" s="262">
        <v>1336850</v>
      </c>
      <c r="T12" s="493">
        <v>592885</v>
      </c>
      <c r="U12" s="605" t="s">
        <v>806</v>
      </c>
      <c r="V12" s="89"/>
    </row>
    <row r="13" spans="1:24" s="94" customFormat="1" ht="14.1" customHeight="1" x14ac:dyDescent="0.15">
      <c r="A13" s="89"/>
      <c r="B13" s="606" t="s">
        <v>317</v>
      </c>
      <c r="C13" s="607" t="s">
        <v>316</v>
      </c>
      <c r="D13" s="174"/>
      <c r="E13" s="258">
        <v>5218857</v>
      </c>
      <c r="F13" s="258">
        <v>953183</v>
      </c>
      <c r="G13" s="258">
        <v>901920</v>
      </c>
      <c r="H13" s="258">
        <v>398050</v>
      </c>
      <c r="I13" s="258">
        <v>927187</v>
      </c>
      <c r="J13" s="258">
        <v>865221</v>
      </c>
      <c r="K13" s="258">
        <v>1173296</v>
      </c>
      <c r="L13" s="258">
        <v>299546</v>
      </c>
      <c r="M13" s="258">
        <v>873750</v>
      </c>
      <c r="N13" s="258">
        <v>148552</v>
      </c>
      <c r="O13" s="258">
        <v>175423</v>
      </c>
      <c r="P13" s="258" t="s">
        <v>796</v>
      </c>
      <c r="Q13" s="258">
        <v>2859</v>
      </c>
      <c r="R13" s="261">
        <v>208157</v>
      </c>
      <c r="S13" s="261">
        <v>69785</v>
      </c>
      <c r="T13" s="391">
        <v>138372</v>
      </c>
      <c r="U13" s="59" t="s">
        <v>178</v>
      </c>
      <c r="V13" s="89"/>
    </row>
    <row r="14" spans="1:24" s="94" customFormat="1" ht="14.1" customHeight="1" x14ac:dyDescent="0.15">
      <c r="A14" s="89"/>
      <c r="B14" s="608"/>
      <c r="C14" s="609" t="s">
        <v>315</v>
      </c>
      <c r="D14" s="610"/>
      <c r="E14" s="611">
        <v>4126314</v>
      </c>
      <c r="F14" s="611">
        <v>835864</v>
      </c>
      <c r="G14" s="611">
        <v>400843</v>
      </c>
      <c r="H14" s="611">
        <v>313714</v>
      </c>
      <c r="I14" s="611">
        <v>1103526</v>
      </c>
      <c r="J14" s="611">
        <v>667878</v>
      </c>
      <c r="K14" s="611">
        <v>804489</v>
      </c>
      <c r="L14" s="611">
        <v>411405</v>
      </c>
      <c r="M14" s="611">
        <v>393084</v>
      </c>
      <c r="N14" s="611">
        <v>287255</v>
      </c>
      <c r="O14" s="611">
        <v>43158</v>
      </c>
      <c r="P14" s="611">
        <v>9742</v>
      </c>
      <c r="Q14" s="611">
        <v>7648</v>
      </c>
      <c r="R14" s="260">
        <v>1721578</v>
      </c>
      <c r="S14" s="260">
        <v>1267065</v>
      </c>
      <c r="T14" s="494">
        <v>454513</v>
      </c>
      <c r="U14" s="612" t="s">
        <v>314</v>
      </c>
      <c r="V14" s="89"/>
    </row>
    <row r="15" spans="1:24" s="94" customFormat="1" ht="14.25" customHeight="1" x14ac:dyDescent="0.15">
      <c r="A15" s="89"/>
      <c r="B15" s="613"/>
      <c r="C15" s="601" t="s">
        <v>171</v>
      </c>
      <c r="D15" s="602"/>
      <c r="E15" s="604">
        <v>8654200</v>
      </c>
      <c r="F15" s="604">
        <v>1710435</v>
      </c>
      <c r="G15" s="604">
        <v>1198763</v>
      </c>
      <c r="H15" s="604">
        <v>657352</v>
      </c>
      <c r="I15" s="604">
        <v>1672833</v>
      </c>
      <c r="J15" s="604">
        <v>1552125</v>
      </c>
      <c r="K15" s="604">
        <v>1862692</v>
      </c>
      <c r="L15" s="604">
        <v>693504</v>
      </c>
      <c r="M15" s="604">
        <v>1169188</v>
      </c>
      <c r="N15" s="604">
        <v>429828</v>
      </c>
      <c r="O15" s="604">
        <v>196030</v>
      </c>
      <c r="P15" s="604">
        <v>9983</v>
      </c>
      <c r="Q15" s="604">
        <v>11867</v>
      </c>
      <c r="R15" s="262">
        <v>1704471</v>
      </c>
      <c r="S15" s="262">
        <v>1072536</v>
      </c>
      <c r="T15" s="493">
        <v>631935</v>
      </c>
      <c r="U15" s="614" t="s">
        <v>807</v>
      </c>
      <c r="V15" s="89"/>
      <c r="X15" s="590"/>
    </row>
    <row r="16" spans="1:24" s="94" customFormat="1" ht="14.1" customHeight="1" x14ac:dyDescent="0.15">
      <c r="A16" s="89"/>
      <c r="B16" s="606" t="s">
        <v>611</v>
      </c>
      <c r="C16" s="607" t="s">
        <v>316</v>
      </c>
      <c r="D16" s="174"/>
      <c r="E16" s="258">
        <v>4854198</v>
      </c>
      <c r="F16" s="258">
        <v>903971</v>
      </c>
      <c r="G16" s="258">
        <v>801802</v>
      </c>
      <c r="H16" s="258">
        <v>349573</v>
      </c>
      <c r="I16" s="258">
        <v>821340</v>
      </c>
      <c r="J16" s="258">
        <v>878112</v>
      </c>
      <c r="K16" s="258">
        <v>1099400</v>
      </c>
      <c r="L16" s="258">
        <v>304980</v>
      </c>
      <c r="M16" s="258">
        <v>794420</v>
      </c>
      <c r="N16" s="258">
        <v>145362</v>
      </c>
      <c r="O16" s="258">
        <v>153962</v>
      </c>
      <c r="P16" s="258" t="s">
        <v>796</v>
      </c>
      <c r="Q16" s="258">
        <v>3468</v>
      </c>
      <c r="R16" s="261">
        <v>217395</v>
      </c>
      <c r="S16" s="261">
        <v>69082</v>
      </c>
      <c r="T16" s="390">
        <v>148313</v>
      </c>
      <c r="U16" s="59" t="s">
        <v>178</v>
      </c>
      <c r="V16" s="89"/>
    </row>
    <row r="17" spans="1:22" s="94" customFormat="1" ht="14.1" customHeight="1" x14ac:dyDescent="0.15">
      <c r="A17" s="89"/>
      <c r="B17" s="608"/>
      <c r="C17" s="609" t="s">
        <v>315</v>
      </c>
      <c r="D17" s="610"/>
      <c r="E17" s="611">
        <v>3800002</v>
      </c>
      <c r="F17" s="611">
        <v>806464</v>
      </c>
      <c r="G17" s="611">
        <v>396961</v>
      </c>
      <c r="H17" s="611">
        <v>307779</v>
      </c>
      <c r="I17" s="611">
        <v>851493</v>
      </c>
      <c r="J17" s="611">
        <v>674013</v>
      </c>
      <c r="K17" s="611">
        <v>763292</v>
      </c>
      <c r="L17" s="611">
        <v>388524</v>
      </c>
      <c r="M17" s="611">
        <v>374768</v>
      </c>
      <c r="N17" s="611">
        <v>284466</v>
      </c>
      <c r="O17" s="611">
        <v>42068</v>
      </c>
      <c r="P17" s="611">
        <v>9983</v>
      </c>
      <c r="Q17" s="611">
        <v>8399</v>
      </c>
      <c r="R17" s="260">
        <v>1487076</v>
      </c>
      <c r="S17" s="260">
        <v>1003454</v>
      </c>
      <c r="T17" s="494">
        <v>483622</v>
      </c>
      <c r="U17" s="612" t="s">
        <v>314</v>
      </c>
      <c r="V17" s="89"/>
    </row>
    <row r="18" spans="1:22" s="94" customFormat="1" ht="14.25" customHeight="1" x14ac:dyDescent="0.15">
      <c r="A18" s="89"/>
      <c r="B18" s="613"/>
      <c r="C18" s="601" t="s">
        <v>171</v>
      </c>
      <c r="D18" s="602"/>
      <c r="E18" s="604">
        <v>7968887</v>
      </c>
      <c r="F18" s="604">
        <v>1553756</v>
      </c>
      <c r="G18" s="604">
        <v>1423282</v>
      </c>
      <c r="H18" s="604">
        <v>717657</v>
      </c>
      <c r="I18" s="604">
        <v>1150884</v>
      </c>
      <c r="J18" s="604">
        <v>1366654</v>
      </c>
      <c r="K18" s="604">
        <v>1756654</v>
      </c>
      <c r="L18" s="604">
        <v>631330</v>
      </c>
      <c r="M18" s="604">
        <v>1125324</v>
      </c>
      <c r="N18" s="604">
        <v>427487</v>
      </c>
      <c r="O18" s="604">
        <v>194485</v>
      </c>
      <c r="P18" s="604">
        <v>9362</v>
      </c>
      <c r="Q18" s="604">
        <v>11602</v>
      </c>
      <c r="R18" s="262">
        <v>1602366</v>
      </c>
      <c r="S18" s="262">
        <v>1024554</v>
      </c>
      <c r="T18" s="493">
        <v>577812</v>
      </c>
      <c r="U18" s="605" t="s">
        <v>808</v>
      </c>
      <c r="V18" s="89"/>
    </row>
    <row r="19" spans="1:22" s="94" customFormat="1" ht="14.1" customHeight="1" x14ac:dyDescent="0.15">
      <c r="A19" s="89"/>
      <c r="B19" s="606" t="s">
        <v>612</v>
      </c>
      <c r="C19" s="607" t="s">
        <v>316</v>
      </c>
      <c r="D19" s="174"/>
      <c r="E19" s="258">
        <v>4624021</v>
      </c>
      <c r="F19" s="258">
        <v>815259</v>
      </c>
      <c r="G19" s="258">
        <v>1018670</v>
      </c>
      <c r="H19" s="258">
        <v>395341</v>
      </c>
      <c r="I19" s="258">
        <v>606068</v>
      </c>
      <c r="J19" s="258">
        <v>707472</v>
      </c>
      <c r="K19" s="258">
        <v>1081211</v>
      </c>
      <c r="L19" s="258">
        <v>290384</v>
      </c>
      <c r="M19" s="258">
        <v>790827</v>
      </c>
      <c r="N19" s="258">
        <v>154085</v>
      </c>
      <c r="O19" s="258">
        <v>150692</v>
      </c>
      <c r="P19" s="258" t="s">
        <v>796</v>
      </c>
      <c r="Q19" s="258">
        <v>3570</v>
      </c>
      <c r="R19" s="261">
        <v>224001</v>
      </c>
      <c r="S19" s="261">
        <v>74096</v>
      </c>
      <c r="T19" s="390">
        <v>149905</v>
      </c>
      <c r="U19" s="59" t="s">
        <v>178</v>
      </c>
      <c r="V19" s="89"/>
    </row>
    <row r="20" spans="1:22" s="94" customFormat="1" ht="14.1" customHeight="1" x14ac:dyDescent="0.15">
      <c r="A20" s="89"/>
      <c r="B20" s="608"/>
      <c r="C20" s="609" t="s">
        <v>315</v>
      </c>
      <c r="D20" s="610"/>
      <c r="E20" s="611">
        <v>3344866</v>
      </c>
      <c r="F20" s="611">
        <v>738497</v>
      </c>
      <c r="G20" s="611">
        <v>404612</v>
      </c>
      <c r="H20" s="611">
        <v>322316</v>
      </c>
      <c r="I20" s="611">
        <v>544816</v>
      </c>
      <c r="J20" s="611">
        <v>659182</v>
      </c>
      <c r="K20" s="611">
        <v>675443</v>
      </c>
      <c r="L20" s="611">
        <v>340946</v>
      </c>
      <c r="M20" s="611">
        <v>334497</v>
      </c>
      <c r="N20" s="611">
        <v>273402</v>
      </c>
      <c r="O20" s="611">
        <v>43793</v>
      </c>
      <c r="P20" s="611">
        <v>9362</v>
      </c>
      <c r="Q20" s="611">
        <v>8032</v>
      </c>
      <c r="R20" s="260">
        <v>1378365</v>
      </c>
      <c r="S20" s="260">
        <v>950458</v>
      </c>
      <c r="T20" s="494">
        <v>427907</v>
      </c>
      <c r="U20" s="612" t="s">
        <v>314</v>
      </c>
      <c r="V20" s="89"/>
    </row>
    <row r="21" spans="1:22" s="94" customFormat="1" ht="14.25" customHeight="1" x14ac:dyDescent="0.15">
      <c r="A21" s="89"/>
      <c r="B21" s="613"/>
      <c r="C21" s="601" t="s">
        <v>171</v>
      </c>
      <c r="D21" s="602"/>
      <c r="E21" s="604">
        <v>8620610</v>
      </c>
      <c r="F21" s="604">
        <v>1672985</v>
      </c>
      <c r="G21" s="604">
        <v>1460402</v>
      </c>
      <c r="H21" s="604">
        <v>748659</v>
      </c>
      <c r="I21" s="604">
        <v>1279868</v>
      </c>
      <c r="J21" s="604">
        <v>1425669</v>
      </c>
      <c r="K21" s="604">
        <v>2033027</v>
      </c>
      <c r="L21" s="604">
        <v>717917</v>
      </c>
      <c r="M21" s="604">
        <v>1315110</v>
      </c>
      <c r="N21" s="604">
        <v>419883</v>
      </c>
      <c r="O21" s="604">
        <v>181944</v>
      </c>
      <c r="P21" s="604">
        <v>9341</v>
      </c>
      <c r="Q21" s="604">
        <v>11704</v>
      </c>
      <c r="R21" s="262">
        <v>1670013</v>
      </c>
      <c r="S21" s="262">
        <v>1075114</v>
      </c>
      <c r="T21" s="493">
        <v>594899</v>
      </c>
      <c r="U21" s="605" t="s">
        <v>961</v>
      </c>
      <c r="V21" s="89"/>
    </row>
    <row r="22" spans="1:22" s="94" customFormat="1" ht="14.1" customHeight="1" x14ac:dyDescent="0.15">
      <c r="A22" s="89"/>
      <c r="B22" s="606" t="s">
        <v>546</v>
      </c>
      <c r="C22" s="607" t="s">
        <v>316</v>
      </c>
      <c r="D22" s="174"/>
      <c r="E22" s="258">
        <v>4765109</v>
      </c>
      <c r="F22" s="258">
        <v>798142</v>
      </c>
      <c r="G22" s="258">
        <v>1110912</v>
      </c>
      <c r="H22" s="258">
        <v>407031</v>
      </c>
      <c r="I22" s="258">
        <v>626632</v>
      </c>
      <c r="J22" s="258">
        <v>655146</v>
      </c>
      <c r="K22" s="258">
        <v>1167246</v>
      </c>
      <c r="L22" s="258">
        <v>321106</v>
      </c>
      <c r="M22" s="258">
        <v>846140</v>
      </c>
      <c r="N22" s="258">
        <v>151806</v>
      </c>
      <c r="O22" s="258">
        <v>138103</v>
      </c>
      <c r="P22" s="258" t="s">
        <v>796</v>
      </c>
      <c r="Q22" s="258">
        <v>3578</v>
      </c>
      <c r="R22" s="261">
        <v>218903</v>
      </c>
      <c r="S22" s="261">
        <v>66773</v>
      </c>
      <c r="T22" s="390">
        <v>152130</v>
      </c>
      <c r="U22" s="59" t="s">
        <v>178</v>
      </c>
      <c r="V22" s="89"/>
    </row>
    <row r="23" spans="1:22" s="94" customFormat="1" ht="14.1" customHeight="1" x14ac:dyDescent="0.15">
      <c r="A23" s="89"/>
      <c r="B23" s="608"/>
      <c r="C23" s="609" t="s">
        <v>315</v>
      </c>
      <c r="D23" s="610"/>
      <c r="E23" s="611">
        <v>3855501</v>
      </c>
      <c r="F23" s="611">
        <v>874843</v>
      </c>
      <c r="G23" s="611">
        <v>349490</v>
      </c>
      <c r="H23" s="611">
        <v>341628</v>
      </c>
      <c r="I23" s="611">
        <v>653236</v>
      </c>
      <c r="J23" s="611">
        <v>770523</v>
      </c>
      <c r="K23" s="611">
        <v>865781</v>
      </c>
      <c r="L23" s="611">
        <v>396811</v>
      </c>
      <c r="M23" s="611">
        <v>468970</v>
      </c>
      <c r="N23" s="611">
        <v>268077</v>
      </c>
      <c r="O23" s="611">
        <v>43841</v>
      </c>
      <c r="P23" s="611">
        <v>9341</v>
      </c>
      <c r="Q23" s="611">
        <v>8126</v>
      </c>
      <c r="R23" s="260">
        <v>1451110</v>
      </c>
      <c r="S23" s="260">
        <v>1008341</v>
      </c>
      <c r="T23" s="494">
        <v>442769</v>
      </c>
      <c r="U23" s="612" t="s">
        <v>314</v>
      </c>
      <c r="V23" s="89"/>
    </row>
    <row r="24" spans="1:22" s="94" customFormat="1" ht="14.25" customHeight="1" x14ac:dyDescent="0.15">
      <c r="A24" s="89"/>
      <c r="B24" s="613"/>
      <c r="C24" s="601" t="s">
        <v>171</v>
      </c>
      <c r="D24" s="602"/>
      <c r="E24" s="604">
        <v>9372206</v>
      </c>
      <c r="F24" s="604">
        <v>1859695</v>
      </c>
      <c r="G24" s="604">
        <v>1471973</v>
      </c>
      <c r="H24" s="604">
        <v>826608</v>
      </c>
      <c r="I24" s="604">
        <v>1628317</v>
      </c>
      <c r="J24" s="604">
        <v>1574736</v>
      </c>
      <c r="K24" s="604">
        <v>2010877</v>
      </c>
      <c r="L24" s="604">
        <v>739157</v>
      </c>
      <c r="M24" s="604">
        <v>1271720</v>
      </c>
      <c r="N24" s="604">
        <v>435006</v>
      </c>
      <c r="O24" s="604">
        <v>206706</v>
      </c>
      <c r="P24" s="604">
        <v>9615</v>
      </c>
      <c r="Q24" s="604">
        <v>11821</v>
      </c>
      <c r="R24" s="262">
        <v>1746714</v>
      </c>
      <c r="S24" s="262">
        <v>1105537</v>
      </c>
      <c r="T24" s="493">
        <v>641177</v>
      </c>
      <c r="U24" s="605" t="s">
        <v>962</v>
      </c>
      <c r="V24" s="89"/>
    </row>
    <row r="25" spans="1:22" s="94" customFormat="1" ht="14.1" customHeight="1" x14ac:dyDescent="0.15">
      <c r="A25" s="89"/>
      <c r="B25" s="606" t="s">
        <v>547</v>
      </c>
      <c r="C25" s="607" t="s">
        <v>316</v>
      </c>
      <c r="D25" s="174"/>
      <c r="E25" s="258">
        <v>5173631</v>
      </c>
      <c r="F25" s="258">
        <v>941522</v>
      </c>
      <c r="G25" s="258">
        <v>1133045</v>
      </c>
      <c r="H25" s="258">
        <v>507123</v>
      </c>
      <c r="I25" s="258">
        <v>704155</v>
      </c>
      <c r="J25" s="258">
        <v>760602</v>
      </c>
      <c r="K25" s="258">
        <v>1127184</v>
      </c>
      <c r="L25" s="258">
        <v>305861</v>
      </c>
      <c r="M25" s="258">
        <v>821323</v>
      </c>
      <c r="N25" s="258">
        <v>154444</v>
      </c>
      <c r="O25" s="258">
        <v>156705</v>
      </c>
      <c r="P25" s="258" t="s">
        <v>796</v>
      </c>
      <c r="Q25" s="258">
        <v>3567</v>
      </c>
      <c r="R25" s="261">
        <v>222867</v>
      </c>
      <c r="S25" s="261">
        <v>68892</v>
      </c>
      <c r="T25" s="390">
        <v>153975</v>
      </c>
      <c r="U25" s="59" t="s">
        <v>613</v>
      </c>
      <c r="V25" s="89"/>
    </row>
    <row r="26" spans="1:22" s="94" customFormat="1" ht="14.1" customHeight="1" x14ac:dyDescent="0.15">
      <c r="A26" s="89"/>
      <c r="B26" s="608"/>
      <c r="C26" s="609" t="s">
        <v>315</v>
      </c>
      <c r="D26" s="610"/>
      <c r="E26" s="611">
        <v>4198575</v>
      </c>
      <c r="F26" s="611">
        <v>918173</v>
      </c>
      <c r="G26" s="611">
        <v>338928</v>
      </c>
      <c r="H26" s="611">
        <v>319485</v>
      </c>
      <c r="I26" s="611">
        <v>924162</v>
      </c>
      <c r="J26" s="611">
        <v>814134</v>
      </c>
      <c r="K26" s="611">
        <v>883693</v>
      </c>
      <c r="L26" s="611">
        <v>433296</v>
      </c>
      <c r="M26" s="611">
        <v>450397</v>
      </c>
      <c r="N26" s="611">
        <v>280562</v>
      </c>
      <c r="O26" s="611">
        <v>50001</v>
      </c>
      <c r="P26" s="611">
        <v>9615</v>
      </c>
      <c r="Q26" s="611">
        <v>8254</v>
      </c>
      <c r="R26" s="260">
        <v>1523847</v>
      </c>
      <c r="S26" s="260">
        <v>1036645</v>
      </c>
      <c r="T26" s="494">
        <v>487202</v>
      </c>
      <c r="U26" s="612" t="s">
        <v>314</v>
      </c>
      <c r="V26" s="89"/>
    </row>
    <row r="27" spans="1:22" s="94" customFormat="1" ht="14.25" customHeight="1" x14ac:dyDescent="0.15">
      <c r="A27" s="89"/>
      <c r="B27" s="613"/>
      <c r="C27" s="601" t="s">
        <v>171</v>
      </c>
      <c r="D27" s="602"/>
      <c r="E27" s="604">
        <v>9186570</v>
      </c>
      <c r="F27" s="604">
        <v>1712534</v>
      </c>
      <c r="G27" s="604">
        <v>1345740</v>
      </c>
      <c r="H27" s="604">
        <v>762626</v>
      </c>
      <c r="I27" s="604">
        <v>1728280</v>
      </c>
      <c r="J27" s="604">
        <v>1617200</v>
      </c>
      <c r="K27" s="604">
        <v>2020190</v>
      </c>
      <c r="L27" s="604">
        <v>754705</v>
      </c>
      <c r="M27" s="604">
        <v>1265485</v>
      </c>
      <c r="N27" s="604">
        <v>431597</v>
      </c>
      <c r="O27" s="604">
        <v>216325</v>
      </c>
      <c r="P27" s="604">
        <v>9894</v>
      </c>
      <c r="Q27" s="604">
        <v>12184</v>
      </c>
      <c r="R27" s="262">
        <v>1748081</v>
      </c>
      <c r="S27" s="262">
        <v>1109746</v>
      </c>
      <c r="T27" s="493">
        <v>638335</v>
      </c>
      <c r="U27" s="605" t="s">
        <v>963</v>
      </c>
      <c r="V27" s="89"/>
    </row>
    <row r="28" spans="1:22" s="94" customFormat="1" ht="14.1" customHeight="1" x14ac:dyDescent="0.15">
      <c r="A28" s="89"/>
      <c r="B28" s="606" t="s">
        <v>614</v>
      </c>
      <c r="C28" s="607" t="s">
        <v>316</v>
      </c>
      <c r="D28" s="174"/>
      <c r="E28" s="258">
        <v>4944540</v>
      </c>
      <c r="F28" s="258">
        <v>868956</v>
      </c>
      <c r="G28" s="258">
        <v>1097505</v>
      </c>
      <c r="H28" s="258">
        <v>437867</v>
      </c>
      <c r="I28" s="258">
        <v>599116</v>
      </c>
      <c r="J28" s="258">
        <v>800299</v>
      </c>
      <c r="K28" s="258">
        <v>1140797</v>
      </c>
      <c r="L28" s="258">
        <v>319908</v>
      </c>
      <c r="M28" s="258">
        <v>820889</v>
      </c>
      <c r="N28" s="258">
        <v>151215</v>
      </c>
      <c r="O28" s="258">
        <v>171898</v>
      </c>
      <c r="P28" s="258" t="s">
        <v>796</v>
      </c>
      <c r="Q28" s="258">
        <v>3980</v>
      </c>
      <c r="R28" s="261">
        <v>208117</v>
      </c>
      <c r="S28" s="261">
        <v>59261</v>
      </c>
      <c r="T28" s="390">
        <v>148856</v>
      </c>
      <c r="U28" s="59" t="s">
        <v>178</v>
      </c>
      <c r="V28" s="89"/>
    </row>
    <row r="29" spans="1:22" s="94" customFormat="1" ht="14.1" customHeight="1" x14ac:dyDescent="0.15">
      <c r="A29" s="89"/>
      <c r="B29" s="608"/>
      <c r="C29" s="609" t="s">
        <v>315</v>
      </c>
      <c r="D29" s="610"/>
      <c r="E29" s="611">
        <v>4242030</v>
      </c>
      <c r="F29" s="611">
        <v>843578</v>
      </c>
      <c r="G29" s="611">
        <v>248235</v>
      </c>
      <c r="H29" s="611">
        <v>324759</v>
      </c>
      <c r="I29" s="611">
        <v>1129164</v>
      </c>
      <c r="J29" s="611">
        <v>816901</v>
      </c>
      <c r="K29" s="611">
        <v>879393</v>
      </c>
      <c r="L29" s="611">
        <v>434797</v>
      </c>
      <c r="M29" s="611">
        <v>444596</v>
      </c>
      <c r="N29" s="611">
        <v>280382</v>
      </c>
      <c r="O29" s="611">
        <v>44427</v>
      </c>
      <c r="P29" s="611">
        <v>9894</v>
      </c>
      <c r="Q29" s="611">
        <v>8204</v>
      </c>
      <c r="R29" s="260">
        <v>1539964</v>
      </c>
      <c r="S29" s="260">
        <v>1050485</v>
      </c>
      <c r="T29" s="494">
        <v>489479</v>
      </c>
      <c r="U29" s="612" t="s">
        <v>314</v>
      </c>
      <c r="V29" s="89"/>
    </row>
    <row r="30" spans="1:22" s="94" customFormat="1" ht="14.25" customHeight="1" x14ac:dyDescent="0.15">
      <c r="A30" s="89"/>
      <c r="B30" s="613"/>
      <c r="C30" s="601" t="s">
        <v>171</v>
      </c>
      <c r="D30" s="602"/>
      <c r="E30" s="604">
        <v>8846028</v>
      </c>
      <c r="F30" s="604">
        <v>1512269</v>
      </c>
      <c r="G30" s="604">
        <v>1362378</v>
      </c>
      <c r="H30" s="604">
        <v>746764</v>
      </c>
      <c r="I30" s="604">
        <v>1823999</v>
      </c>
      <c r="J30" s="604">
        <v>1407598</v>
      </c>
      <c r="K30" s="604">
        <v>1993020</v>
      </c>
      <c r="L30" s="604">
        <v>699555</v>
      </c>
      <c r="M30" s="604">
        <v>1293465</v>
      </c>
      <c r="N30" s="604">
        <v>423922</v>
      </c>
      <c r="O30" s="604">
        <v>203250</v>
      </c>
      <c r="P30" s="604">
        <v>9704</v>
      </c>
      <c r="Q30" s="604">
        <v>12385</v>
      </c>
      <c r="R30" s="262">
        <v>1704154</v>
      </c>
      <c r="S30" s="262">
        <v>1137094</v>
      </c>
      <c r="T30" s="493">
        <v>567060</v>
      </c>
      <c r="U30" s="605" t="s">
        <v>964</v>
      </c>
      <c r="V30" s="89"/>
    </row>
    <row r="31" spans="1:22" s="94" customFormat="1" ht="14.1" customHeight="1" x14ac:dyDescent="0.15">
      <c r="A31" s="89"/>
      <c r="B31" s="606" t="s">
        <v>548</v>
      </c>
      <c r="C31" s="607" t="s">
        <v>316</v>
      </c>
      <c r="D31" s="174"/>
      <c r="E31" s="258">
        <v>4637947</v>
      </c>
      <c r="F31" s="258">
        <v>769851</v>
      </c>
      <c r="G31" s="258">
        <v>942605</v>
      </c>
      <c r="H31" s="258">
        <v>441743</v>
      </c>
      <c r="I31" s="258">
        <v>607010</v>
      </c>
      <c r="J31" s="258">
        <v>740168</v>
      </c>
      <c r="K31" s="258">
        <v>1136570</v>
      </c>
      <c r="L31" s="258">
        <v>289943</v>
      </c>
      <c r="M31" s="258">
        <v>846627</v>
      </c>
      <c r="N31" s="258">
        <v>141584</v>
      </c>
      <c r="O31" s="258">
        <v>155664</v>
      </c>
      <c r="P31" s="258" t="s">
        <v>796</v>
      </c>
      <c r="Q31" s="258">
        <v>3931</v>
      </c>
      <c r="R31" s="261">
        <v>202040</v>
      </c>
      <c r="S31" s="261">
        <v>61954</v>
      </c>
      <c r="T31" s="390">
        <v>140086</v>
      </c>
      <c r="U31" s="59" t="s">
        <v>178</v>
      </c>
      <c r="V31" s="89"/>
    </row>
    <row r="32" spans="1:22" s="94" customFormat="1" ht="14.1" customHeight="1" x14ac:dyDescent="0.15">
      <c r="A32" s="89"/>
      <c r="B32" s="608"/>
      <c r="C32" s="609" t="s">
        <v>315</v>
      </c>
      <c r="D32" s="610"/>
      <c r="E32" s="611">
        <v>4208081</v>
      </c>
      <c r="F32" s="611">
        <v>742418</v>
      </c>
      <c r="G32" s="611">
        <v>419773</v>
      </c>
      <c r="H32" s="611">
        <v>305021</v>
      </c>
      <c r="I32" s="611">
        <v>1216989</v>
      </c>
      <c r="J32" s="611">
        <v>667430</v>
      </c>
      <c r="K32" s="611">
        <v>856450</v>
      </c>
      <c r="L32" s="611">
        <v>409612</v>
      </c>
      <c r="M32" s="611">
        <v>446838</v>
      </c>
      <c r="N32" s="611">
        <v>282338</v>
      </c>
      <c r="O32" s="611">
        <v>47586</v>
      </c>
      <c r="P32" s="611">
        <v>9704</v>
      </c>
      <c r="Q32" s="611">
        <v>8454</v>
      </c>
      <c r="R32" s="260">
        <v>1502114</v>
      </c>
      <c r="S32" s="260">
        <v>1075140</v>
      </c>
      <c r="T32" s="494">
        <v>426974</v>
      </c>
      <c r="U32" s="612" t="s">
        <v>314</v>
      </c>
      <c r="V32" s="89"/>
    </row>
    <row r="33" spans="1:22" s="94" customFormat="1" ht="14.25" customHeight="1" x14ac:dyDescent="0.15">
      <c r="A33" s="89"/>
      <c r="B33" s="613"/>
      <c r="C33" s="601" t="s">
        <v>171</v>
      </c>
      <c r="D33" s="602"/>
      <c r="E33" s="604">
        <v>9290332</v>
      </c>
      <c r="F33" s="604">
        <v>1517167</v>
      </c>
      <c r="G33" s="604">
        <v>1349848</v>
      </c>
      <c r="H33" s="604">
        <v>734707</v>
      </c>
      <c r="I33" s="604">
        <v>2082481</v>
      </c>
      <c r="J33" s="604">
        <v>1655062</v>
      </c>
      <c r="K33" s="604">
        <v>1951067</v>
      </c>
      <c r="L33" s="604">
        <v>705048</v>
      </c>
      <c r="M33" s="604">
        <v>1246019</v>
      </c>
      <c r="N33" s="604">
        <v>424691</v>
      </c>
      <c r="O33" s="604">
        <v>219684</v>
      </c>
      <c r="P33" s="604">
        <v>9637</v>
      </c>
      <c r="Q33" s="604">
        <v>12377</v>
      </c>
      <c r="R33" s="262">
        <v>1748528</v>
      </c>
      <c r="S33" s="262">
        <v>1160824</v>
      </c>
      <c r="T33" s="493">
        <v>587704</v>
      </c>
      <c r="U33" s="605" t="s">
        <v>965</v>
      </c>
      <c r="V33" s="89"/>
    </row>
    <row r="34" spans="1:22" s="94" customFormat="1" ht="14.1" customHeight="1" x14ac:dyDescent="0.15">
      <c r="A34" s="89"/>
      <c r="B34" s="606" t="s">
        <v>549</v>
      </c>
      <c r="C34" s="607" t="s">
        <v>316</v>
      </c>
      <c r="D34" s="174"/>
      <c r="E34" s="258">
        <v>4947335</v>
      </c>
      <c r="F34" s="258">
        <v>826785</v>
      </c>
      <c r="G34" s="258">
        <v>901054</v>
      </c>
      <c r="H34" s="258">
        <v>433278</v>
      </c>
      <c r="I34" s="258">
        <v>741254</v>
      </c>
      <c r="J34" s="258">
        <v>926974</v>
      </c>
      <c r="K34" s="258">
        <v>1117990</v>
      </c>
      <c r="L34" s="258">
        <v>308452</v>
      </c>
      <c r="M34" s="258">
        <v>809538</v>
      </c>
      <c r="N34" s="258">
        <v>144302</v>
      </c>
      <c r="O34" s="258">
        <v>176058</v>
      </c>
      <c r="P34" s="258" t="s">
        <v>796</v>
      </c>
      <c r="Q34" s="258">
        <v>3230</v>
      </c>
      <c r="R34" s="261">
        <v>194304</v>
      </c>
      <c r="S34" s="261">
        <v>59048</v>
      </c>
      <c r="T34" s="390">
        <v>135256</v>
      </c>
      <c r="U34" s="59" t="s">
        <v>178</v>
      </c>
      <c r="V34" s="89"/>
    </row>
    <row r="35" spans="1:22" s="94" customFormat="1" ht="14.1" customHeight="1" x14ac:dyDescent="0.15">
      <c r="A35" s="89"/>
      <c r="B35" s="608"/>
      <c r="C35" s="609" t="s">
        <v>315</v>
      </c>
      <c r="D35" s="610"/>
      <c r="E35" s="611">
        <v>4342997</v>
      </c>
      <c r="F35" s="611">
        <v>690382</v>
      </c>
      <c r="G35" s="611">
        <v>448794</v>
      </c>
      <c r="H35" s="611">
        <v>301429</v>
      </c>
      <c r="I35" s="611">
        <v>1341227</v>
      </c>
      <c r="J35" s="611">
        <v>728088</v>
      </c>
      <c r="K35" s="611">
        <v>833077</v>
      </c>
      <c r="L35" s="611">
        <v>396596</v>
      </c>
      <c r="M35" s="611">
        <v>436481</v>
      </c>
      <c r="N35" s="611">
        <v>280389</v>
      </c>
      <c r="O35" s="611">
        <v>43626</v>
      </c>
      <c r="P35" s="611">
        <v>9637</v>
      </c>
      <c r="Q35" s="611">
        <v>9147</v>
      </c>
      <c r="R35" s="260">
        <v>1554224</v>
      </c>
      <c r="S35" s="260">
        <v>1101776</v>
      </c>
      <c r="T35" s="494">
        <v>452448</v>
      </c>
      <c r="U35" s="612" t="s">
        <v>314</v>
      </c>
      <c r="V35" s="89"/>
    </row>
    <row r="36" spans="1:22" s="94" customFormat="1" ht="14.25" customHeight="1" x14ac:dyDescent="0.15">
      <c r="A36" s="89"/>
      <c r="B36" s="613"/>
      <c r="C36" s="601" t="s">
        <v>171</v>
      </c>
      <c r="D36" s="602"/>
      <c r="E36" s="604">
        <v>9879994</v>
      </c>
      <c r="F36" s="604">
        <v>1594059</v>
      </c>
      <c r="G36" s="604">
        <v>1516259</v>
      </c>
      <c r="H36" s="604">
        <v>855294</v>
      </c>
      <c r="I36" s="604">
        <v>2384680</v>
      </c>
      <c r="J36" s="604">
        <v>1589284</v>
      </c>
      <c r="K36" s="604">
        <v>1940418</v>
      </c>
      <c r="L36" s="604">
        <v>674268</v>
      </c>
      <c r="M36" s="604">
        <v>1266150</v>
      </c>
      <c r="N36" s="604">
        <v>417480</v>
      </c>
      <c r="O36" s="604">
        <v>191979</v>
      </c>
      <c r="P36" s="604">
        <v>9577</v>
      </c>
      <c r="Q36" s="604">
        <v>11740</v>
      </c>
      <c r="R36" s="262">
        <v>1797044</v>
      </c>
      <c r="S36" s="262">
        <v>1236812</v>
      </c>
      <c r="T36" s="493">
        <v>560232</v>
      </c>
      <c r="U36" s="605" t="s">
        <v>966</v>
      </c>
      <c r="V36" s="89"/>
    </row>
    <row r="37" spans="1:22" s="94" customFormat="1" ht="14.1" customHeight="1" x14ac:dyDescent="0.15">
      <c r="A37" s="89"/>
      <c r="B37" s="606" t="s">
        <v>615</v>
      </c>
      <c r="C37" s="607" t="s">
        <v>316</v>
      </c>
      <c r="D37" s="174"/>
      <c r="E37" s="258">
        <v>5360729</v>
      </c>
      <c r="F37" s="258">
        <v>817090</v>
      </c>
      <c r="G37" s="258">
        <v>1111148</v>
      </c>
      <c r="H37" s="258">
        <v>559909</v>
      </c>
      <c r="I37" s="258">
        <v>878606</v>
      </c>
      <c r="J37" s="258">
        <v>928804</v>
      </c>
      <c r="K37" s="258">
        <v>1065172</v>
      </c>
      <c r="L37" s="258">
        <v>273782</v>
      </c>
      <c r="M37" s="258">
        <v>791390</v>
      </c>
      <c r="N37" s="258">
        <v>148861</v>
      </c>
      <c r="O37" s="258">
        <v>154608</v>
      </c>
      <c r="P37" s="258" t="s">
        <v>796</v>
      </c>
      <c r="Q37" s="258">
        <v>3435</v>
      </c>
      <c r="R37" s="261">
        <v>187330</v>
      </c>
      <c r="S37" s="261">
        <v>61292</v>
      </c>
      <c r="T37" s="390">
        <v>126038</v>
      </c>
      <c r="U37" s="59" t="s">
        <v>178</v>
      </c>
      <c r="V37" s="89"/>
    </row>
    <row r="38" spans="1:22" s="94" customFormat="1" ht="14.1" customHeight="1" x14ac:dyDescent="0.15">
      <c r="A38" s="89"/>
      <c r="B38" s="608"/>
      <c r="C38" s="609" t="s">
        <v>315</v>
      </c>
      <c r="D38" s="610"/>
      <c r="E38" s="611">
        <v>4519265</v>
      </c>
      <c r="F38" s="611">
        <v>776969</v>
      </c>
      <c r="G38" s="611">
        <v>405111</v>
      </c>
      <c r="H38" s="611">
        <v>295385</v>
      </c>
      <c r="I38" s="611">
        <v>1506074</v>
      </c>
      <c r="J38" s="611">
        <v>660480</v>
      </c>
      <c r="K38" s="611">
        <v>875246</v>
      </c>
      <c r="L38" s="611">
        <v>400486</v>
      </c>
      <c r="M38" s="611">
        <v>474760</v>
      </c>
      <c r="N38" s="611">
        <v>268619</v>
      </c>
      <c r="O38" s="611">
        <v>37371</v>
      </c>
      <c r="P38" s="611">
        <v>9577</v>
      </c>
      <c r="Q38" s="611">
        <v>8305</v>
      </c>
      <c r="R38" s="260">
        <v>1609714</v>
      </c>
      <c r="S38" s="260">
        <v>1175520</v>
      </c>
      <c r="T38" s="494">
        <v>434194</v>
      </c>
      <c r="U38" s="612" t="s">
        <v>314</v>
      </c>
      <c r="V38" s="89"/>
    </row>
    <row r="39" spans="1:22" s="94" customFormat="1" ht="14.25" customHeight="1" x14ac:dyDescent="0.15">
      <c r="A39" s="89"/>
      <c r="B39" s="613"/>
      <c r="C39" s="601" t="s">
        <v>171</v>
      </c>
      <c r="D39" s="602"/>
      <c r="E39" s="604">
        <v>10231723</v>
      </c>
      <c r="F39" s="604">
        <v>1694218</v>
      </c>
      <c r="G39" s="604">
        <v>1382965</v>
      </c>
      <c r="H39" s="604">
        <v>901945</v>
      </c>
      <c r="I39" s="604">
        <v>2691477</v>
      </c>
      <c r="J39" s="604">
        <v>1463522</v>
      </c>
      <c r="K39" s="604">
        <v>2097596</v>
      </c>
      <c r="L39" s="604">
        <v>751045</v>
      </c>
      <c r="M39" s="604">
        <v>1346551</v>
      </c>
      <c r="N39" s="604">
        <v>417243</v>
      </c>
      <c r="O39" s="604">
        <v>165464</v>
      </c>
      <c r="P39" s="604">
        <v>9800</v>
      </c>
      <c r="Q39" s="604">
        <v>12432</v>
      </c>
      <c r="R39" s="262">
        <v>1771130</v>
      </c>
      <c r="S39" s="262">
        <v>1207329</v>
      </c>
      <c r="T39" s="493">
        <v>563801</v>
      </c>
      <c r="U39" s="605" t="s">
        <v>967</v>
      </c>
      <c r="V39" s="89"/>
    </row>
    <row r="40" spans="1:22" s="94" customFormat="1" ht="14.1" customHeight="1" x14ac:dyDescent="0.15">
      <c r="A40" s="89"/>
      <c r="B40" s="606" t="s">
        <v>550</v>
      </c>
      <c r="C40" s="607" t="s">
        <v>316</v>
      </c>
      <c r="D40" s="174"/>
      <c r="E40" s="258">
        <v>5317246</v>
      </c>
      <c r="F40" s="258">
        <v>864569</v>
      </c>
      <c r="G40" s="258">
        <v>1054948</v>
      </c>
      <c r="H40" s="258">
        <v>526640</v>
      </c>
      <c r="I40" s="258">
        <v>920815</v>
      </c>
      <c r="J40" s="258">
        <v>802344</v>
      </c>
      <c r="K40" s="258">
        <v>1147930</v>
      </c>
      <c r="L40" s="258">
        <v>283955</v>
      </c>
      <c r="M40" s="258">
        <v>863975</v>
      </c>
      <c r="N40" s="258">
        <v>146476</v>
      </c>
      <c r="O40" s="258">
        <v>133789</v>
      </c>
      <c r="P40" s="258" t="s">
        <v>796</v>
      </c>
      <c r="Q40" s="258">
        <v>3645</v>
      </c>
      <c r="R40" s="261">
        <v>191134</v>
      </c>
      <c r="S40" s="261">
        <v>62772</v>
      </c>
      <c r="T40" s="390">
        <v>128362</v>
      </c>
      <c r="U40" s="59" t="s">
        <v>178</v>
      </c>
      <c r="V40" s="89"/>
    </row>
    <row r="41" spans="1:22" s="94" customFormat="1" ht="14.1" customHeight="1" x14ac:dyDescent="0.15">
      <c r="A41" s="89"/>
      <c r="B41" s="608"/>
      <c r="C41" s="609" t="s">
        <v>315</v>
      </c>
      <c r="D41" s="610"/>
      <c r="E41" s="611">
        <v>4914477</v>
      </c>
      <c r="F41" s="611">
        <v>829649</v>
      </c>
      <c r="G41" s="611">
        <v>328017</v>
      </c>
      <c r="H41" s="611">
        <v>375305</v>
      </c>
      <c r="I41" s="611">
        <v>1770662</v>
      </c>
      <c r="J41" s="611">
        <v>661178</v>
      </c>
      <c r="K41" s="611">
        <v>949666</v>
      </c>
      <c r="L41" s="611">
        <v>467090</v>
      </c>
      <c r="M41" s="611">
        <v>482576</v>
      </c>
      <c r="N41" s="611">
        <v>270767</v>
      </c>
      <c r="O41" s="611">
        <v>31675</v>
      </c>
      <c r="P41" s="611">
        <v>9800</v>
      </c>
      <c r="Q41" s="611">
        <v>8787</v>
      </c>
      <c r="R41" s="260">
        <v>1579996</v>
      </c>
      <c r="S41" s="260">
        <v>1144557</v>
      </c>
      <c r="T41" s="494">
        <v>435439</v>
      </c>
      <c r="U41" s="612" t="s">
        <v>314</v>
      </c>
      <c r="V41" s="89"/>
    </row>
    <row r="42" spans="1:22" s="94" customFormat="1" ht="14.25" customHeight="1" x14ac:dyDescent="0.15">
      <c r="A42" s="89"/>
      <c r="B42" s="613"/>
      <c r="C42" s="601" t="s">
        <v>171</v>
      </c>
      <c r="D42" s="602"/>
      <c r="E42" s="604">
        <v>10143268</v>
      </c>
      <c r="F42" s="604">
        <v>1710013</v>
      </c>
      <c r="G42" s="604">
        <v>1540888</v>
      </c>
      <c r="H42" s="604">
        <v>796097</v>
      </c>
      <c r="I42" s="604">
        <v>2643216</v>
      </c>
      <c r="J42" s="604">
        <v>1494471</v>
      </c>
      <c r="K42" s="604">
        <v>1958583</v>
      </c>
      <c r="L42" s="604">
        <v>758102</v>
      </c>
      <c r="M42" s="604">
        <v>1200481</v>
      </c>
      <c r="N42" s="604">
        <v>425291</v>
      </c>
      <c r="O42" s="604">
        <v>170824</v>
      </c>
      <c r="P42" s="604">
        <v>10164</v>
      </c>
      <c r="Q42" s="604">
        <v>11567</v>
      </c>
      <c r="R42" s="262">
        <v>1681321</v>
      </c>
      <c r="S42" s="262">
        <v>1136542</v>
      </c>
      <c r="T42" s="493">
        <v>544779</v>
      </c>
      <c r="U42" s="605" t="s">
        <v>968</v>
      </c>
      <c r="V42" s="89"/>
    </row>
    <row r="43" spans="1:22" s="94" customFormat="1" ht="14.1" customHeight="1" x14ac:dyDescent="0.15">
      <c r="A43" s="89"/>
      <c r="B43" s="606" t="s">
        <v>551</v>
      </c>
      <c r="C43" s="607" t="s">
        <v>316</v>
      </c>
      <c r="D43" s="174"/>
      <c r="E43" s="258">
        <v>5158236</v>
      </c>
      <c r="F43" s="258">
        <v>827747</v>
      </c>
      <c r="G43" s="258">
        <v>1091598</v>
      </c>
      <c r="H43" s="258">
        <v>454797</v>
      </c>
      <c r="I43" s="258">
        <v>894785</v>
      </c>
      <c r="J43" s="258">
        <v>833232</v>
      </c>
      <c r="K43" s="258">
        <v>1056077</v>
      </c>
      <c r="L43" s="258">
        <v>285784</v>
      </c>
      <c r="M43" s="258">
        <v>770293</v>
      </c>
      <c r="N43" s="258">
        <v>152541</v>
      </c>
      <c r="O43" s="258">
        <v>138176</v>
      </c>
      <c r="P43" s="258" t="s">
        <v>796</v>
      </c>
      <c r="Q43" s="258">
        <v>3368</v>
      </c>
      <c r="R43" s="261">
        <v>202945</v>
      </c>
      <c r="S43" s="261">
        <v>64097</v>
      </c>
      <c r="T43" s="390">
        <v>138848</v>
      </c>
      <c r="U43" s="59" t="s">
        <v>178</v>
      </c>
      <c r="V43" s="89"/>
    </row>
    <row r="44" spans="1:22" s="94" customFormat="1" ht="14.1" customHeight="1" x14ac:dyDescent="0.15">
      <c r="A44" s="89"/>
      <c r="B44" s="608"/>
      <c r="C44" s="609" t="s">
        <v>315</v>
      </c>
      <c r="D44" s="610"/>
      <c r="E44" s="611">
        <v>4985032</v>
      </c>
      <c r="F44" s="611">
        <v>882266</v>
      </c>
      <c r="G44" s="611">
        <v>449290</v>
      </c>
      <c r="H44" s="611">
        <v>341300</v>
      </c>
      <c r="I44" s="611">
        <v>1748431</v>
      </c>
      <c r="J44" s="611">
        <v>661239</v>
      </c>
      <c r="K44" s="611">
        <v>902506</v>
      </c>
      <c r="L44" s="611">
        <v>472318</v>
      </c>
      <c r="M44" s="611">
        <v>430188</v>
      </c>
      <c r="N44" s="611">
        <v>272750</v>
      </c>
      <c r="O44" s="611">
        <v>32648</v>
      </c>
      <c r="P44" s="611">
        <v>10164</v>
      </c>
      <c r="Q44" s="611">
        <v>8199</v>
      </c>
      <c r="R44" s="260">
        <v>1478376</v>
      </c>
      <c r="S44" s="260">
        <v>1072445</v>
      </c>
      <c r="T44" s="494">
        <v>405931</v>
      </c>
      <c r="U44" s="612" t="s">
        <v>314</v>
      </c>
      <c r="V44" s="89"/>
    </row>
    <row r="45" spans="1:22" s="94" customFormat="1" ht="14.25" customHeight="1" x14ac:dyDescent="0.15">
      <c r="A45" s="89"/>
      <c r="B45" s="613"/>
      <c r="C45" s="601" t="s">
        <v>171</v>
      </c>
      <c r="D45" s="602"/>
      <c r="E45" s="604">
        <v>9514642</v>
      </c>
      <c r="F45" s="604">
        <v>1708159</v>
      </c>
      <c r="G45" s="604">
        <v>1507700</v>
      </c>
      <c r="H45" s="604">
        <v>765453</v>
      </c>
      <c r="I45" s="604">
        <v>2188777</v>
      </c>
      <c r="J45" s="604">
        <v>1403641</v>
      </c>
      <c r="K45" s="604">
        <v>1940912</v>
      </c>
      <c r="L45" s="604">
        <v>762540</v>
      </c>
      <c r="M45" s="604">
        <v>1178372</v>
      </c>
      <c r="N45" s="604">
        <v>441842</v>
      </c>
      <c r="O45" s="604">
        <v>174640</v>
      </c>
      <c r="P45" s="604">
        <v>9877</v>
      </c>
      <c r="Q45" s="604">
        <v>9701</v>
      </c>
      <c r="R45" s="262">
        <v>1825541</v>
      </c>
      <c r="S45" s="262">
        <v>1220694</v>
      </c>
      <c r="T45" s="493">
        <v>604847</v>
      </c>
      <c r="U45" s="605" t="s">
        <v>969</v>
      </c>
      <c r="V45" s="89"/>
    </row>
    <row r="46" spans="1:22" s="94" customFormat="1" ht="14.1" customHeight="1" x14ac:dyDescent="0.15">
      <c r="A46" s="89"/>
      <c r="B46" s="606" t="s">
        <v>552</v>
      </c>
      <c r="C46" s="607" t="s">
        <v>316</v>
      </c>
      <c r="D46" s="174"/>
      <c r="E46" s="258">
        <v>4895870</v>
      </c>
      <c r="F46" s="258">
        <v>849665</v>
      </c>
      <c r="G46" s="258">
        <v>1142303</v>
      </c>
      <c r="H46" s="258">
        <v>372884</v>
      </c>
      <c r="I46" s="258">
        <v>748159</v>
      </c>
      <c r="J46" s="258">
        <v>728110</v>
      </c>
      <c r="K46" s="258">
        <v>1054749</v>
      </c>
      <c r="L46" s="258">
        <v>306899</v>
      </c>
      <c r="M46" s="258">
        <v>747850</v>
      </c>
      <c r="N46" s="258">
        <v>157701</v>
      </c>
      <c r="O46" s="258">
        <v>133975</v>
      </c>
      <c r="P46" s="258" t="s">
        <v>796</v>
      </c>
      <c r="Q46" s="258">
        <v>2205</v>
      </c>
      <c r="R46" s="261">
        <v>203516</v>
      </c>
      <c r="S46" s="261">
        <v>63311</v>
      </c>
      <c r="T46" s="390">
        <v>140205</v>
      </c>
      <c r="U46" s="59" t="s">
        <v>178</v>
      </c>
      <c r="V46" s="89"/>
    </row>
    <row r="47" spans="1:22" s="94" customFormat="1" ht="14.1" customHeight="1" x14ac:dyDescent="0.15">
      <c r="A47" s="89"/>
      <c r="B47" s="608"/>
      <c r="C47" s="609" t="s">
        <v>315</v>
      </c>
      <c r="D47" s="610"/>
      <c r="E47" s="611">
        <v>4618772</v>
      </c>
      <c r="F47" s="611">
        <v>858494</v>
      </c>
      <c r="G47" s="611">
        <v>365397</v>
      </c>
      <c r="H47" s="611">
        <v>392569</v>
      </c>
      <c r="I47" s="611">
        <v>1440618</v>
      </c>
      <c r="J47" s="611">
        <v>675531</v>
      </c>
      <c r="K47" s="611">
        <v>886163</v>
      </c>
      <c r="L47" s="611">
        <v>455641</v>
      </c>
      <c r="M47" s="611">
        <v>430522</v>
      </c>
      <c r="N47" s="611">
        <v>284141</v>
      </c>
      <c r="O47" s="611">
        <v>40665</v>
      </c>
      <c r="P47" s="611">
        <v>9877</v>
      </c>
      <c r="Q47" s="611">
        <v>7496</v>
      </c>
      <c r="R47" s="260">
        <v>1622025</v>
      </c>
      <c r="S47" s="260">
        <v>1157383</v>
      </c>
      <c r="T47" s="494">
        <v>464642</v>
      </c>
      <c r="U47" s="612" t="s">
        <v>314</v>
      </c>
      <c r="V47" s="89"/>
    </row>
    <row r="48" spans="1:22" s="94" customFormat="1" ht="13.5" customHeight="1" x14ac:dyDescent="0.15">
      <c r="A48" s="89"/>
      <c r="B48" s="1040" t="s">
        <v>970</v>
      </c>
      <c r="C48" s="1040"/>
      <c r="D48" s="615"/>
      <c r="E48" s="616"/>
      <c r="F48" s="258"/>
      <c r="G48" s="258"/>
      <c r="H48" s="258"/>
      <c r="I48" s="258"/>
      <c r="J48" s="258"/>
      <c r="K48" s="258"/>
      <c r="L48" s="258"/>
      <c r="M48" s="258"/>
      <c r="N48" s="258"/>
      <c r="O48" s="258"/>
      <c r="P48" s="258"/>
      <c r="Q48" s="258"/>
      <c r="R48" s="261"/>
      <c r="S48" s="261"/>
      <c r="T48" s="390"/>
      <c r="U48" s="263"/>
      <c r="V48" s="89"/>
    </row>
    <row r="49" spans="1:22" s="94" customFormat="1" ht="14.25" customHeight="1" x14ac:dyDescent="0.15">
      <c r="A49" s="89"/>
      <c r="B49" s="613"/>
      <c r="C49" s="601" t="s">
        <v>171</v>
      </c>
      <c r="D49" s="602"/>
      <c r="E49" s="604">
        <v>9423976</v>
      </c>
      <c r="F49" s="604">
        <v>1836749</v>
      </c>
      <c r="G49" s="604">
        <v>1507096</v>
      </c>
      <c r="H49" s="604">
        <v>647487</v>
      </c>
      <c r="I49" s="604">
        <v>1994004</v>
      </c>
      <c r="J49" s="604">
        <v>1465492</v>
      </c>
      <c r="K49" s="604">
        <v>1973148</v>
      </c>
      <c r="L49" s="604">
        <v>765881</v>
      </c>
      <c r="M49" s="604">
        <v>1207267</v>
      </c>
      <c r="N49" s="604">
        <v>425880</v>
      </c>
      <c r="O49" s="604">
        <v>195250</v>
      </c>
      <c r="P49" s="604">
        <v>9979</v>
      </c>
      <c r="Q49" s="604">
        <v>12046</v>
      </c>
      <c r="R49" s="262">
        <v>1738615</v>
      </c>
      <c r="S49" s="262">
        <v>1135714</v>
      </c>
      <c r="T49" s="493">
        <v>602901</v>
      </c>
      <c r="U49" s="605" t="s">
        <v>971</v>
      </c>
      <c r="V49" s="89"/>
    </row>
    <row r="50" spans="1:22" s="94" customFormat="1" ht="14.1" customHeight="1" x14ac:dyDescent="0.15">
      <c r="A50" s="89"/>
      <c r="B50" s="606" t="s">
        <v>317</v>
      </c>
      <c r="C50" s="607" t="s">
        <v>316</v>
      </c>
      <c r="D50" s="174"/>
      <c r="E50" s="258">
        <v>5102552</v>
      </c>
      <c r="F50" s="258">
        <v>909590</v>
      </c>
      <c r="G50" s="258">
        <v>1137333</v>
      </c>
      <c r="H50" s="258">
        <v>345723</v>
      </c>
      <c r="I50" s="258">
        <v>816921</v>
      </c>
      <c r="J50" s="258">
        <v>812845</v>
      </c>
      <c r="K50" s="258">
        <v>1080140</v>
      </c>
      <c r="L50" s="258">
        <v>296014</v>
      </c>
      <c r="M50" s="258">
        <v>784126</v>
      </c>
      <c r="N50" s="258">
        <v>148094</v>
      </c>
      <c r="O50" s="258">
        <v>150339</v>
      </c>
      <c r="P50" s="258" t="s">
        <v>796</v>
      </c>
      <c r="Q50" s="258">
        <v>3353</v>
      </c>
      <c r="R50" s="261">
        <v>214910</v>
      </c>
      <c r="S50" s="261">
        <v>66273</v>
      </c>
      <c r="T50" s="390">
        <v>148637</v>
      </c>
      <c r="U50" s="59" t="s">
        <v>178</v>
      </c>
      <c r="V50" s="89"/>
    </row>
    <row r="51" spans="1:22" s="94" customFormat="1" ht="14.1" customHeight="1" x14ac:dyDescent="0.15">
      <c r="A51" s="89"/>
      <c r="B51" s="608"/>
      <c r="C51" s="609" t="s">
        <v>315</v>
      </c>
      <c r="D51" s="610"/>
      <c r="E51" s="611">
        <v>4321424</v>
      </c>
      <c r="F51" s="611">
        <v>927159</v>
      </c>
      <c r="G51" s="611">
        <v>369763</v>
      </c>
      <c r="H51" s="611">
        <v>301764</v>
      </c>
      <c r="I51" s="611">
        <v>1177083</v>
      </c>
      <c r="J51" s="611">
        <v>652647</v>
      </c>
      <c r="K51" s="611">
        <v>893008</v>
      </c>
      <c r="L51" s="611">
        <v>469867</v>
      </c>
      <c r="M51" s="611">
        <v>423141</v>
      </c>
      <c r="N51" s="611">
        <v>277786</v>
      </c>
      <c r="O51" s="611">
        <v>44911</v>
      </c>
      <c r="P51" s="611">
        <v>9979</v>
      </c>
      <c r="Q51" s="611">
        <v>8693</v>
      </c>
      <c r="R51" s="260">
        <v>1523705</v>
      </c>
      <c r="S51" s="260">
        <v>1069441</v>
      </c>
      <c r="T51" s="494">
        <v>454264</v>
      </c>
      <c r="U51" s="612" t="s">
        <v>314</v>
      </c>
      <c r="V51" s="89"/>
    </row>
    <row r="52" spans="1:22" s="94" customFormat="1" ht="14.25" customHeight="1" x14ac:dyDescent="0.15">
      <c r="A52" s="89"/>
      <c r="B52" s="613"/>
      <c r="C52" s="601" t="s">
        <v>171</v>
      </c>
      <c r="D52" s="602"/>
      <c r="E52" s="604">
        <v>8570423</v>
      </c>
      <c r="F52" s="604">
        <v>1591350</v>
      </c>
      <c r="G52" s="604">
        <v>1497100</v>
      </c>
      <c r="H52" s="604">
        <v>677694</v>
      </c>
      <c r="I52" s="604">
        <v>1641404</v>
      </c>
      <c r="J52" s="604">
        <v>1292116</v>
      </c>
      <c r="K52" s="604">
        <v>1870759</v>
      </c>
      <c r="L52" s="604">
        <v>690440</v>
      </c>
      <c r="M52" s="604">
        <v>1180319</v>
      </c>
      <c r="N52" s="604">
        <v>427503</v>
      </c>
      <c r="O52" s="604">
        <v>180881</v>
      </c>
      <c r="P52" s="604">
        <v>10416</v>
      </c>
      <c r="Q52" s="604">
        <v>12201</v>
      </c>
      <c r="R52" s="262">
        <v>1533087</v>
      </c>
      <c r="S52" s="262">
        <v>928733</v>
      </c>
      <c r="T52" s="493">
        <v>604354</v>
      </c>
      <c r="U52" s="605" t="s">
        <v>972</v>
      </c>
      <c r="V52" s="89"/>
    </row>
    <row r="53" spans="1:22" s="94" customFormat="1" ht="14.1" customHeight="1" x14ac:dyDescent="0.15">
      <c r="A53" s="89"/>
      <c r="B53" s="606" t="s">
        <v>611</v>
      </c>
      <c r="C53" s="607" t="s">
        <v>316</v>
      </c>
      <c r="D53" s="174"/>
      <c r="E53" s="258">
        <v>4635855</v>
      </c>
      <c r="F53" s="258">
        <v>734694</v>
      </c>
      <c r="G53" s="258">
        <v>1140249</v>
      </c>
      <c r="H53" s="258">
        <v>392126</v>
      </c>
      <c r="I53" s="258">
        <v>638636</v>
      </c>
      <c r="J53" s="258">
        <v>684971</v>
      </c>
      <c r="K53" s="258">
        <v>1045179</v>
      </c>
      <c r="L53" s="258">
        <v>274445</v>
      </c>
      <c r="M53" s="258">
        <v>770734</v>
      </c>
      <c r="N53" s="258">
        <v>148651</v>
      </c>
      <c r="O53" s="258">
        <v>144687</v>
      </c>
      <c r="P53" s="258" t="s">
        <v>796</v>
      </c>
      <c r="Q53" s="258">
        <v>4374</v>
      </c>
      <c r="R53" s="261">
        <v>195341</v>
      </c>
      <c r="S53" s="261">
        <v>64334</v>
      </c>
      <c r="T53" s="390">
        <v>131007</v>
      </c>
      <c r="U53" s="59" t="s">
        <v>178</v>
      </c>
      <c r="V53" s="89"/>
    </row>
    <row r="54" spans="1:22" s="94" customFormat="1" ht="14.1" customHeight="1" x14ac:dyDescent="0.15">
      <c r="A54" s="89"/>
      <c r="B54" s="608"/>
      <c r="C54" s="609" t="s">
        <v>315</v>
      </c>
      <c r="D54" s="610"/>
      <c r="E54" s="611">
        <v>3934568</v>
      </c>
      <c r="F54" s="611">
        <v>856656</v>
      </c>
      <c r="G54" s="611">
        <v>356851</v>
      </c>
      <c r="H54" s="611">
        <v>285568</v>
      </c>
      <c r="I54" s="611">
        <v>1002768</v>
      </c>
      <c r="J54" s="611">
        <v>607145</v>
      </c>
      <c r="K54" s="611">
        <v>825580</v>
      </c>
      <c r="L54" s="611">
        <v>415995</v>
      </c>
      <c r="M54" s="611">
        <v>409585</v>
      </c>
      <c r="N54" s="611">
        <v>278852</v>
      </c>
      <c r="O54" s="611">
        <v>36194</v>
      </c>
      <c r="P54" s="611">
        <v>10416</v>
      </c>
      <c r="Q54" s="611">
        <v>7827</v>
      </c>
      <c r="R54" s="260">
        <v>1337746</v>
      </c>
      <c r="S54" s="260">
        <v>864399</v>
      </c>
      <c r="T54" s="494">
        <v>473347</v>
      </c>
      <c r="U54" s="612" t="s">
        <v>314</v>
      </c>
      <c r="V54" s="89"/>
    </row>
    <row r="55" spans="1:22" s="94" customFormat="1" ht="14.25" customHeight="1" x14ac:dyDescent="0.15">
      <c r="A55" s="89"/>
      <c r="B55" s="613"/>
      <c r="C55" s="601" t="s">
        <v>171</v>
      </c>
      <c r="D55" s="602"/>
      <c r="E55" s="604">
        <v>8515770</v>
      </c>
      <c r="F55" s="604">
        <v>1599753</v>
      </c>
      <c r="G55" s="604">
        <v>1462719</v>
      </c>
      <c r="H55" s="604">
        <v>689073</v>
      </c>
      <c r="I55" s="604">
        <v>1625961</v>
      </c>
      <c r="J55" s="604">
        <v>1263035</v>
      </c>
      <c r="K55" s="604">
        <v>1875229</v>
      </c>
      <c r="L55" s="604">
        <v>711892</v>
      </c>
      <c r="M55" s="604">
        <v>1163337</v>
      </c>
      <c r="N55" s="604">
        <v>422360</v>
      </c>
      <c r="O55" s="604">
        <v>197611</v>
      </c>
      <c r="P55" s="604">
        <v>10527</v>
      </c>
      <c r="Q55" s="604">
        <v>11705</v>
      </c>
      <c r="R55" s="259">
        <v>1590962</v>
      </c>
      <c r="S55" s="259">
        <v>997750</v>
      </c>
      <c r="T55" s="493">
        <v>593212</v>
      </c>
      <c r="U55" s="605" t="s">
        <v>973</v>
      </c>
      <c r="V55" s="89"/>
    </row>
    <row r="56" spans="1:22" s="94" customFormat="1" ht="14.1" customHeight="1" x14ac:dyDescent="0.15">
      <c r="A56" s="89"/>
      <c r="B56" s="606" t="s">
        <v>612</v>
      </c>
      <c r="C56" s="607" t="s">
        <v>316</v>
      </c>
      <c r="D56" s="174"/>
      <c r="E56" s="258">
        <v>4545626</v>
      </c>
      <c r="F56" s="258">
        <v>689037</v>
      </c>
      <c r="G56" s="258">
        <v>1166281</v>
      </c>
      <c r="H56" s="258">
        <v>339869</v>
      </c>
      <c r="I56" s="258">
        <v>761078</v>
      </c>
      <c r="J56" s="258">
        <v>612028</v>
      </c>
      <c r="K56" s="193">
        <v>977333</v>
      </c>
      <c r="L56" s="258">
        <v>287318</v>
      </c>
      <c r="M56" s="258">
        <v>690015</v>
      </c>
      <c r="N56" s="258">
        <v>150295</v>
      </c>
      <c r="O56" s="258">
        <v>149101</v>
      </c>
      <c r="P56" s="258" t="s">
        <v>796</v>
      </c>
      <c r="Q56" s="258">
        <v>4121</v>
      </c>
      <c r="R56" s="175">
        <v>191630</v>
      </c>
      <c r="S56" s="175">
        <v>69181</v>
      </c>
      <c r="T56" s="390">
        <v>122449</v>
      </c>
      <c r="U56" s="59" t="s">
        <v>178</v>
      </c>
      <c r="V56" s="89"/>
    </row>
    <row r="57" spans="1:22" s="94" customFormat="1" ht="14.1" customHeight="1" x14ac:dyDescent="0.15">
      <c r="A57" s="89"/>
      <c r="B57" s="820"/>
      <c r="C57" s="821" t="s">
        <v>315</v>
      </c>
      <c r="D57" s="822"/>
      <c r="E57" s="823">
        <v>3970144</v>
      </c>
      <c r="F57" s="823">
        <v>910716</v>
      </c>
      <c r="G57" s="823">
        <v>296438</v>
      </c>
      <c r="H57" s="823">
        <v>349204</v>
      </c>
      <c r="I57" s="823">
        <v>864883</v>
      </c>
      <c r="J57" s="823">
        <v>651007</v>
      </c>
      <c r="K57" s="824">
        <v>897896</v>
      </c>
      <c r="L57" s="823">
        <v>424574</v>
      </c>
      <c r="M57" s="823">
        <v>473322</v>
      </c>
      <c r="N57" s="823">
        <v>272065</v>
      </c>
      <c r="O57" s="823">
        <v>48510</v>
      </c>
      <c r="P57" s="823">
        <v>10527</v>
      </c>
      <c r="Q57" s="823">
        <v>7584</v>
      </c>
      <c r="R57" s="810">
        <v>1399332</v>
      </c>
      <c r="S57" s="810">
        <v>928569</v>
      </c>
      <c r="T57" s="811">
        <v>470763</v>
      </c>
      <c r="U57" s="825" t="s">
        <v>314</v>
      </c>
      <c r="V57" s="89"/>
    </row>
    <row r="58" spans="1:22" s="66" customFormat="1" ht="14.25" customHeight="1" x14ac:dyDescent="0.15">
      <c r="A58" s="510"/>
      <c r="B58" s="66" t="s">
        <v>974</v>
      </c>
      <c r="E58" s="617"/>
      <c r="F58" s="617"/>
      <c r="G58" s="617"/>
      <c r="H58" s="617"/>
      <c r="I58" s="617"/>
      <c r="J58" s="617"/>
      <c r="L58" s="617"/>
      <c r="M58" s="617"/>
      <c r="N58" s="617" t="s">
        <v>553</v>
      </c>
      <c r="O58" s="617"/>
      <c r="P58" s="617"/>
      <c r="Q58" s="617"/>
      <c r="T58" s="618"/>
      <c r="V58" s="510"/>
    </row>
    <row r="59" spans="1:22" s="94" customFormat="1" ht="14.1" customHeight="1" x14ac:dyDescent="0.15">
      <c r="A59" s="177"/>
      <c r="B59" s="94" t="s">
        <v>897</v>
      </c>
      <c r="C59" s="66"/>
      <c r="E59" s="619"/>
      <c r="F59" s="619"/>
      <c r="G59" s="619"/>
      <c r="H59" s="619"/>
      <c r="I59" s="619"/>
      <c r="J59" s="619"/>
      <c r="K59" s="619"/>
      <c r="L59" s="619"/>
      <c r="M59" s="619"/>
      <c r="N59" s="95" t="s">
        <v>918</v>
      </c>
      <c r="O59" s="619"/>
      <c r="P59" s="619"/>
      <c r="Q59" s="619"/>
      <c r="V59" s="165"/>
    </row>
    <row r="60" spans="1:22" x14ac:dyDescent="0.15">
      <c r="B60" s="94" t="s">
        <v>474</v>
      </c>
      <c r="C60" s="123"/>
    </row>
  </sheetData>
  <mergeCells count="4">
    <mergeCell ref="U7:U10"/>
    <mergeCell ref="B8:D8"/>
    <mergeCell ref="B11:C11"/>
    <mergeCell ref="B48:C48"/>
  </mergeCells>
  <phoneticPr fontId="34"/>
  <pageMargins left="0.55118110236220474" right="0.51181102362204722" top="0.59055118110236227" bottom="0.59055118110236227" header="0.23622047244094491" footer="0.15748031496062992"/>
  <pageSetup paperSize="9" scale="92" orientation="portrait" r:id="rId1"/>
  <headerFooter alignWithMargins="0"/>
  <colBreaks count="1" manualBreakCount="1">
    <brk id="13" min="3" max="5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0A83-9178-43AD-959A-E63E99D303F5}">
  <dimension ref="A1:X40"/>
  <sheetViews>
    <sheetView view="pageBreakPreview" zoomScaleNormal="70" zoomScaleSheetLayoutView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B2" sqref="B2"/>
    </sheetView>
  </sheetViews>
  <sheetFormatPr defaultColWidth="8.125" defaultRowHeight="13.5" x14ac:dyDescent="0.15"/>
  <cols>
    <col min="1" max="1" width="2.375" style="123" customWidth="1"/>
    <col min="2" max="2" width="3" style="123" customWidth="1"/>
    <col min="3" max="3" width="2.875" style="123" customWidth="1"/>
    <col min="4" max="4" width="5.5" style="123" customWidth="1"/>
    <col min="5" max="5" width="0.75" style="123" customWidth="1"/>
    <col min="6" max="21" width="9.125" style="123" customWidth="1"/>
    <col min="22" max="22" width="7.375" style="123" customWidth="1"/>
    <col min="23" max="23" width="2.375" style="124" customWidth="1"/>
    <col min="24" max="24" width="6.25" style="123" customWidth="1"/>
    <col min="25" max="16384" width="8.125" style="123"/>
  </cols>
  <sheetData>
    <row r="1" spans="1:24" ht="16.5" customHeight="1" x14ac:dyDescent="0.2">
      <c r="I1" s="183"/>
      <c r="T1" s="416"/>
      <c r="W1" s="123"/>
    </row>
    <row r="2" spans="1:24" s="178" customFormat="1" ht="16.5" customHeight="1" x14ac:dyDescent="0.15">
      <c r="B2" s="393" t="s">
        <v>616</v>
      </c>
      <c r="O2" s="238"/>
      <c r="R2" s="182"/>
      <c r="T2" s="181"/>
      <c r="U2" s="181"/>
      <c r="W2" s="180"/>
      <c r="X2" s="179"/>
    </row>
    <row r="3" spans="1:24" s="92" customFormat="1" ht="16.5" customHeight="1" x14ac:dyDescent="0.15">
      <c r="A3" s="423"/>
      <c r="B3" s="826"/>
      <c r="C3" s="827" t="s">
        <v>617</v>
      </c>
      <c r="D3" s="759"/>
      <c r="E3" s="759"/>
      <c r="F3" s="753"/>
      <c r="G3" s="758"/>
      <c r="H3" s="753"/>
      <c r="I3" s="753"/>
      <c r="J3" s="757"/>
      <c r="K3" s="757"/>
      <c r="L3" s="753"/>
      <c r="M3" s="753"/>
      <c r="N3" s="828"/>
      <c r="O3" s="829"/>
      <c r="P3" s="753"/>
      <c r="Q3" s="753"/>
      <c r="R3" s="755"/>
      <c r="S3" s="754"/>
      <c r="T3" s="727"/>
      <c r="U3" s="719" t="s">
        <v>902</v>
      </c>
      <c r="V3" s="753"/>
      <c r="W3" s="93"/>
    </row>
    <row r="4" spans="1:24" s="417" customFormat="1" ht="21" customHeight="1" x14ac:dyDescent="0.15">
      <c r="A4" s="177"/>
      <c r="B4" s="510"/>
      <c r="C4" s="510"/>
      <c r="D4" s="510"/>
      <c r="E4" s="511"/>
      <c r="F4" s="699"/>
      <c r="G4" s="119"/>
      <c r="H4" s="119"/>
      <c r="I4" s="119"/>
      <c r="J4" s="119"/>
      <c r="K4" s="119"/>
      <c r="L4" s="119"/>
      <c r="M4" s="119"/>
      <c r="N4" s="118"/>
      <c r="O4" s="117"/>
      <c r="P4" s="116"/>
      <c r="Q4" s="116"/>
      <c r="R4" s="116"/>
      <c r="S4" s="116"/>
      <c r="T4" s="115"/>
      <c r="U4" s="114"/>
      <c r="V4" s="1020" t="s">
        <v>486</v>
      </c>
      <c r="W4" s="165"/>
    </row>
    <row r="5" spans="1:24" s="417" customFormat="1" ht="21" customHeight="1" x14ac:dyDescent="0.15">
      <c r="A5" s="510"/>
      <c r="B5" s="1011" t="s">
        <v>487</v>
      </c>
      <c r="C5" s="1011"/>
      <c r="D5" s="1011"/>
      <c r="E5" s="1012"/>
      <c r="F5" s="111" t="s">
        <v>206</v>
      </c>
      <c r="G5" s="107" t="s">
        <v>442</v>
      </c>
      <c r="H5" s="107" t="s">
        <v>443</v>
      </c>
      <c r="I5" s="107" t="s">
        <v>444</v>
      </c>
      <c r="J5" s="107" t="s">
        <v>445</v>
      </c>
      <c r="K5" s="107" t="s">
        <v>446</v>
      </c>
      <c r="L5" s="107" t="s">
        <v>447</v>
      </c>
      <c r="M5" s="700"/>
      <c r="N5" s="701"/>
      <c r="O5" s="109" t="s">
        <v>448</v>
      </c>
      <c r="P5" s="110" t="s">
        <v>449</v>
      </c>
      <c r="Q5" s="110" t="s">
        <v>450</v>
      </c>
      <c r="R5" s="110" t="s">
        <v>451</v>
      </c>
      <c r="S5" s="112" t="s">
        <v>452</v>
      </c>
      <c r="T5" s="702"/>
      <c r="U5" s="703"/>
      <c r="V5" s="1021"/>
      <c r="W5" s="165"/>
      <c r="X5" s="418" t="s">
        <v>203</v>
      </c>
    </row>
    <row r="6" spans="1:24" s="420" customFormat="1" ht="21.95" customHeight="1" x14ac:dyDescent="0.15">
      <c r="A6" s="510"/>
      <c r="B6" s="510"/>
      <c r="C6" s="510"/>
      <c r="D6" s="510"/>
      <c r="E6" s="511"/>
      <c r="F6" s="111"/>
      <c r="G6" s="107" t="s">
        <v>203</v>
      </c>
      <c r="H6" s="107" t="s">
        <v>203</v>
      </c>
      <c r="I6" s="419" t="s">
        <v>204</v>
      </c>
      <c r="J6" s="107"/>
      <c r="K6" s="107"/>
      <c r="L6" s="107" t="s">
        <v>203</v>
      </c>
      <c r="M6" s="107" t="s">
        <v>202</v>
      </c>
      <c r="N6" s="704" t="s">
        <v>201</v>
      </c>
      <c r="O6" s="109"/>
      <c r="P6" s="110"/>
      <c r="Q6" s="110"/>
      <c r="R6" s="110"/>
      <c r="S6" s="110"/>
      <c r="T6" s="110" t="s">
        <v>453</v>
      </c>
      <c r="U6" s="109" t="s">
        <v>454</v>
      </c>
      <c r="V6" s="1021"/>
      <c r="W6" s="165"/>
      <c r="X6" s="418" t="s">
        <v>203</v>
      </c>
    </row>
    <row r="7" spans="1:24" s="417" customFormat="1" ht="33.75" customHeight="1" x14ac:dyDescent="0.15">
      <c r="A7" s="177"/>
      <c r="B7" s="752"/>
      <c r="C7" s="752"/>
      <c r="D7" s="752"/>
      <c r="E7" s="751"/>
      <c r="F7" s="706" t="s">
        <v>691</v>
      </c>
      <c r="G7" s="706" t="s">
        <v>200</v>
      </c>
      <c r="H7" s="706" t="s">
        <v>461</v>
      </c>
      <c r="I7" s="706" t="s">
        <v>462</v>
      </c>
      <c r="J7" s="706" t="s">
        <v>199</v>
      </c>
      <c r="K7" s="706" t="s">
        <v>455</v>
      </c>
      <c r="L7" s="706" t="s">
        <v>692</v>
      </c>
      <c r="M7" s="706" t="s">
        <v>463</v>
      </c>
      <c r="N7" s="572" t="s">
        <v>464</v>
      </c>
      <c r="O7" s="707" t="s">
        <v>208</v>
      </c>
      <c r="P7" s="707" t="s">
        <v>198</v>
      </c>
      <c r="Q7" s="707" t="s">
        <v>197</v>
      </c>
      <c r="R7" s="708" t="s">
        <v>196</v>
      </c>
      <c r="S7" s="513" t="s">
        <v>465</v>
      </c>
      <c r="T7" s="106"/>
      <c r="U7" s="106"/>
      <c r="V7" s="1022"/>
      <c r="W7" s="165"/>
      <c r="X7" s="418" t="s">
        <v>203</v>
      </c>
    </row>
    <row r="8" spans="1:24" s="514" customFormat="1" ht="21" customHeight="1" x14ac:dyDescent="0.15">
      <c r="A8" s="89"/>
      <c r="B8" s="830" t="s">
        <v>687</v>
      </c>
      <c r="C8" s="830" t="s">
        <v>875</v>
      </c>
      <c r="D8" s="831"/>
      <c r="E8" s="832"/>
      <c r="F8" s="425">
        <v>183201314</v>
      </c>
      <c r="G8" s="425">
        <v>53624191</v>
      </c>
      <c r="H8" s="425">
        <v>48057741</v>
      </c>
      <c r="I8" s="425">
        <v>3247658</v>
      </c>
      <c r="J8" s="425">
        <v>17917768</v>
      </c>
      <c r="K8" s="425">
        <v>38012781</v>
      </c>
      <c r="L8" s="425">
        <v>22341175</v>
      </c>
      <c r="M8" s="425">
        <v>13177257</v>
      </c>
      <c r="N8" s="425">
        <v>9163918</v>
      </c>
      <c r="O8" s="425">
        <v>2085210</v>
      </c>
      <c r="P8" s="425">
        <v>2675863</v>
      </c>
      <c r="Q8" s="425">
        <v>53086</v>
      </c>
      <c r="R8" s="425">
        <v>47816</v>
      </c>
      <c r="S8" s="425">
        <v>13453526</v>
      </c>
      <c r="T8" s="425">
        <v>10158847</v>
      </c>
      <c r="U8" s="833">
        <v>3294679</v>
      </c>
      <c r="V8" s="426" t="s">
        <v>876</v>
      </c>
      <c r="W8" s="52"/>
      <c r="X8" s="528"/>
    </row>
    <row r="9" spans="1:24" s="514" customFormat="1" ht="21" customHeight="1" x14ac:dyDescent="0.15">
      <c r="A9" s="89"/>
      <c r="B9" s="495" t="s">
        <v>214</v>
      </c>
      <c r="C9" s="495" t="s">
        <v>705</v>
      </c>
      <c r="D9" s="496"/>
      <c r="E9" s="497"/>
      <c r="F9" s="425">
        <v>189626877</v>
      </c>
      <c r="G9" s="425">
        <v>54241273</v>
      </c>
      <c r="H9" s="425">
        <v>49673183</v>
      </c>
      <c r="I9" s="425">
        <v>3130857</v>
      </c>
      <c r="J9" s="425">
        <v>17889549</v>
      </c>
      <c r="K9" s="425">
        <v>40268758</v>
      </c>
      <c r="L9" s="425">
        <v>24423257</v>
      </c>
      <c r="M9" s="425">
        <v>13692553</v>
      </c>
      <c r="N9" s="425">
        <v>10730704</v>
      </c>
      <c r="O9" s="425">
        <v>2239322</v>
      </c>
      <c r="P9" s="425">
        <v>2644009</v>
      </c>
      <c r="Q9" s="425">
        <v>58550</v>
      </c>
      <c r="R9" s="425">
        <v>51393</v>
      </c>
      <c r="S9" s="425">
        <v>13992821</v>
      </c>
      <c r="T9" s="425">
        <v>10900397</v>
      </c>
      <c r="U9" s="427">
        <v>3092424</v>
      </c>
      <c r="V9" s="426" t="s">
        <v>877</v>
      </c>
      <c r="W9" s="52"/>
      <c r="X9" s="528"/>
    </row>
    <row r="10" spans="1:24" s="514" customFormat="1" ht="21" customHeight="1" x14ac:dyDescent="0.15">
      <c r="A10" s="89"/>
      <c r="B10" s="495" t="s">
        <v>214</v>
      </c>
      <c r="C10" s="495" t="s">
        <v>706</v>
      </c>
      <c r="D10" s="496"/>
      <c r="E10" s="497"/>
      <c r="F10" s="425">
        <v>191612126</v>
      </c>
      <c r="G10" s="425">
        <v>55726202</v>
      </c>
      <c r="H10" s="425">
        <v>43793683</v>
      </c>
      <c r="I10" s="425">
        <v>4363653</v>
      </c>
      <c r="J10" s="425">
        <v>18473570</v>
      </c>
      <c r="K10" s="425">
        <v>41445774</v>
      </c>
      <c r="L10" s="425">
        <v>27809244</v>
      </c>
      <c r="M10" s="425">
        <v>15301701</v>
      </c>
      <c r="N10" s="425">
        <v>12507543</v>
      </c>
      <c r="O10" s="425">
        <v>2173357</v>
      </c>
      <c r="P10" s="425">
        <v>2425622</v>
      </c>
      <c r="Q10" s="425">
        <v>56615</v>
      </c>
      <c r="R10" s="425">
        <v>58695</v>
      </c>
      <c r="S10" s="425">
        <v>16914674</v>
      </c>
      <c r="T10" s="425">
        <v>13918323</v>
      </c>
      <c r="U10" s="427">
        <v>2996351</v>
      </c>
      <c r="V10" s="426" t="s">
        <v>878</v>
      </c>
      <c r="W10" s="52"/>
      <c r="X10" s="528"/>
    </row>
    <row r="11" spans="1:24" s="514" customFormat="1" ht="21" customHeight="1" x14ac:dyDescent="0.15">
      <c r="A11" s="89"/>
      <c r="B11" s="495" t="s">
        <v>214</v>
      </c>
      <c r="C11" s="495" t="s">
        <v>798</v>
      </c>
      <c r="D11" s="496"/>
      <c r="E11" s="497"/>
      <c r="F11" s="425">
        <v>184737891</v>
      </c>
      <c r="G11" s="425">
        <v>55578101</v>
      </c>
      <c r="H11" s="425">
        <v>41747570</v>
      </c>
      <c r="I11" s="425">
        <v>4877808</v>
      </c>
      <c r="J11" s="425">
        <v>17044743</v>
      </c>
      <c r="K11" s="425">
        <v>41127313</v>
      </c>
      <c r="L11" s="425">
        <v>24362356</v>
      </c>
      <c r="M11" s="425">
        <v>14724781</v>
      </c>
      <c r="N11" s="425">
        <v>9637575</v>
      </c>
      <c r="O11" s="425">
        <v>2086392</v>
      </c>
      <c r="P11" s="425">
        <v>2168662</v>
      </c>
      <c r="Q11" s="834">
        <v>52662</v>
      </c>
      <c r="R11" s="425">
        <v>48812</v>
      </c>
      <c r="S11" s="425">
        <v>16869699</v>
      </c>
      <c r="T11" s="425">
        <v>13948945</v>
      </c>
      <c r="U11" s="427">
        <v>2920754</v>
      </c>
      <c r="V11" s="426" t="s">
        <v>809</v>
      </c>
      <c r="W11" s="52"/>
      <c r="X11" s="528"/>
    </row>
    <row r="12" spans="1:24" s="514" customFormat="1" ht="21" customHeight="1" x14ac:dyDescent="0.15">
      <c r="A12" s="89"/>
      <c r="B12" s="495" t="s">
        <v>214</v>
      </c>
      <c r="C12" s="495" t="s">
        <v>915</v>
      </c>
      <c r="D12" s="496"/>
      <c r="E12" s="497"/>
      <c r="F12" s="425">
        <v>178743631</v>
      </c>
      <c r="G12" s="425">
        <v>54982151</v>
      </c>
      <c r="H12" s="425">
        <v>39250892</v>
      </c>
      <c r="I12" s="425">
        <v>5152088</v>
      </c>
      <c r="J12" s="425">
        <v>16088787</v>
      </c>
      <c r="K12" s="425">
        <v>40752897</v>
      </c>
      <c r="L12" s="425">
        <v>22516816</v>
      </c>
      <c r="M12" s="425">
        <v>13909590</v>
      </c>
      <c r="N12" s="425">
        <v>8607226</v>
      </c>
      <c r="O12" s="425">
        <v>1931088</v>
      </c>
      <c r="P12" s="425">
        <v>2162598</v>
      </c>
      <c r="Q12" s="425">
        <v>52309</v>
      </c>
      <c r="R12" s="425">
        <v>42095</v>
      </c>
      <c r="S12" s="425">
        <v>16271146</v>
      </c>
      <c r="T12" s="425">
        <v>13529298</v>
      </c>
      <c r="U12" s="427">
        <v>2741848</v>
      </c>
      <c r="V12" s="426" t="s">
        <v>879</v>
      </c>
      <c r="W12" s="52"/>
      <c r="X12" s="52"/>
    </row>
    <row r="13" spans="1:24" s="514" customFormat="1" ht="19.5" customHeight="1" x14ac:dyDescent="0.15">
      <c r="A13" s="89"/>
      <c r="B13" s="495"/>
      <c r="C13" s="495"/>
      <c r="D13" s="498"/>
      <c r="E13" s="499"/>
      <c r="F13" s="425"/>
      <c r="G13" s="425"/>
      <c r="H13" s="425"/>
      <c r="I13" s="425"/>
      <c r="J13" s="425"/>
      <c r="K13" s="425"/>
      <c r="L13" s="425"/>
      <c r="M13" s="425"/>
      <c r="N13" s="425"/>
      <c r="O13" s="425"/>
      <c r="P13" s="425"/>
      <c r="Q13" s="425"/>
      <c r="R13" s="425"/>
      <c r="S13" s="425"/>
      <c r="T13" s="425"/>
      <c r="U13" s="427"/>
      <c r="V13" s="425"/>
      <c r="W13" s="52"/>
      <c r="X13" s="528"/>
    </row>
    <row r="14" spans="1:24" s="514" customFormat="1" ht="21" customHeight="1" x14ac:dyDescent="0.15">
      <c r="A14" s="89"/>
      <c r="B14" s="495" t="s">
        <v>687</v>
      </c>
      <c r="C14" s="495" t="s">
        <v>880</v>
      </c>
      <c r="D14" s="500"/>
      <c r="E14" s="501"/>
      <c r="F14" s="425">
        <v>182294731</v>
      </c>
      <c r="G14" s="425">
        <v>55430164</v>
      </c>
      <c r="H14" s="425">
        <v>40774873</v>
      </c>
      <c r="I14" s="425">
        <v>4910149</v>
      </c>
      <c r="J14" s="425">
        <v>16953059</v>
      </c>
      <c r="K14" s="425">
        <v>40969989</v>
      </c>
      <c r="L14" s="425">
        <v>23256497</v>
      </c>
      <c r="M14" s="425">
        <v>14416953</v>
      </c>
      <c r="N14" s="425">
        <v>8839544</v>
      </c>
      <c r="O14" s="425">
        <v>2061802</v>
      </c>
      <c r="P14" s="425">
        <v>2110357</v>
      </c>
      <c r="Q14" s="425">
        <v>53092</v>
      </c>
      <c r="R14" s="425">
        <v>44908</v>
      </c>
      <c r="S14" s="428">
        <v>16617383</v>
      </c>
      <c r="T14" s="428">
        <v>13768843</v>
      </c>
      <c r="U14" s="429">
        <v>2848540</v>
      </c>
      <c r="V14" s="430" t="s">
        <v>881</v>
      </c>
      <c r="W14" s="52"/>
      <c r="X14" s="166" t="s">
        <v>203</v>
      </c>
    </row>
    <row r="15" spans="1:24" s="514" customFormat="1" ht="21" customHeight="1" x14ac:dyDescent="0.15">
      <c r="A15" s="89"/>
      <c r="B15" s="495" t="s">
        <v>214</v>
      </c>
      <c r="C15" s="495" t="s">
        <v>915</v>
      </c>
      <c r="D15" s="500"/>
      <c r="E15" s="501"/>
      <c r="F15" s="425">
        <v>177842872</v>
      </c>
      <c r="G15" s="425">
        <v>54717816</v>
      </c>
      <c r="H15" s="425">
        <v>38689839</v>
      </c>
      <c r="I15" s="425">
        <v>5179500</v>
      </c>
      <c r="J15" s="425">
        <v>15952093</v>
      </c>
      <c r="K15" s="425">
        <v>40799828</v>
      </c>
      <c r="L15" s="425">
        <v>22503796</v>
      </c>
      <c r="M15" s="425">
        <v>13858439</v>
      </c>
      <c r="N15" s="425">
        <v>8645357</v>
      </c>
      <c r="O15" s="425">
        <v>1900422</v>
      </c>
      <c r="P15" s="425">
        <v>2136946</v>
      </c>
      <c r="Q15" s="425">
        <v>52613</v>
      </c>
      <c r="R15" s="425">
        <v>38644</v>
      </c>
      <c r="S15" s="425">
        <v>16186272</v>
      </c>
      <c r="T15" s="425">
        <v>13548601</v>
      </c>
      <c r="U15" s="427">
        <v>2637671</v>
      </c>
      <c r="V15" s="430" t="s">
        <v>882</v>
      </c>
      <c r="W15" s="52"/>
      <c r="X15" s="166"/>
    </row>
    <row r="16" spans="1:24" s="514" customFormat="1" ht="19.5" customHeight="1" x14ac:dyDescent="0.15">
      <c r="A16" s="89"/>
      <c r="B16" s="495"/>
      <c r="C16" s="495"/>
      <c r="D16" s="498"/>
      <c r="E16" s="499"/>
      <c r="F16" s="425"/>
      <c r="G16" s="425"/>
      <c r="H16" s="425"/>
      <c r="I16" s="425"/>
      <c r="J16" s="425"/>
      <c r="K16" s="425"/>
      <c r="L16" s="425"/>
      <c r="M16" s="425"/>
      <c r="N16" s="425"/>
      <c r="O16" s="425"/>
      <c r="P16" s="425"/>
      <c r="Q16" s="425"/>
      <c r="R16" s="425"/>
      <c r="S16" s="425"/>
      <c r="T16" s="425"/>
      <c r="U16" s="427"/>
      <c r="V16" s="431"/>
      <c r="W16" s="52"/>
      <c r="X16" s="166"/>
    </row>
    <row r="17" spans="1:24" s="514" customFormat="1" ht="21" customHeight="1" x14ac:dyDescent="0.15">
      <c r="A17" s="89"/>
      <c r="B17" s="495" t="s">
        <v>687</v>
      </c>
      <c r="C17" s="495" t="s">
        <v>797</v>
      </c>
      <c r="D17" s="502" t="s">
        <v>604</v>
      </c>
      <c r="E17" s="501"/>
      <c r="F17" s="425">
        <v>48110473</v>
      </c>
      <c r="G17" s="425">
        <v>13035920</v>
      </c>
      <c r="H17" s="425">
        <v>10267962</v>
      </c>
      <c r="I17" s="425">
        <v>1211291</v>
      </c>
      <c r="J17" s="425">
        <v>7460388</v>
      </c>
      <c r="K17" s="425">
        <v>9734669</v>
      </c>
      <c r="L17" s="425">
        <v>6400243</v>
      </c>
      <c r="M17" s="425">
        <v>4160321</v>
      </c>
      <c r="N17" s="425">
        <v>2239922</v>
      </c>
      <c r="O17" s="425">
        <v>492001</v>
      </c>
      <c r="P17" s="425">
        <v>565973</v>
      </c>
      <c r="Q17" s="425">
        <v>12864</v>
      </c>
      <c r="R17" s="425">
        <v>10893</v>
      </c>
      <c r="S17" s="425">
        <v>4872585</v>
      </c>
      <c r="T17" s="425">
        <v>4220813</v>
      </c>
      <c r="U17" s="427">
        <v>651772</v>
      </c>
      <c r="V17" s="432" t="s">
        <v>883</v>
      </c>
      <c r="W17" s="52"/>
      <c r="X17" s="166"/>
    </row>
    <row r="18" spans="1:24" s="514" customFormat="1" ht="21" customHeight="1" x14ac:dyDescent="0.15">
      <c r="A18" s="89"/>
      <c r="B18" s="495" t="s">
        <v>214</v>
      </c>
      <c r="C18" s="495" t="s">
        <v>214</v>
      </c>
      <c r="D18" s="502" t="s">
        <v>605</v>
      </c>
      <c r="E18" s="501"/>
      <c r="F18" s="425">
        <v>41332113</v>
      </c>
      <c r="G18" s="425">
        <v>13204277</v>
      </c>
      <c r="H18" s="425">
        <v>9852262</v>
      </c>
      <c r="I18" s="425">
        <v>1296408</v>
      </c>
      <c r="J18" s="425">
        <v>1984911</v>
      </c>
      <c r="K18" s="425">
        <v>10078477</v>
      </c>
      <c r="L18" s="425">
        <v>4915778</v>
      </c>
      <c r="M18" s="425">
        <v>3103302</v>
      </c>
      <c r="N18" s="425">
        <v>1812476</v>
      </c>
      <c r="O18" s="425">
        <v>481068</v>
      </c>
      <c r="P18" s="425">
        <v>450824</v>
      </c>
      <c r="Q18" s="425">
        <v>11780</v>
      </c>
      <c r="R18" s="425">
        <v>10511</v>
      </c>
      <c r="S18" s="425">
        <v>3814213</v>
      </c>
      <c r="T18" s="425">
        <v>3087777</v>
      </c>
      <c r="U18" s="427">
        <v>726436</v>
      </c>
      <c r="V18" s="433" t="s">
        <v>884</v>
      </c>
      <c r="W18" s="52"/>
      <c r="X18" s="166"/>
    </row>
    <row r="19" spans="1:24" s="514" customFormat="1" ht="21" customHeight="1" x14ac:dyDescent="0.15">
      <c r="A19" s="89"/>
      <c r="B19" s="495" t="s">
        <v>214</v>
      </c>
      <c r="C19" s="495" t="s">
        <v>214</v>
      </c>
      <c r="D19" s="502" t="s">
        <v>606</v>
      </c>
      <c r="E19" s="501"/>
      <c r="F19" s="425">
        <v>41908150</v>
      </c>
      <c r="G19" s="425">
        <v>14937410</v>
      </c>
      <c r="H19" s="425">
        <v>8895713</v>
      </c>
      <c r="I19" s="425">
        <v>1381641</v>
      </c>
      <c r="J19" s="425">
        <v>1522382</v>
      </c>
      <c r="K19" s="425">
        <v>10264257</v>
      </c>
      <c r="L19" s="425">
        <v>4906747</v>
      </c>
      <c r="M19" s="425">
        <v>2861199</v>
      </c>
      <c r="N19" s="425">
        <v>2045548</v>
      </c>
      <c r="O19" s="425">
        <v>465290</v>
      </c>
      <c r="P19" s="425">
        <v>494414</v>
      </c>
      <c r="Q19" s="425">
        <v>13550</v>
      </c>
      <c r="R19" s="425">
        <v>10537</v>
      </c>
      <c r="S19" s="425">
        <v>3420010</v>
      </c>
      <c r="T19" s="425">
        <v>2701020</v>
      </c>
      <c r="U19" s="427">
        <v>718990</v>
      </c>
      <c r="V19" s="434" t="s">
        <v>885</v>
      </c>
      <c r="W19" s="52"/>
      <c r="X19" s="166" t="s">
        <v>203</v>
      </c>
    </row>
    <row r="20" spans="1:24" s="514" customFormat="1" ht="21" customHeight="1" x14ac:dyDescent="0.15">
      <c r="A20" s="89"/>
      <c r="B20" s="495" t="s">
        <v>214</v>
      </c>
      <c r="C20" s="495" t="s">
        <v>214</v>
      </c>
      <c r="D20" s="502" t="s">
        <v>524</v>
      </c>
      <c r="E20" s="501"/>
      <c r="F20" s="425">
        <v>47392895</v>
      </c>
      <c r="G20" s="425">
        <v>13804544</v>
      </c>
      <c r="H20" s="425">
        <v>10234955</v>
      </c>
      <c r="I20" s="425">
        <v>1262748</v>
      </c>
      <c r="J20" s="425">
        <v>5121106</v>
      </c>
      <c r="K20" s="425">
        <v>10675494</v>
      </c>
      <c r="L20" s="425">
        <v>6294048</v>
      </c>
      <c r="M20" s="425">
        <v>3784768</v>
      </c>
      <c r="N20" s="425">
        <v>2509280</v>
      </c>
      <c r="O20" s="425">
        <v>492729</v>
      </c>
      <c r="P20" s="425">
        <v>651387</v>
      </c>
      <c r="Q20" s="425">
        <v>14115</v>
      </c>
      <c r="R20" s="425">
        <v>10154</v>
      </c>
      <c r="S20" s="425">
        <v>4164338</v>
      </c>
      <c r="T20" s="425">
        <v>3519688</v>
      </c>
      <c r="U20" s="427">
        <v>644650</v>
      </c>
      <c r="V20" s="435" t="s">
        <v>886</v>
      </c>
      <c r="W20" s="52"/>
      <c r="X20" s="166" t="s">
        <v>203</v>
      </c>
    </row>
    <row r="21" spans="1:24" s="514" customFormat="1" ht="21" customHeight="1" x14ac:dyDescent="0.15">
      <c r="A21" s="89"/>
      <c r="B21" s="495" t="s">
        <v>687</v>
      </c>
      <c r="C21" s="495" t="s">
        <v>887</v>
      </c>
      <c r="D21" s="502" t="s">
        <v>607</v>
      </c>
      <c r="E21" s="501"/>
      <c r="F21" s="425">
        <v>47209714</v>
      </c>
      <c r="G21" s="425">
        <v>12771585</v>
      </c>
      <c r="H21" s="425">
        <v>9706909</v>
      </c>
      <c r="I21" s="425">
        <v>1238703</v>
      </c>
      <c r="J21" s="425">
        <v>7323694</v>
      </c>
      <c r="K21" s="425">
        <v>9781600</v>
      </c>
      <c r="L21" s="425">
        <v>6387223</v>
      </c>
      <c r="M21" s="425">
        <v>4109170</v>
      </c>
      <c r="N21" s="425">
        <v>2278053</v>
      </c>
      <c r="O21" s="425">
        <v>461335</v>
      </c>
      <c r="P21" s="425">
        <v>540321</v>
      </c>
      <c r="Q21" s="425">
        <v>13168</v>
      </c>
      <c r="R21" s="425">
        <v>7442</v>
      </c>
      <c r="S21" s="425">
        <v>4787711</v>
      </c>
      <c r="T21" s="425">
        <v>4240116</v>
      </c>
      <c r="U21" s="427">
        <v>547595</v>
      </c>
      <c r="V21" s="432" t="s">
        <v>889</v>
      </c>
      <c r="W21" s="52"/>
      <c r="X21" s="166"/>
    </row>
    <row r="22" spans="1:24" s="514" customFormat="1" ht="19.5" customHeight="1" x14ac:dyDescent="0.15">
      <c r="A22" s="89"/>
      <c r="B22" s="495"/>
      <c r="C22" s="495"/>
      <c r="D22" s="498"/>
      <c r="E22" s="499"/>
      <c r="F22" s="436"/>
      <c r="G22" s="436"/>
      <c r="H22" s="436"/>
      <c r="I22" s="436"/>
      <c r="J22" s="436"/>
      <c r="K22" s="436"/>
      <c r="L22" s="436"/>
      <c r="M22" s="436"/>
      <c r="N22" s="436"/>
      <c r="O22" s="436"/>
      <c r="P22" s="436"/>
      <c r="Q22" s="436"/>
      <c r="R22" s="436"/>
      <c r="S22" s="436"/>
      <c r="T22" s="436"/>
      <c r="U22" s="437"/>
      <c r="V22" s="431"/>
      <c r="W22" s="52"/>
      <c r="X22" s="166"/>
    </row>
    <row r="23" spans="1:24" s="514" customFormat="1" ht="21" customHeight="1" x14ac:dyDescent="0.15">
      <c r="A23" s="89"/>
      <c r="B23" s="495" t="s">
        <v>687</v>
      </c>
      <c r="C23" s="495" t="s">
        <v>797</v>
      </c>
      <c r="D23" s="495" t="s">
        <v>589</v>
      </c>
      <c r="E23" s="503"/>
      <c r="F23" s="425">
        <v>15940779</v>
      </c>
      <c r="G23" s="425">
        <v>4213209</v>
      </c>
      <c r="H23" s="425">
        <v>3464675</v>
      </c>
      <c r="I23" s="425">
        <v>400357</v>
      </c>
      <c r="J23" s="425">
        <v>2731853</v>
      </c>
      <c r="K23" s="425">
        <v>3005744</v>
      </c>
      <c r="L23" s="425">
        <v>2124941</v>
      </c>
      <c r="M23" s="425">
        <v>1362978</v>
      </c>
      <c r="N23" s="425">
        <v>761963</v>
      </c>
      <c r="O23" s="425">
        <v>149286</v>
      </c>
      <c r="P23" s="425">
        <v>169555</v>
      </c>
      <c r="Q23" s="425">
        <v>3905</v>
      </c>
      <c r="R23" s="425">
        <v>4824</v>
      </c>
      <c r="S23" s="428">
        <v>1749896</v>
      </c>
      <c r="T23" s="428">
        <v>1508515</v>
      </c>
      <c r="U23" s="429">
        <v>241381</v>
      </c>
      <c r="V23" s="438" t="s">
        <v>890</v>
      </c>
      <c r="W23" s="52"/>
      <c r="X23" s="166" t="s">
        <v>203</v>
      </c>
    </row>
    <row r="24" spans="1:24" s="514" customFormat="1" ht="21" customHeight="1" x14ac:dyDescent="0.15">
      <c r="A24" s="89"/>
      <c r="B24" s="495" t="s">
        <v>214</v>
      </c>
      <c r="C24" s="495" t="s">
        <v>214</v>
      </c>
      <c r="D24" s="495" t="s">
        <v>590</v>
      </c>
      <c r="E24" s="503"/>
      <c r="F24" s="425">
        <v>16019089</v>
      </c>
      <c r="G24" s="425">
        <v>4168060</v>
      </c>
      <c r="H24" s="425">
        <v>3606918</v>
      </c>
      <c r="I24" s="425">
        <v>392509</v>
      </c>
      <c r="J24" s="425">
        <v>2476410</v>
      </c>
      <c r="K24" s="425">
        <v>3224820</v>
      </c>
      <c r="L24" s="425">
        <v>2150372</v>
      </c>
      <c r="M24" s="425">
        <v>1392381</v>
      </c>
      <c r="N24" s="425">
        <v>757991</v>
      </c>
      <c r="O24" s="425">
        <v>165466</v>
      </c>
      <c r="P24" s="425">
        <v>196896</v>
      </c>
      <c r="Q24" s="425">
        <v>4349</v>
      </c>
      <c r="R24" s="425">
        <v>3115</v>
      </c>
      <c r="S24" s="428">
        <v>1534326</v>
      </c>
      <c r="T24" s="428">
        <v>1329956</v>
      </c>
      <c r="U24" s="429">
        <v>204370</v>
      </c>
      <c r="V24" s="439" t="s">
        <v>397</v>
      </c>
      <c r="W24" s="52"/>
      <c r="X24" s="166"/>
    </row>
    <row r="25" spans="1:24" s="514" customFormat="1" ht="21" customHeight="1" x14ac:dyDescent="0.15">
      <c r="A25" s="89"/>
      <c r="B25" s="495" t="s">
        <v>214</v>
      </c>
      <c r="C25" s="495" t="s">
        <v>214</v>
      </c>
      <c r="D25" s="495" t="s">
        <v>591</v>
      </c>
      <c r="E25" s="503"/>
      <c r="F25" s="425">
        <v>16150605</v>
      </c>
      <c r="G25" s="425">
        <v>4654651</v>
      </c>
      <c r="H25" s="425">
        <v>3196369</v>
      </c>
      <c r="I25" s="425">
        <v>418425</v>
      </c>
      <c r="J25" s="425">
        <v>2252125</v>
      </c>
      <c r="K25" s="425">
        <v>3504105</v>
      </c>
      <c r="L25" s="425">
        <v>2124930</v>
      </c>
      <c r="M25" s="425">
        <v>1404962</v>
      </c>
      <c r="N25" s="425">
        <v>719968</v>
      </c>
      <c r="O25" s="425">
        <v>177249</v>
      </c>
      <c r="P25" s="425">
        <v>199522</v>
      </c>
      <c r="Q25" s="425">
        <v>4610</v>
      </c>
      <c r="R25" s="425">
        <v>2954</v>
      </c>
      <c r="S25" s="428">
        <v>1588363</v>
      </c>
      <c r="T25" s="428">
        <v>1382342</v>
      </c>
      <c r="U25" s="429">
        <v>206021</v>
      </c>
      <c r="V25" s="439" t="s">
        <v>398</v>
      </c>
      <c r="W25" s="52"/>
      <c r="X25" s="166" t="s">
        <v>203</v>
      </c>
    </row>
    <row r="26" spans="1:24" s="514" customFormat="1" ht="21" customHeight="1" x14ac:dyDescent="0.15">
      <c r="A26" s="89"/>
      <c r="B26" s="495" t="s">
        <v>214</v>
      </c>
      <c r="C26" s="495" t="s">
        <v>214</v>
      </c>
      <c r="D26" s="495" t="s">
        <v>592</v>
      </c>
      <c r="E26" s="503"/>
      <c r="F26" s="425">
        <v>14377105</v>
      </c>
      <c r="G26" s="425">
        <v>4383615</v>
      </c>
      <c r="H26" s="425">
        <v>3537967</v>
      </c>
      <c r="I26" s="425">
        <v>396132</v>
      </c>
      <c r="J26" s="425">
        <v>957906</v>
      </c>
      <c r="K26" s="425">
        <v>3326688</v>
      </c>
      <c r="L26" s="425">
        <v>1774797</v>
      </c>
      <c r="M26" s="425">
        <v>1127994</v>
      </c>
      <c r="N26" s="425">
        <v>646803</v>
      </c>
      <c r="O26" s="425">
        <v>172585</v>
      </c>
      <c r="P26" s="425">
        <v>155067</v>
      </c>
      <c r="Q26" s="425">
        <v>4066</v>
      </c>
      <c r="R26" s="425">
        <v>3127</v>
      </c>
      <c r="S26" s="428">
        <v>1461147</v>
      </c>
      <c r="T26" s="428">
        <v>1169922</v>
      </c>
      <c r="U26" s="429">
        <v>291225</v>
      </c>
      <c r="V26" s="439" t="s">
        <v>399</v>
      </c>
      <c r="W26" s="52"/>
      <c r="X26" s="166"/>
    </row>
    <row r="27" spans="1:24" s="514" customFormat="1" ht="21" customHeight="1" x14ac:dyDescent="0.15">
      <c r="A27" s="89"/>
      <c r="B27" s="495" t="s">
        <v>214</v>
      </c>
      <c r="C27" s="495" t="s">
        <v>214</v>
      </c>
      <c r="D27" s="495" t="s">
        <v>593</v>
      </c>
      <c r="E27" s="503"/>
      <c r="F27" s="425">
        <v>13819553</v>
      </c>
      <c r="G27" s="425">
        <v>4468338</v>
      </c>
      <c r="H27" s="425">
        <v>3362724</v>
      </c>
      <c r="I27" s="425">
        <v>454228</v>
      </c>
      <c r="J27" s="425">
        <v>573127</v>
      </c>
      <c r="K27" s="425">
        <v>3367162</v>
      </c>
      <c r="L27" s="425">
        <v>1593974</v>
      </c>
      <c r="M27" s="425">
        <v>999075</v>
      </c>
      <c r="N27" s="425">
        <v>594899</v>
      </c>
      <c r="O27" s="425">
        <v>154330</v>
      </c>
      <c r="P27" s="425">
        <v>139818</v>
      </c>
      <c r="Q27" s="425">
        <v>3822</v>
      </c>
      <c r="R27" s="425">
        <v>3842</v>
      </c>
      <c r="S27" s="428">
        <v>1263976</v>
      </c>
      <c r="T27" s="428">
        <v>1017958</v>
      </c>
      <c r="U27" s="429">
        <v>246018</v>
      </c>
      <c r="V27" s="439" t="s">
        <v>407</v>
      </c>
      <c r="W27" s="52"/>
      <c r="X27" s="166" t="s">
        <v>203</v>
      </c>
    </row>
    <row r="28" spans="1:24" s="514" customFormat="1" ht="21" customHeight="1" x14ac:dyDescent="0.15">
      <c r="A28" s="89"/>
      <c r="B28" s="495" t="s">
        <v>214</v>
      </c>
      <c r="C28" s="495" t="s">
        <v>214</v>
      </c>
      <c r="D28" s="495" t="s">
        <v>594</v>
      </c>
      <c r="E28" s="503"/>
      <c r="F28" s="425">
        <v>13135455</v>
      </c>
      <c r="G28" s="425">
        <v>4352324</v>
      </c>
      <c r="H28" s="425">
        <v>2951571</v>
      </c>
      <c r="I28" s="425">
        <v>446048</v>
      </c>
      <c r="J28" s="425">
        <v>453878</v>
      </c>
      <c r="K28" s="425">
        <v>3384627</v>
      </c>
      <c r="L28" s="425">
        <v>1547007</v>
      </c>
      <c r="M28" s="425">
        <v>976233</v>
      </c>
      <c r="N28" s="425">
        <v>570774</v>
      </c>
      <c r="O28" s="425">
        <v>154153</v>
      </c>
      <c r="P28" s="425">
        <v>155939</v>
      </c>
      <c r="Q28" s="425">
        <v>3892</v>
      </c>
      <c r="R28" s="425">
        <v>3542</v>
      </c>
      <c r="S28" s="428">
        <v>1089090</v>
      </c>
      <c r="T28" s="428">
        <v>899897</v>
      </c>
      <c r="U28" s="429">
        <v>189193</v>
      </c>
      <c r="V28" s="439" t="s">
        <v>400</v>
      </c>
      <c r="W28" s="52"/>
      <c r="X28" s="166"/>
    </row>
    <row r="29" spans="1:24" s="514" customFormat="1" ht="21" customHeight="1" x14ac:dyDescent="0.15">
      <c r="A29" s="89"/>
      <c r="B29" s="495" t="s">
        <v>214</v>
      </c>
      <c r="C29" s="495" t="s">
        <v>214</v>
      </c>
      <c r="D29" s="495" t="s">
        <v>595</v>
      </c>
      <c r="E29" s="503"/>
      <c r="F29" s="425">
        <v>13681140</v>
      </c>
      <c r="G29" s="425">
        <v>4928100</v>
      </c>
      <c r="H29" s="425">
        <v>2662521</v>
      </c>
      <c r="I29" s="425">
        <v>464623</v>
      </c>
      <c r="J29" s="425">
        <v>445856</v>
      </c>
      <c r="K29" s="425">
        <v>3570245</v>
      </c>
      <c r="L29" s="425">
        <v>1609795</v>
      </c>
      <c r="M29" s="425">
        <v>962052</v>
      </c>
      <c r="N29" s="425">
        <v>647743</v>
      </c>
      <c r="O29" s="425">
        <v>171210</v>
      </c>
      <c r="P29" s="425">
        <v>191955</v>
      </c>
      <c r="Q29" s="425">
        <v>5175</v>
      </c>
      <c r="R29" s="425">
        <v>3077</v>
      </c>
      <c r="S29" s="428">
        <v>1283402</v>
      </c>
      <c r="T29" s="428">
        <v>1015216</v>
      </c>
      <c r="U29" s="429">
        <v>268186</v>
      </c>
      <c r="V29" s="439" t="s">
        <v>401</v>
      </c>
      <c r="W29" s="52"/>
      <c r="X29" s="166" t="s">
        <v>203</v>
      </c>
    </row>
    <row r="30" spans="1:24" s="514" customFormat="1" ht="21" customHeight="1" x14ac:dyDescent="0.15">
      <c r="A30" s="89"/>
      <c r="B30" s="495" t="s">
        <v>214</v>
      </c>
      <c r="C30" s="495" t="s">
        <v>214</v>
      </c>
      <c r="D30" s="495" t="s">
        <v>596</v>
      </c>
      <c r="E30" s="503"/>
      <c r="F30" s="425">
        <v>14279783</v>
      </c>
      <c r="G30" s="425">
        <v>5342328</v>
      </c>
      <c r="H30" s="425">
        <v>3178428</v>
      </c>
      <c r="I30" s="425">
        <v>466466</v>
      </c>
      <c r="J30" s="425">
        <v>492083</v>
      </c>
      <c r="K30" s="425">
        <v>3295074</v>
      </c>
      <c r="L30" s="425">
        <v>1505404</v>
      </c>
      <c r="M30" s="425">
        <v>908073</v>
      </c>
      <c r="N30" s="425">
        <v>597331</v>
      </c>
      <c r="O30" s="425">
        <v>133411</v>
      </c>
      <c r="P30" s="425">
        <v>115476</v>
      </c>
      <c r="Q30" s="425">
        <v>4015</v>
      </c>
      <c r="R30" s="425">
        <v>3432</v>
      </c>
      <c r="S30" s="428">
        <v>1135354</v>
      </c>
      <c r="T30" s="428">
        <v>901427</v>
      </c>
      <c r="U30" s="429">
        <v>233927</v>
      </c>
      <c r="V30" s="439" t="s">
        <v>402</v>
      </c>
      <c r="W30" s="52"/>
      <c r="X30" s="166"/>
    </row>
    <row r="31" spans="1:24" s="514" customFormat="1" ht="21" customHeight="1" x14ac:dyDescent="0.15">
      <c r="A31" s="89"/>
      <c r="B31" s="495" t="s">
        <v>214</v>
      </c>
      <c r="C31" s="495" t="s">
        <v>214</v>
      </c>
      <c r="D31" s="495" t="s">
        <v>597</v>
      </c>
      <c r="E31" s="503"/>
      <c r="F31" s="425">
        <v>13947227</v>
      </c>
      <c r="G31" s="425">
        <v>4666982</v>
      </c>
      <c r="H31" s="425">
        <v>3054764</v>
      </c>
      <c r="I31" s="425">
        <v>450552</v>
      </c>
      <c r="J31" s="425">
        <v>584443</v>
      </c>
      <c r="K31" s="425">
        <v>3398938</v>
      </c>
      <c r="L31" s="425">
        <v>1791548</v>
      </c>
      <c r="M31" s="425">
        <v>991074</v>
      </c>
      <c r="N31" s="425">
        <v>800474</v>
      </c>
      <c r="O31" s="425">
        <v>160669</v>
      </c>
      <c r="P31" s="425">
        <v>186983</v>
      </c>
      <c r="Q31" s="425">
        <v>4360</v>
      </c>
      <c r="R31" s="425">
        <v>4028</v>
      </c>
      <c r="S31" s="428">
        <v>1001254</v>
      </c>
      <c r="T31" s="428">
        <v>784377</v>
      </c>
      <c r="U31" s="429">
        <v>216877</v>
      </c>
      <c r="V31" s="439" t="s">
        <v>403</v>
      </c>
      <c r="W31" s="52"/>
      <c r="X31" s="166" t="s">
        <v>203</v>
      </c>
    </row>
    <row r="32" spans="1:24" s="514" customFormat="1" ht="21" customHeight="1" x14ac:dyDescent="0.15">
      <c r="A32" s="89"/>
      <c r="B32" s="495" t="s">
        <v>214</v>
      </c>
      <c r="C32" s="495" t="s">
        <v>214</v>
      </c>
      <c r="D32" s="504" t="s">
        <v>720</v>
      </c>
      <c r="E32" s="503"/>
      <c r="F32" s="425">
        <v>14708829</v>
      </c>
      <c r="G32" s="425">
        <v>4567286</v>
      </c>
      <c r="H32" s="425">
        <v>3304050</v>
      </c>
      <c r="I32" s="425">
        <v>415659</v>
      </c>
      <c r="J32" s="425">
        <v>874175</v>
      </c>
      <c r="K32" s="425">
        <v>3557440</v>
      </c>
      <c r="L32" s="425">
        <v>1990219</v>
      </c>
      <c r="M32" s="425">
        <v>1080327</v>
      </c>
      <c r="N32" s="425">
        <v>909892</v>
      </c>
      <c r="O32" s="425">
        <v>168724</v>
      </c>
      <c r="P32" s="425">
        <v>234911</v>
      </c>
      <c r="Q32" s="425">
        <v>4971</v>
      </c>
      <c r="R32" s="425">
        <v>3736</v>
      </c>
      <c r="S32" s="428">
        <v>1251716</v>
      </c>
      <c r="T32" s="428">
        <v>1025042</v>
      </c>
      <c r="U32" s="429">
        <v>226674</v>
      </c>
      <c r="V32" s="439" t="s">
        <v>404</v>
      </c>
      <c r="W32" s="52"/>
      <c r="X32" s="166"/>
    </row>
    <row r="33" spans="1:24" s="514" customFormat="1" ht="21" customHeight="1" x14ac:dyDescent="0.15">
      <c r="A33" s="89"/>
      <c r="B33" s="495" t="s">
        <v>214</v>
      </c>
      <c r="C33" s="495" t="s">
        <v>214</v>
      </c>
      <c r="D33" s="504" t="s">
        <v>721</v>
      </c>
      <c r="E33" s="503"/>
      <c r="F33" s="425">
        <v>15409235</v>
      </c>
      <c r="G33" s="425">
        <v>4463567</v>
      </c>
      <c r="H33" s="425">
        <v>3353812</v>
      </c>
      <c r="I33" s="425">
        <v>424898</v>
      </c>
      <c r="J33" s="425">
        <v>1639215</v>
      </c>
      <c r="K33" s="425">
        <v>3535006</v>
      </c>
      <c r="L33" s="425">
        <v>1992737</v>
      </c>
      <c r="M33" s="425">
        <v>1240869</v>
      </c>
      <c r="N33" s="425">
        <v>751868</v>
      </c>
      <c r="O33" s="425">
        <v>162902</v>
      </c>
      <c r="P33" s="425">
        <v>219415</v>
      </c>
      <c r="Q33" s="425">
        <v>4560</v>
      </c>
      <c r="R33" s="425">
        <v>3430</v>
      </c>
      <c r="S33" s="428">
        <v>1319368</v>
      </c>
      <c r="T33" s="428">
        <v>1103933</v>
      </c>
      <c r="U33" s="429">
        <v>215435</v>
      </c>
      <c r="V33" s="439" t="s">
        <v>405</v>
      </c>
      <c r="W33" s="52"/>
      <c r="X33" s="166"/>
    </row>
    <row r="34" spans="1:24" s="514" customFormat="1" ht="21" customHeight="1" x14ac:dyDescent="0.15">
      <c r="A34" s="89"/>
      <c r="B34" s="495" t="s">
        <v>214</v>
      </c>
      <c r="C34" s="495" t="s">
        <v>214</v>
      </c>
      <c r="D34" s="504" t="s">
        <v>722</v>
      </c>
      <c r="E34" s="503"/>
      <c r="F34" s="425">
        <v>17274831</v>
      </c>
      <c r="G34" s="425">
        <v>4773691</v>
      </c>
      <c r="H34" s="425">
        <v>3577093</v>
      </c>
      <c r="I34" s="425">
        <v>422191</v>
      </c>
      <c r="J34" s="425">
        <v>2607716</v>
      </c>
      <c r="K34" s="425">
        <v>3583048</v>
      </c>
      <c r="L34" s="425">
        <v>2311092</v>
      </c>
      <c r="M34" s="425">
        <v>1463572</v>
      </c>
      <c r="N34" s="425">
        <v>847520</v>
      </c>
      <c r="O34" s="425">
        <v>161103</v>
      </c>
      <c r="P34" s="425">
        <v>197061</v>
      </c>
      <c r="Q34" s="425">
        <v>4584</v>
      </c>
      <c r="R34" s="425">
        <v>2988</v>
      </c>
      <c r="S34" s="428">
        <v>1593254</v>
      </c>
      <c r="T34" s="428">
        <v>1390713</v>
      </c>
      <c r="U34" s="429">
        <v>202541</v>
      </c>
      <c r="V34" s="439" t="s">
        <v>406</v>
      </c>
      <c r="W34" s="52"/>
      <c r="X34" s="166" t="s">
        <v>203</v>
      </c>
    </row>
    <row r="35" spans="1:24" s="514" customFormat="1" ht="19.5" customHeight="1" x14ac:dyDescent="0.15">
      <c r="A35" s="89"/>
      <c r="B35" s="495"/>
      <c r="C35" s="495"/>
      <c r="D35" s="495"/>
      <c r="E35" s="503"/>
      <c r="F35" s="425"/>
      <c r="G35" s="436"/>
      <c r="H35" s="436"/>
      <c r="I35" s="436"/>
      <c r="J35" s="425"/>
      <c r="K35" s="425"/>
      <c r="L35" s="425"/>
      <c r="M35" s="425"/>
      <c r="N35" s="425"/>
      <c r="O35" s="425"/>
      <c r="P35" s="425"/>
      <c r="Q35" s="425"/>
      <c r="R35" s="425"/>
      <c r="S35" s="428"/>
      <c r="T35" s="428"/>
      <c r="U35" s="429"/>
      <c r="V35" s="440"/>
      <c r="W35" s="52"/>
      <c r="X35" s="166"/>
    </row>
    <row r="36" spans="1:24" s="514" customFormat="1" ht="21" customHeight="1" x14ac:dyDescent="0.15">
      <c r="A36" s="89"/>
      <c r="B36" s="495" t="s">
        <v>687</v>
      </c>
      <c r="C36" s="495" t="s">
        <v>887</v>
      </c>
      <c r="D36" s="495" t="s">
        <v>975</v>
      </c>
      <c r="E36" s="503"/>
      <c r="F36" s="425">
        <v>16096065</v>
      </c>
      <c r="G36" s="425">
        <v>4210483</v>
      </c>
      <c r="H36" s="425">
        <v>3418240</v>
      </c>
      <c r="I36" s="425">
        <v>424242</v>
      </c>
      <c r="J36" s="425">
        <v>2747552</v>
      </c>
      <c r="K36" s="425">
        <v>3129310</v>
      </c>
      <c r="L36" s="425">
        <v>2166238</v>
      </c>
      <c r="M36" s="425">
        <v>1376080</v>
      </c>
      <c r="N36" s="425">
        <v>790158</v>
      </c>
      <c r="O36" s="425">
        <v>151257</v>
      </c>
      <c r="P36" s="425">
        <v>186474</v>
      </c>
      <c r="Q36" s="425">
        <v>4356</v>
      </c>
      <c r="R36" s="425">
        <v>2597</v>
      </c>
      <c r="S36" s="428">
        <v>1655923</v>
      </c>
      <c r="T36" s="428">
        <v>1456206</v>
      </c>
      <c r="U36" s="429">
        <v>199717</v>
      </c>
      <c r="V36" s="438" t="s">
        <v>892</v>
      </c>
      <c r="W36" s="52"/>
      <c r="X36" s="166" t="s">
        <v>203</v>
      </c>
    </row>
    <row r="37" spans="1:24" s="514" customFormat="1" ht="21" customHeight="1" x14ac:dyDescent="0.15">
      <c r="A37" s="89"/>
      <c r="B37" s="495" t="s">
        <v>214</v>
      </c>
      <c r="C37" s="495" t="s">
        <v>214</v>
      </c>
      <c r="D37" s="495" t="s">
        <v>590</v>
      </c>
      <c r="E37" s="503"/>
      <c r="F37" s="425">
        <v>15284212</v>
      </c>
      <c r="G37" s="425">
        <v>4093574</v>
      </c>
      <c r="H37" s="425">
        <v>2855851</v>
      </c>
      <c r="I37" s="425">
        <v>376922</v>
      </c>
      <c r="J37" s="425">
        <v>2672666</v>
      </c>
      <c r="K37" s="425">
        <v>3169835</v>
      </c>
      <c r="L37" s="425">
        <v>2115364</v>
      </c>
      <c r="M37" s="425">
        <v>1368000</v>
      </c>
      <c r="N37" s="425">
        <v>747364</v>
      </c>
      <c r="O37" s="425">
        <v>147358</v>
      </c>
      <c r="P37" s="425">
        <v>167383</v>
      </c>
      <c r="Q37" s="425">
        <v>4241</v>
      </c>
      <c r="R37" s="425">
        <v>2225</v>
      </c>
      <c r="S37" s="428">
        <v>1570374</v>
      </c>
      <c r="T37" s="428">
        <v>1427754</v>
      </c>
      <c r="U37" s="429">
        <v>142620</v>
      </c>
      <c r="V37" s="439" t="s">
        <v>397</v>
      </c>
      <c r="W37" s="52"/>
      <c r="X37" s="166"/>
    </row>
    <row r="38" spans="1:24" s="514" customFormat="1" ht="21" customHeight="1" x14ac:dyDescent="0.15">
      <c r="A38" s="89"/>
      <c r="B38" s="835" t="s">
        <v>214</v>
      </c>
      <c r="C38" s="835" t="s">
        <v>214</v>
      </c>
      <c r="D38" s="836" t="s">
        <v>599</v>
      </c>
      <c r="E38" s="837"/>
      <c r="F38" s="838">
        <v>15829437</v>
      </c>
      <c r="G38" s="839">
        <v>4467528</v>
      </c>
      <c r="H38" s="839">
        <v>3432818</v>
      </c>
      <c r="I38" s="839">
        <v>437539</v>
      </c>
      <c r="J38" s="839">
        <v>1903476</v>
      </c>
      <c r="K38" s="839">
        <v>3482455</v>
      </c>
      <c r="L38" s="839">
        <v>2105621</v>
      </c>
      <c r="M38" s="839">
        <v>1365090</v>
      </c>
      <c r="N38" s="839">
        <v>740531</v>
      </c>
      <c r="O38" s="839">
        <v>162720</v>
      </c>
      <c r="P38" s="839">
        <v>186464</v>
      </c>
      <c r="Q38" s="839">
        <v>4571</v>
      </c>
      <c r="R38" s="839">
        <v>2620</v>
      </c>
      <c r="S38" s="840">
        <v>1561414</v>
      </c>
      <c r="T38" s="840">
        <v>1356156</v>
      </c>
      <c r="U38" s="841">
        <v>205258</v>
      </c>
      <c r="V38" s="842" t="s">
        <v>398</v>
      </c>
      <c r="W38" s="52"/>
      <c r="X38" s="166" t="s">
        <v>203</v>
      </c>
    </row>
    <row r="39" spans="1:24" s="421" customFormat="1" ht="15" customHeight="1" x14ac:dyDescent="0.15">
      <c r="A39" s="510"/>
      <c r="B39" s="94" t="s">
        <v>907</v>
      </c>
      <c r="C39" s="66"/>
      <c r="D39" s="528"/>
      <c r="E39" s="86"/>
      <c r="F39" s="165"/>
      <c r="G39" s="165"/>
      <c r="H39" s="165"/>
      <c r="I39" s="94"/>
      <c r="J39" s="94"/>
      <c r="K39" s="94"/>
      <c r="L39" s="94"/>
      <c r="M39" s="94"/>
      <c r="N39" s="94"/>
      <c r="O39" s="95" t="s">
        <v>934</v>
      </c>
      <c r="P39" s="94"/>
      <c r="Q39" s="94"/>
      <c r="R39" s="94"/>
      <c r="S39" s="94"/>
      <c r="T39" s="94"/>
      <c r="U39" s="94"/>
      <c r="V39" s="164"/>
      <c r="W39" s="510"/>
    </row>
    <row r="40" spans="1:24" ht="15" customHeight="1" x14ac:dyDescent="0.15">
      <c r="B40" s="94" t="s">
        <v>488</v>
      </c>
      <c r="D40" s="253"/>
    </row>
  </sheetData>
  <mergeCells count="2">
    <mergeCell ref="V4:V7"/>
    <mergeCell ref="B5:E5"/>
  </mergeCells>
  <phoneticPr fontId="34"/>
  <pageMargins left="0.59055118110236227" right="0.59055118110236227" top="0.59055118110236227" bottom="0.59055118110236227" header="0.59055118110236227" footer="0.15748031496062992"/>
  <pageSetup paperSize="9" scale="92" orientation="portrait" r:id="rId1"/>
  <headerFooter alignWithMargins="0"/>
  <colBreaks count="1" manualBreakCount="1">
    <brk id="14" max="39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7DCB-049A-4993-8D7F-C6AD2AC28DC0}">
  <dimension ref="A1:GW224"/>
  <sheetViews>
    <sheetView view="pageBreakPreview" topLeftCell="F18" zoomScaleNormal="100" zoomScaleSheetLayoutView="100" workbookViewId="0"/>
  </sheetViews>
  <sheetFormatPr defaultColWidth="8.125" defaultRowHeight="10.5" x14ac:dyDescent="0.15"/>
  <cols>
    <col min="1" max="1" width="2.625" style="267" customWidth="1"/>
    <col min="2" max="2" width="3" style="267" customWidth="1"/>
    <col min="3" max="3" width="5.5" style="267" customWidth="1"/>
    <col min="4" max="4" width="4" style="267" customWidth="1"/>
    <col min="5" max="5" width="8.25" style="267" customWidth="1"/>
    <col min="6" max="6" width="8.625" style="267" customWidth="1"/>
    <col min="7" max="21" width="7.75" style="267" customWidth="1"/>
    <col min="22" max="22" width="4.25" style="267" customWidth="1"/>
    <col min="23" max="23" width="20.75" style="267" customWidth="1"/>
    <col min="24" max="24" width="6.625" style="267" customWidth="1"/>
    <col min="25" max="25" width="7.5" style="268" customWidth="1"/>
    <col min="26" max="26" width="2.25" style="267" customWidth="1"/>
    <col min="27" max="27" width="1" style="268" customWidth="1"/>
    <col min="28" max="36" width="8.125" style="267"/>
    <col min="37" max="16384" width="8.125" style="266"/>
  </cols>
  <sheetData>
    <row r="1" spans="1:205" s="299" customFormat="1" ht="13.5" customHeight="1" x14ac:dyDescent="0.15">
      <c r="A1" s="300"/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1"/>
      <c r="Z1" s="302"/>
      <c r="AA1" s="301"/>
      <c r="AB1" s="300"/>
      <c r="AC1" s="300"/>
      <c r="AD1" s="300"/>
      <c r="AE1" s="300"/>
      <c r="AF1" s="300"/>
      <c r="AG1" s="300"/>
      <c r="AH1" s="300"/>
      <c r="AI1" s="300"/>
      <c r="AJ1" s="300"/>
    </row>
    <row r="2" spans="1:205" s="299" customFormat="1" ht="21" customHeight="1" x14ac:dyDescent="0.15">
      <c r="A2" s="297"/>
      <c r="B2" s="297" t="s">
        <v>330</v>
      </c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P2" s="300"/>
      <c r="Q2" s="300"/>
      <c r="R2" s="300"/>
      <c r="S2" s="300"/>
      <c r="T2" s="300"/>
      <c r="U2" s="300"/>
      <c r="V2" s="300"/>
      <c r="W2" s="300"/>
      <c r="X2" s="300"/>
      <c r="Y2" s="301"/>
      <c r="Z2" s="300"/>
      <c r="AA2" s="301"/>
      <c r="AB2" s="300"/>
      <c r="AC2" s="300"/>
    </row>
    <row r="3" spans="1:205" ht="18" customHeight="1" x14ac:dyDescent="0.15">
      <c r="A3" s="267" t="s">
        <v>193</v>
      </c>
      <c r="B3" s="298" t="s">
        <v>618</v>
      </c>
      <c r="C3" s="297"/>
      <c r="J3" s="296"/>
      <c r="U3" s="295" t="s">
        <v>976</v>
      </c>
      <c r="Y3" s="843"/>
      <c r="Z3" s="295"/>
      <c r="AD3" s="266"/>
      <c r="AE3" s="266"/>
      <c r="AF3" s="266"/>
      <c r="AG3" s="266"/>
      <c r="AH3" s="266"/>
      <c r="AI3" s="266"/>
      <c r="AJ3" s="266"/>
      <c r="EY3" s="267"/>
      <c r="EZ3" s="267"/>
      <c r="FA3" s="267"/>
      <c r="FB3" s="267"/>
      <c r="FC3" s="267"/>
      <c r="FD3" s="267"/>
      <c r="FE3" s="267"/>
      <c r="FF3" s="267"/>
      <c r="FG3" s="267"/>
      <c r="FH3" s="267"/>
      <c r="FI3" s="267"/>
      <c r="FJ3" s="267"/>
      <c r="FK3" s="267"/>
      <c r="FL3" s="267"/>
      <c r="FM3" s="267"/>
      <c r="FN3" s="267"/>
      <c r="FO3" s="267"/>
      <c r="FP3" s="267"/>
      <c r="FQ3" s="267"/>
      <c r="FR3" s="267"/>
      <c r="FS3" s="267"/>
      <c r="FT3" s="267"/>
      <c r="FU3" s="267"/>
      <c r="FV3" s="267"/>
      <c r="FW3" s="267"/>
      <c r="FX3" s="267"/>
      <c r="FY3" s="267"/>
      <c r="FZ3" s="267"/>
      <c r="GA3" s="267"/>
      <c r="GB3" s="267"/>
      <c r="GC3" s="267"/>
      <c r="GD3" s="267"/>
      <c r="GE3" s="267"/>
      <c r="GF3" s="267"/>
      <c r="GG3" s="267"/>
      <c r="GH3" s="267"/>
      <c r="GI3" s="267"/>
      <c r="GJ3" s="267"/>
      <c r="GK3" s="267"/>
      <c r="GL3" s="267"/>
      <c r="GM3" s="267"/>
      <c r="GN3" s="267"/>
      <c r="GO3" s="267"/>
      <c r="GP3" s="267"/>
      <c r="GQ3" s="267"/>
      <c r="GR3" s="267"/>
      <c r="GS3" s="267"/>
      <c r="GT3" s="267"/>
      <c r="GU3" s="267"/>
      <c r="GV3" s="267"/>
      <c r="GW3" s="267"/>
    </row>
    <row r="4" spans="1:205" s="25" customFormat="1" ht="20.25" customHeight="1" x14ac:dyDescent="0.15">
      <c r="A4" s="22"/>
      <c r="B4" s="1041" t="s">
        <v>493</v>
      </c>
      <c r="C4" s="1041"/>
      <c r="D4" s="1041"/>
      <c r="E4" s="1041"/>
      <c r="F4" s="845">
        <v>45292</v>
      </c>
      <c r="G4" s="846">
        <v>45292</v>
      </c>
      <c r="H4" s="846">
        <v>45323</v>
      </c>
      <c r="I4" s="846">
        <v>45352</v>
      </c>
      <c r="J4" s="846">
        <v>45383</v>
      </c>
      <c r="K4" s="846">
        <v>45413</v>
      </c>
      <c r="L4" s="846">
        <v>45444</v>
      </c>
      <c r="M4" s="846">
        <v>45474</v>
      </c>
      <c r="N4" s="846">
        <v>45505</v>
      </c>
      <c r="O4" s="846">
        <v>45536</v>
      </c>
      <c r="P4" s="846">
        <v>45566</v>
      </c>
      <c r="Q4" s="846">
        <v>45597</v>
      </c>
      <c r="R4" s="846">
        <v>45627</v>
      </c>
      <c r="S4" s="847">
        <v>45658</v>
      </c>
      <c r="T4" s="846">
        <v>45689</v>
      </c>
      <c r="U4" s="846">
        <v>45717</v>
      </c>
      <c r="V4" s="1043" t="s">
        <v>205</v>
      </c>
      <c r="W4" s="1044"/>
      <c r="X4" s="1044"/>
      <c r="Y4" s="1044"/>
      <c r="Z4" s="289"/>
      <c r="AA4" s="279"/>
      <c r="AB4" s="279"/>
      <c r="EX4" s="294"/>
      <c r="EY4" s="279"/>
      <c r="EZ4" s="279"/>
      <c r="FA4" s="279"/>
      <c r="FB4" s="279"/>
      <c r="FW4" s="294"/>
      <c r="FX4" s="279"/>
      <c r="FY4" s="279"/>
      <c r="FZ4" s="279"/>
      <c r="GA4" s="279"/>
    </row>
    <row r="5" spans="1:205" s="25" customFormat="1" ht="20.25" customHeight="1" x14ac:dyDescent="0.15">
      <c r="A5" s="279"/>
      <c r="B5" s="1042"/>
      <c r="C5" s="1042"/>
      <c r="D5" s="1042"/>
      <c r="E5" s="1042"/>
      <c r="F5" s="293">
        <v>45292</v>
      </c>
      <c r="G5" s="291">
        <v>45292</v>
      </c>
      <c r="H5" s="290">
        <v>45323</v>
      </c>
      <c r="I5" s="290">
        <v>45352</v>
      </c>
      <c r="J5" s="290">
        <v>45383</v>
      </c>
      <c r="K5" s="292">
        <v>45413</v>
      </c>
      <c r="L5" s="290">
        <v>45444</v>
      </c>
      <c r="M5" s="290">
        <v>45474</v>
      </c>
      <c r="N5" s="290">
        <v>45505</v>
      </c>
      <c r="O5" s="290">
        <v>45536</v>
      </c>
      <c r="P5" s="290">
        <v>45566</v>
      </c>
      <c r="Q5" s="290">
        <v>45597</v>
      </c>
      <c r="R5" s="290">
        <v>45627</v>
      </c>
      <c r="S5" s="291">
        <v>45658</v>
      </c>
      <c r="T5" s="290">
        <v>45689</v>
      </c>
      <c r="U5" s="290">
        <v>45717</v>
      </c>
      <c r="V5" s="1045"/>
      <c r="W5" s="1046"/>
      <c r="X5" s="1046"/>
      <c r="Y5" s="1046"/>
      <c r="Z5" s="289"/>
      <c r="AA5" s="279"/>
      <c r="AB5" s="279"/>
      <c r="EX5" s="1047"/>
      <c r="EY5" s="1047"/>
      <c r="EZ5" s="1047"/>
      <c r="FA5" s="279"/>
      <c r="FB5" s="279"/>
      <c r="FC5" s="279"/>
      <c r="FD5" s="279"/>
      <c r="FE5" s="279"/>
      <c r="FF5" s="279"/>
      <c r="FG5" s="279"/>
      <c r="FH5" s="279"/>
      <c r="FI5" s="279"/>
      <c r="FJ5" s="279"/>
      <c r="FK5" s="279"/>
      <c r="FL5" s="279"/>
      <c r="FM5" s="279"/>
      <c r="FN5" s="279"/>
      <c r="FO5" s="279"/>
      <c r="FP5" s="279"/>
      <c r="FQ5" s="279"/>
      <c r="FR5" s="279"/>
      <c r="FS5" s="279"/>
      <c r="FT5" s="279"/>
      <c r="FU5" s="279"/>
      <c r="FW5" s="1047"/>
      <c r="FX5" s="1047"/>
      <c r="FY5" s="1047"/>
      <c r="FZ5" s="279"/>
      <c r="GA5" s="279"/>
      <c r="GB5" s="279"/>
      <c r="GC5" s="279"/>
      <c r="GD5" s="279"/>
      <c r="GE5" s="279"/>
      <c r="GF5" s="279"/>
      <c r="GG5" s="279"/>
      <c r="GH5" s="279"/>
      <c r="GI5" s="279"/>
      <c r="GJ5" s="279"/>
      <c r="GK5" s="279"/>
      <c r="GL5" s="279"/>
      <c r="GM5" s="279"/>
      <c r="GN5" s="279"/>
      <c r="GO5" s="279"/>
      <c r="GP5" s="279"/>
      <c r="GQ5" s="279"/>
      <c r="GR5" s="279"/>
      <c r="GS5" s="279"/>
      <c r="GT5" s="279"/>
    </row>
    <row r="6" spans="1:205" s="25" customFormat="1" ht="20.25" customHeight="1" x14ac:dyDescent="0.15">
      <c r="A6" s="22"/>
      <c r="B6" s="850"/>
      <c r="C6" s="1048" t="s">
        <v>325</v>
      </c>
      <c r="D6" s="1051" t="s">
        <v>619</v>
      </c>
      <c r="E6" s="1052"/>
      <c r="F6" s="285">
        <v>54982151</v>
      </c>
      <c r="G6" s="285">
        <v>4213209</v>
      </c>
      <c r="H6" s="285">
        <v>4168060</v>
      </c>
      <c r="I6" s="285">
        <v>4654651</v>
      </c>
      <c r="J6" s="285">
        <v>4383615</v>
      </c>
      <c r="K6" s="285">
        <v>4468338</v>
      </c>
      <c r="L6" s="285">
        <v>4352324</v>
      </c>
      <c r="M6" s="285">
        <v>4928100</v>
      </c>
      <c r="N6" s="282">
        <v>5342328</v>
      </c>
      <c r="O6" s="285">
        <v>4666982</v>
      </c>
      <c r="P6" s="285">
        <v>4567286</v>
      </c>
      <c r="Q6" s="285">
        <v>4463567</v>
      </c>
      <c r="R6" s="285">
        <v>4773691</v>
      </c>
      <c r="S6" s="285">
        <v>4210483</v>
      </c>
      <c r="T6" s="285">
        <v>4093574</v>
      </c>
      <c r="U6" s="851">
        <v>4467528</v>
      </c>
      <c r="V6" s="1053" t="s">
        <v>620</v>
      </c>
      <c r="W6" s="1054"/>
      <c r="X6" s="853"/>
      <c r="Y6" s="854"/>
      <c r="Z6" s="540"/>
      <c r="AB6" s="279"/>
      <c r="EX6" s="535"/>
      <c r="EY6" s="279"/>
      <c r="EZ6" s="279"/>
      <c r="FA6" s="279"/>
      <c r="FB6" s="279"/>
      <c r="FC6" s="279"/>
      <c r="FD6" s="279"/>
      <c r="FE6" s="279"/>
      <c r="FF6" s="279"/>
      <c r="FG6" s="279"/>
      <c r="FH6" s="279"/>
      <c r="FI6" s="279"/>
      <c r="FJ6" s="279"/>
      <c r="FK6" s="279"/>
      <c r="FL6" s="279"/>
      <c r="FM6" s="279"/>
      <c r="FN6" s="279"/>
      <c r="FO6" s="279"/>
      <c r="FP6" s="279"/>
      <c r="FQ6" s="279"/>
      <c r="FR6" s="279"/>
      <c r="FS6" s="279"/>
      <c r="FT6" s="279"/>
      <c r="FU6" s="279"/>
      <c r="FW6" s="535"/>
      <c r="FX6" s="279"/>
      <c r="FY6" s="279"/>
      <c r="FZ6" s="279"/>
      <c r="GA6" s="279"/>
      <c r="GB6" s="279"/>
      <c r="GC6" s="279"/>
      <c r="GD6" s="279"/>
      <c r="GE6" s="279"/>
      <c r="GF6" s="279"/>
      <c r="GG6" s="279"/>
      <c r="GH6" s="279"/>
      <c r="GI6" s="279"/>
      <c r="GJ6" s="279"/>
      <c r="GK6" s="279"/>
      <c r="GL6" s="279"/>
      <c r="GM6" s="279"/>
      <c r="GN6" s="279"/>
      <c r="GO6" s="279"/>
      <c r="GP6" s="279"/>
      <c r="GQ6" s="279"/>
      <c r="GR6" s="279"/>
      <c r="GS6" s="279"/>
      <c r="GT6" s="279"/>
    </row>
    <row r="7" spans="1:205" s="25" customFormat="1" ht="20.25" customHeight="1" x14ac:dyDescent="0.15">
      <c r="B7" s="531" t="s">
        <v>621</v>
      </c>
      <c r="C7" s="1049"/>
      <c r="D7" s="1055" t="s">
        <v>622</v>
      </c>
      <c r="E7" s="1056"/>
      <c r="F7" s="278">
        <v>4472869</v>
      </c>
      <c r="G7" s="278">
        <v>336401</v>
      </c>
      <c r="H7" s="278">
        <v>334262</v>
      </c>
      <c r="I7" s="278">
        <v>384963</v>
      </c>
      <c r="J7" s="278">
        <v>372556</v>
      </c>
      <c r="K7" s="278">
        <v>386565</v>
      </c>
      <c r="L7" s="278">
        <v>348504</v>
      </c>
      <c r="M7" s="278">
        <v>377916</v>
      </c>
      <c r="N7" s="275">
        <v>435291</v>
      </c>
      <c r="O7" s="278">
        <v>370292</v>
      </c>
      <c r="P7" s="278">
        <v>375111</v>
      </c>
      <c r="Q7" s="278">
        <v>365387</v>
      </c>
      <c r="R7" s="278">
        <v>385621</v>
      </c>
      <c r="S7" s="278">
        <v>330774</v>
      </c>
      <c r="T7" s="278">
        <v>294935</v>
      </c>
      <c r="U7" s="277">
        <v>341091</v>
      </c>
      <c r="V7" s="279" t="s">
        <v>494</v>
      </c>
      <c r="W7" s="279"/>
      <c r="X7" s="1057" t="s">
        <v>623</v>
      </c>
      <c r="Y7" s="634"/>
      <c r="Z7" s="540"/>
      <c r="AA7" s="279"/>
      <c r="AB7" s="279"/>
      <c r="EY7" s="279"/>
      <c r="EZ7" s="279"/>
      <c r="FA7" s="279"/>
      <c r="FB7" s="279"/>
      <c r="FX7" s="279"/>
      <c r="FY7" s="279"/>
      <c r="FZ7" s="279"/>
      <c r="GA7" s="279"/>
    </row>
    <row r="8" spans="1:205" s="25" customFormat="1" ht="20.25" customHeight="1" x14ac:dyDescent="0.15">
      <c r="B8" s="281"/>
      <c r="C8" s="1049"/>
      <c r="D8" s="1055" t="s">
        <v>624</v>
      </c>
      <c r="E8" s="1056"/>
      <c r="F8" s="278">
        <v>50446375</v>
      </c>
      <c r="G8" s="278">
        <v>3872772</v>
      </c>
      <c r="H8" s="278">
        <v>3829302</v>
      </c>
      <c r="I8" s="278">
        <v>4265220</v>
      </c>
      <c r="J8" s="278">
        <v>4005147</v>
      </c>
      <c r="K8" s="278">
        <v>4076825</v>
      </c>
      <c r="L8" s="278">
        <v>3998471</v>
      </c>
      <c r="M8" s="278">
        <v>4544064</v>
      </c>
      <c r="N8" s="275">
        <v>4901622</v>
      </c>
      <c r="O8" s="278">
        <v>4290364</v>
      </c>
      <c r="P8" s="278">
        <v>4186629</v>
      </c>
      <c r="Q8" s="278">
        <v>4092982</v>
      </c>
      <c r="R8" s="278">
        <v>4382977</v>
      </c>
      <c r="S8" s="278">
        <v>3874769</v>
      </c>
      <c r="T8" s="278">
        <v>3794245</v>
      </c>
      <c r="U8" s="277">
        <v>4121278</v>
      </c>
      <c r="V8" s="279" t="s">
        <v>495</v>
      </c>
      <c r="W8" s="279"/>
      <c r="X8" s="1057"/>
      <c r="Y8" s="634"/>
      <c r="Z8" s="540"/>
      <c r="AA8" s="279"/>
      <c r="AB8" s="279"/>
      <c r="EY8" s="279"/>
      <c r="EZ8" s="279"/>
      <c r="FA8" s="279"/>
      <c r="FB8" s="279"/>
      <c r="FX8" s="279"/>
      <c r="FY8" s="279"/>
      <c r="FZ8" s="279"/>
      <c r="GA8" s="279"/>
    </row>
    <row r="9" spans="1:205" s="25" customFormat="1" ht="20.25" customHeight="1" x14ac:dyDescent="0.15">
      <c r="B9" s="533" t="s">
        <v>625</v>
      </c>
      <c r="C9" s="1049"/>
      <c r="D9" s="1055" t="s">
        <v>326</v>
      </c>
      <c r="E9" s="1056"/>
      <c r="F9" s="278">
        <v>62907</v>
      </c>
      <c r="G9" s="278">
        <v>4036</v>
      </c>
      <c r="H9" s="278">
        <v>4496</v>
      </c>
      <c r="I9" s="278">
        <v>4468</v>
      </c>
      <c r="J9" s="278">
        <v>5912</v>
      </c>
      <c r="K9" s="278">
        <v>4948</v>
      </c>
      <c r="L9" s="278">
        <v>5349</v>
      </c>
      <c r="M9" s="278">
        <v>6120</v>
      </c>
      <c r="N9" s="275">
        <v>5415</v>
      </c>
      <c r="O9" s="278">
        <v>6326</v>
      </c>
      <c r="P9" s="278">
        <v>5546</v>
      </c>
      <c r="Q9" s="278">
        <v>5198</v>
      </c>
      <c r="R9" s="278">
        <v>5093</v>
      </c>
      <c r="S9" s="278">
        <v>4940</v>
      </c>
      <c r="T9" s="278">
        <v>4394</v>
      </c>
      <c r="U9" s="277">
        <v>5159</v>
      </c>
      <c r="V9" s="279" t="s">
        <v>626</v>
      </c>
      <c r="W9" s="279"/>
      <c r="X9" s="280"/>
      <c r="Y9" s="1058" t="s">
        <v>627</v>
      </c>
      <c r="Z9" s="540"/>
      <c r="AA9" s="279"/>
      <c r="AB9" s="279"/>
      <c r="EY9" s="279"/>
      <c r="EZ9" s="279"/>
      <c r="FA9" s="279"/>
      <c r="FB9" s="279"/>
      <c r="FX9" s="279"/>
      <c r="FY9" s="279"/>
      <c r="FZ9" s="279"/>
      <c r="GA9" s="279"/>
    </row>
    <row r="10" spans="1:205" s="25" customFormat="1" ht="6.95" customHeight="1" x14ac:dyDescent="0.15">
      <c r="B10" s="533"/>
      <c r="C10" s="1050"/>
      <c r="D10" s="855"/>
      <c r="E10" s="856"/>
      <c r="F10" s="278"/>
      <c r="G10" s="278"/>
      <c r="H10" s="278"/>
      <c r="I10" s="278"/>
      <c r="J10" s="278"/>
      <c r="K10" s="278"/>
      <c r="L10" s="278"/>
      <c r="M10" s="278"/>
      <c r="N10" s="275"/>
      <c r="O10" s="278"/>
      <c r="P10" s="278"/>
      <c r="Q10" s="278"/>
      <c r="R10" s="278"/>
      <c r="S10" s="278"/>
      <c r="T10" s="278"/>
      <c r="U10" s="277"/>
      <c r="V10" s="857"/>
      <c r="W10" s="857"/>
      <c r="X10" s="287"/>
      <c r="Y10" s="1058"/>
      <c r="Z10" s="540"/>
      <c r="AA10" s="279"/>
      <c r="AB10" s="279"/>
      <c r="EY10" s="279"/>
      <c r="EZ10" s="279"/>
      <c r="FA10" s="279"/>
      <c r="FB10" s="279"/>
      <c r="FX10" s="279"/>
      <c r="FY10" s="279"/>
      <c r="FZ10" s="279"/>
      <c r="GA10" s="279"/>
    </row>
    <row r="11" spans="1:205" s="25" customFormat="1" ht="20.25" customHeight="1" x14ac:dyDescent="0.15">
      <c r="B11" s="531" t="s">
        <v>628</v>
      </c>
      <c r="C11" s="288"/>
      <c r="D11" s="1051" t="s">
        <v>619</v>
      </c>
      <c r="E11" s="1052"/>
      <c r="F11" s="852">
        <v>858494</v>
      </c>
      <c r="G11" s="852">
        <v>835864</v>
      </c>
      <c r="H11" s="852">
        <v>806464</v>
      </c>
      <c r="I11" s="852">
        <v>738497</v>
      </c>
      <c r="J11" s="852">
        <v>874843</v>
      </c>
      <c r="K11" s="852">
        <v>918173</v>
      </c>
      <c r="L11" s="852">
        <v>843578</v>
      </c>
      <c r="M11" s="852">
        <v>742418</v>
      </c>
      <c r="N11" s="853">
        <v>690382</v>
      </c>
      <c r="O11" s="852">
        <v>776969</v>
      </c>
      <c r="P11" s="852">
        <v>829649</v>
      </c>
      <c r="Q11" s="852">
        <v>882266</v>
      </c>
      <c r="R11" s="852">
        <v>858494</v>
      </c>
      <c r="S11" s="852">
        <v>927159</v>
      </c>
      <c r="T11" s="852">
        <v>856656</v>
      </c>
      <c r="U11" s="851">
        <v>910716</v>
      </c>
      <c r="V11" s="1053" t="s">
        <v>620</v>
      </c>
      <c r="W11" s="1054"/>
      <c r="X11" s="282"/>
      <c r="Y11" s="858"/>
      <c r="Z11" s="540"/>
      <c r="AA11" s="279"/>
      <c r="AB11" s="279"/>
      <c r="EY11" s="279"/>
      <c r="EZ11" s="279"/>
      <c r="FA11" s="279"/>
      <c r="FB11" s="279"/>
      <c r="FX11" s="279"/>
      <c r="FY11" s="279"/>
      <c r="FZ11" s="279"/>
      <c r="GA11" s="279"/>
    </row>
    <row r="12" spans="1:205" s="25" customFormat="1" ht="20.25" customHeight="1" x14ac:dyDescent="0.15">
      <c r="B12" s="281"/>
      <c r="C12" s="1059" t="s">
        <v>496</v>
      </c>
      <c r="D12" s="1055" t="s">
        <v>329</v>
      </c>
      <c r="E12" s="1056"/>
      <c r="F12" s="278">
        <v>128962</v>
      </c>
      <c r="G12" s="278">
        <v>134150</v>
      </c>
      <c r="H12" s="278">
        <v>122607</v>
      </c>
      <c r="I12" s="278">
        <v>119600</v>
      </c>
      <c r="J12" s="278">
        <v>107720</v>
      </c>
      <c r="K12" s="278">
        <v>126063</v>
      </c>
      <c r="L12" s="278">
        <v>129157</v>
      </c>
      <c r="M12" s="278">
        <v>125447</v>
      </c>
      <c r="N12" s="275">
        <v>119637</v>
      </c>
      <c r="O12" s="278">
        <v>122873</v>
      </c>
      <c r="P12" s="278">
        <v>134122</v>
      </c>
      <c r="Q12" s="278">
        <v>139731</v>
      </c>
      <c r="R12" s="278">
        <v>128962</v>
      </c>
      <c r="S12" s="278">
        <v>128651</v>
      </c>
      <c r="T12" s="278">
        <v>125084</v>
      </c>
      <c r="U12" s="277">
        <v>124458</v>
      </c>
      <c r="V12" s="279" t="s">
        <v>494</v>
      </c>
      <c r="W12" s="279"/>
      <c r="X12" s="1057" t="s">
        <v>629</v>
      </c>
      <c r="Y12" s="634"/>
      <c r="Z12" s="540"/>
      <c r="AA12" s="279"/>
      <c r="AB12" s="279"/>
      <c r="EY12" s="279"/>
      <c r="EZ12" s="279"/>
      <c r="FA12" s="279"/>
      <c r="FB12" s="279"/>
      <c r="FX12" s="279"/>
      <c r="FY12" s="279"/>
      <c r="FZ12" s="279"/>
      <c r="GA12" s="279"/>
    </row>
    <row r="13" spans="1:205" s="25" customFormat="1" ht="20.25" customHeight="1" x14ac:dyDescent="0.15">
      <c r="B13" s="533" t="s">
        <v>497</v>
      </c>
      <c r="C13" s="1060"/>
      <c r="D13" s="1055" t="s">
        <v>328</v>
      </c>
      <c r="E13" s="1056"/>
      <c r="F13" s="278">
        <v>714140</v>
      </c>
      <c r="G13" s="278">
        <v>689854</v>
      </c>
      <c r="H13" s="278">
        <v>672387</v>
      </c>
      <c r="I13" s="278">
        <v>606820</v>
      </c>
      <c r="J13" s="278">
        <v>749648</v>
      </c>
      <c r="K13" s="278">
        <v>774563</v>
      </c>
      <c r="L13" s="278">
        <v>697881</v>
      </c>
      <c r="M13" s="278">
        <v>601389</v>
      </c>
      <c r="N13" s="275">
        <v>556276</v>
      </c>
      <c r="O13" s="278">
        <v>639971</v>
      </c>
      <c r="P13" s="278">
        <v>680082</v>
      </c>
      <c r="Q13" s="278">
        <v>727146</v>
      </c>
      <c r="R13" s="278">
        <v>714140</v>
      </c>
      <c r="S13" s="278">
        <v>783427</v>
      </c>
      <c r="T13" s="278">
        <v>715678</v>
      </c>
      <c r="U13" s="277">
        <v>770721</v>
      </c>
      <c r="V13" s="279" t="s">
        <v>495</v>
      </c>
      <c r="W13" s="279"/>
      <c r="X13" s="1057"/>
      <c r="Y13" s="634"/>
      <c r="Z13" s="540"/>
      <c r="AA13" s="279"/>
      <c r="AB13" s="279"/>
      <c r="EY13" s="279"/>
      <c r="EZ13" s="279"/>
      <c r="FA13" s="279"/>
      <c r="FB13" s="279"/>
      <c r="FX13" s="279"/>
      <c r="FY13" s="279"/>
      <c r="FZ13" s="279"/>
      <c r="GA13" s="279"/>
    </row>
    <row r="14" spans="1:205" s="25" customFormat="1" ht="20.25" customHeight="1" x14ac:dyDescent="0.15">
      <c r="B14" s="281"/>
      <c r="C14" s="279"/>
      <c r="D14" s="1055" t="s">
        <v>326</v>
      </c>
      <c r="E14" s="1056"/>
      <c r="F14" s="278">
        <v>15392</v>
      </c>
      <c r="G14" s="278">
        <v>11860</v>
      </c>
      <c r="H14" s="278">
        <v>11470</v>
      </c>
      <c r="I14" s="278">
        <v>12077</v>
      </c>
      <c r="J14" s="278">
        <v>17475</v>
      </c>
      <c r="K14" s="278">
        <v>17547</v>
      </c>
      <c r="L14" s="278">
        <v>16540</v>
      </c>
      <c r="M14" s="278">
        <v>15582</v>
      </c>
      <c r="N14" s="275">
        <v>14469</v>
      </c>
      <c r="O14" s="278">
        <v>14125</v>
      </c>
      <c r="P14" s="278">
        <v>15445</v>
      </c>
      <c r="Q14" s="278">
        <v>15389</v>
      </c>
      <c r="R14" s="278">
        <v>15392</v>
      </c>
      <c r="S14" s="278">
        <v>15081</v>
      </c>
      <c r="T14" s="278">
        <v>15894</v>
      </c>
      <c r="U14" s="277">
        <v>15537</v>
      </c>
      <c r="V14" s="279" t="s">
        <v>626</v>
      </c>
      <c r="W14" s="279"/>
      <c r="X14" s="280"/>
      <c r="Y14" s="634"/>
      <c r="Z14" s="540"/>
      <c r="AA14" s="279"/>
      <c r="AB14" s="279"/>
      <c r="EY14" s="279"/>
      <c r="EZ14" s="279"/>
      <c r="FA14" s="279"/>
      <c r="FB14" s="279"/>
      <c r="FX14" s="279"/>
      <c r="FY14" s="279"/>
      <c r="FZ14" s="279"/>
      <c r="GA14" s="279"/>
    </row>
    <row r="15" spans="1:205" s="25" customFormat="1" ht="6.95" customHeight="1" x14ac:dyDescent="0.15">
      <c r="B15" s="859"/>
      <c r="C15" s="860"/>
      <c r="D15" s="855"/>
      <c r="E15" s="856"/>
      <c r="F15" s="861"/>
      <c r="G15" s="861"/>
      <c r="H15" s="861"/>
      <c r="I15" s="861"/>
      <c r="J15" s="861"/>
      <c r="K15" s="861"/>
      <c r="L15" s="861"/>
      <c r="M15" s="861"/>
      <c r="N15" s="273"/>
      <c r="O15" s="861"/>
      <c r="P15" s="861"/>
      <c r="Q15" s="861"/>
      <c r="R15" s="861"/>
      <c r="S15" s="861"/>
      <c r="T15" s="861"/>
      <c r="U15" s="274"/>
      <c r="V15" s="857"/>
      <c r="W15" s="857"/>
      <c r="X15" s="287"/>
      <c r="Y15" s="862"/>
      <c r="Z15" s="540"/>
      <c r="AA15" s="279"/>
      <c r="AB15" s="279"/>
      <c r="EY15" s="279"/>
      <c r="EZ15" s="279"/>
      <c r="FA15" s="279"/>
      <c r="FB15" s="279"/>
      <c r="FX15" s="279"/>
      <c r="FY15" s="279"/>
      <c r="FZ15" s="279"/>
      <c r="GA15" s="279"/>
    </row>
    <row r="16" spans="1:205" s="25" customFormat="1" ht="20.25" customHeight="1" x14ac:dyDescent="0.15">
      <c r="B16" s="286"/>
      <c r="C16" s="1061" t="s">
        <v>325</v>
      </c>
      <c r="D16" s="1063" t="s">
        <v>619</v>
      </c>
      <c r="E16" s="1064"/>
      <c r="F16" s="285">
        <v>39250892</v>
      </c>
      <c r="G16" s="285">
        <v>3464675</v>
      </c>
      <c r="H16" s="285">
        <v>3606918</v>
      </c>
      <c r="I16" s="285">
        <v>3196369</v>
      </c>
      <c r="J16" s="285">
        <v>3537967</v>
      </c>
      <c r="K16" s="285">
        <v>3362724</v>
      </c>
      <c r="L16" s="285">
        <v>2951571</v>
      </c>
      <c r="M16" s="285">
        <v>2662521</v>
      </c>
      <c r="N16" s="282">
        <v>3178428</v>
      </c>
      <c r="O16" s="285">
        <v>3054764</v>
      </c>
      <c r="P16" s="285">
        <v>3304050</v>
      </c>
      <c r="Q16" s="285">
        <v>3353812</v>
      </c>
      <c r="R16" s="285">
        <v>3577093</v>
      </c>
      <c r="S16" s="285">
        <v>3418240</v>
      </c>
      <c r="T16" s="285">
        <v>2855851</v>
      </c>
      <c r="U16" s="284">
        <v>3432818</v>
      </c>
      <c r="V16" s="1065" t="s">
        <v>620</v>
      </c>
      <c r="W16" s="1066"/>
      <c r="X16" s="282"/>
      <c r="Y16" s="863"/>
      <c r="Z16" s="540"/>
      <c r="AA16" s="279"/>
      <c r="AB16" s="279"/>
      <c r="EY16" s="279"/>
      <c r="EZ16" s="279"/>
      <c r="FA16" s="279"/>
      <c r="FB16" s="279"/>
      <c r="FX16" s="279"/>
      <c r="FY16" s="279"/>
      <c r="FZ16" s="279"/>
      <c r="GA16" s="279"/>
    </row>
    <row r="17" spans="2:183" s="25" customFormat="1" ht="20.25" customHeight="1" x14ac:dyDescent="0.15">
      <c r="B17" s="531" t="s">
        <v>630</v>
      </c>
      <c r="C17" s="1049"/>
      <c r="D17" s="1055" t="s">
        <v>631</v>
      </c>
      <c r="E17" s="1056"/>
      <c r="F17" s="278">
        <v>39216715</v>
      </c>
      <c r="G17" s="278">
        <v>3461536</v>
      </c>
      <c r="H17" s="278">
        <v>3603767</v>
      </c>
      <c r="I17" s="278">
        <v>3193467</v>
      </c>
      <c r="J17" s="278">
        <v>3535585</v>
      </c>
      <c r="K17" s="278">
        <v>3361571</v>
      </c>
      <c r="L17" s="278">
        <v>2948923</v>
      </c>
      <c r="M17" s="278">
        <v>2660020</v>
      </c>
      <c r="N17" s="275">
        <v>3174152</v>
      </c>
      <c r="O17" s="278">
        <v>3051364</v>
      </c>
      <c r="P17" s="278">
        <v>3301787</v>
      </c>
      <c r="Q17" s="278">
        <v>3350413</v>
      </c>
      <c r="R17" s="278">
        <v>3574130</v>
      </c>
      <c r="S17" s="278">
        <v>3415290</v>
      </c>
      <c r="T17" s="278">
        <v>2854738</v>
      </c>
      <c r="U17" s="277">
        <v>3429744</v>
      </c>
      <c r="V17" s="279" t="s">
        <v>632</v>
      </c>
      <c r="W17" s="279"/>
      <c r="X17" s="280" t="s">
        <v>623</v>
      </c>
      <c r="Y17" s="634"/>
      <c r="Z17" s="540"/>
      <c r="AA17" s="279"/>
      <c r="AB17" s="279"/>
      <c r="EY17" s="279"/>
      <c r="EZ17" s="279"/>
      <c r="FA17" s="279"/>
      <c r="FB17" s="279"/>
      <c r="FX17" s="279"/>
      <c r="FY17" s="279"/>
      <c r="FZ17" s="279"/>
      <c r="GA17" s="279"/>
    </row>
    <row r="18" spans="2:183" s="25" customFormat="1" ht="20.25" customHeight="1" x14ac:dyDescent="0.15">
      <c r="B18" s="531"/>
      <c r="C18" s="1049"/>
      <c r="D18" s="1055" t="s">
        <v>326</v>
      </c>
      <c r="E18" s="1056"/>
      <c r="F18" s="278">
        <v>34177</v>
      </c>
      <c r="G18" s="278">
        <v>3139</v>
      </c>
      <c r="H18" s="278">
        <v>3151</v>
      </c>
      <c r="I18" s="278">
        <v>2902</v>
      </c>
      <c r="J18" s="278">
        <v>2382</v>
      </c>
      <c r="K18" s="278">
        <v>1153</v>
      </c>
      <c r="L18" s="278">
        <v>2648</v>
      </c>
      <c r="M18" s="278">
        <v>2501</v>
      </c>
      <c r="N18" s="275">
        <v>4276</v>
      </c>
      <c r="O18" s="278">
        <v>3400</v>
      </c>
      <c r="P18" s="278">
        <v>2263</v>
      </c>
      <c r="Q18" s="278">
        <v>3399</v>
      </c>
      <c r="R18" s="278">
        <v>2963</v>
      </c>
      <c r="S18" s="278">
        <v>2950</v>
      </c>
      <c r="T18" s="278">
        <v>1113</v>
      </c>
      <c r="U18" s="277">
        <v>3074</v>
      </c>
      <c r="V18" s="279" t="s">
        <v>626</v>
      </c>
      <c r="W18" s="279"/>
      <c r="X18" s="275"/>
      <c r="Y18" s="1058" t="s">
        <v>633</v>
      </c>
      <c r="Z18" s="540"/>
      <c r="AA18" s="279"/>
      <c r="AB18" s="279"/>
      <c r="EY18" s="279"/>
      <c r="EZ18" s="279"/>
      <c r="FA18" s="279"/>
      <c r="FB18" s="279"/>
      <c r="FX18" s="279"/>
      <c r="FY18" s="279"/>
      <c r="FZ18" s="279"/>
      <c r="GA18" s="279"/>
    </row>
    <row r="19" spans="2:183" s="25" customFormat="1" ht="6.95" customHeight="1" x14ac:dyDescent="0.15">
      <c r="B19" s="1067" t="s">
        <v>634</v>
      </c>
      <c r="C19" s="1062"/>
      <c r="D19" s="855"/>
      <c r="E19" s="856"/>
      <c r="F19" s="278"/>
      <c r="G19" s="278"/>
      <c r="H19" s="278"/>
      <c r="I19" s="278"/>
      <c r="J19" s="278"/>
      <c r="K19" s="278"/>
      <c r="L19" s="278"/>
      <c r="M19" s="278"/>
      <c r="N19" s="275"/>
      <c r="O19" s="278"/>
      <c r="P19" s="278"/>
      <c r="Q19" s="278"/>
      <c r="R19" s="278"/>
      <c r="S19" s="278"/>
      <c r="T19" s="278"/>
      <c r="U19" s="277"/>
      <c r="V19" s="857"/>
      <c r="W19" s="857"/>
      <c r="X19" s="273"/>
      <c r="Y19" s="1058"/>
      <c r="Z19" s="540"/>
      <c r="AA19" s="279"/>
      <c r="AB19" s="279"/>
      <c r="EY19" s="279"/>
      <c r="EZ19" s="279"/>
      <c r="FA19" s="279"/>
      <c r="FB19" s="279"/>
      <c r="FX19" s="279"/>
      <c r="FY19" s="279"/>
      <c r="FZ19" s="279"/>
      <c r="GA19" s="279"/>
    </row>
    <row r="20" spans="2:183" s="25" customFormat="1" ht="20.25" customHeight="1" x14ac:dyDescent="0.15">
      <c r="B20" s="1068"/>
      <c r="C20" s="1069" t="s">
        <v>496</v>
      </c>
      <c r="D20" s="1051" t="s">
        <v>619</v>
      </c>
      <c r="E20" s="1052"/>
      <c r="F20" s="852">
        <v>365397</v>
      </c>
      <c r="G20" s="852">
        <v>400843</v>
      </c>
      <c r="H20" s="852">
        <v>396961</v>
      </c>
      <c r="I20" s="852">
        <v>404612</v>
      </c>
      <c r="J20" s="852">
        <v>349490</v>
      </c>
      <c r="K20" s="852">
        <v>338928</v>
      </c>
      <c r="L20" s="852">
        <v>248235</v>
      </c>
      <c r="M20" s="852">
        <v>419773</v>
      </c>
      <c r="N20" s="853">
        <v>448794</v>
      </c>
      <c r="O20" s="852">
        <v>405111</v>
      </c>
      <c r="P20" s="852">
        <v>328017</v>
      </c>
      <c r="Q20" s="852">
        <v>449290</v>
      </c>
      <c r="R20" s="852">
        <v>365397</v>
      </c>
      <c r="S20" s="852">
        <v>369763</v>
      </c>
      <c r="T20" s="852">
        <v>356851</v>
      </c>
      <c r="U20" s="851">
        <v>296438</v>
      </c>
      <c r="V20" s="1053" t="s">
        <v>620</v>
      </c>
      <c r="W20" s="1054"/>
      <c r="X20" s="282"/>
      <c r="Y20" s="858"/>
      <c r="Z20" s="540"/>
      <c r="AA20" s="279"/>
      <c r="AB20" s="279"/>
      <c r="EY20" s="279"/>
      <c r="EZ20" s="279"/>
      <c r="FA20" s="279"/>
      <c r="FB20" s="279"/>
      <c r="FX20" s="279"/>
      <c r="FY20" s="279"/>
      <c r="FZ20" s="279"/>
      <c r="GA20" s="279"/>
    </row>
    <row r="21" spans="2:183" s="25" customFormat="1" ht="20.25" customHeight="1" x14ac:dyDescent="0.15">
      <c r="B21" s="533" t="s">
        <v>635</v>
      </c>
      <c r="C21" s="1070"/>
      <c r="D21" s="1055" t="s">
        <v>327</v>
      </c>
      <c r="E21" s="1056"/>
      <c r="F21" s="278">
        <v>365284</v>
      </c>
      <c r="G21" s="278">
        <v>400688</v>
      </c>
      <c r="H21" s="278">
        <v>396801</v>
      </c>
      <c r="I21" s="278">
        <v>404456</v>
      </c>
      <c r="J21" s="278">
        <v>349332</v>
      </c>
      <c r="K21" s="278">
        <v>338798</v>
      </c>
      <c r="L21" s="278">
        <v>246103</v>
      </c>
      <c r="M21" s="278">
        <v>419596</v>
      </c>
      <c r="N21" s="275">
        <v>448671</v>
      </c>
      <c r="O21" s="278">
        <v>404932</v>
      </c>
      <c r="P21" s="278">
        <v>327801</v>
      </c>
      <c r="Q21" s="278">
        <v>449180</v>
      </c>
      <c r="R21" s="278">
        <v>365284</v>
      </c>
      <c r="S21" s="278">
        <v>369641</v>
      </c>
      <c r="T21" s="278">
        <v>356708</v>
      </c>
      <c r="U21" s="277">
        <v>296284</v>
      </c>
      <c r="V21" s="279" t="s">
        <v>632</v>
      </c>
      <c r="W21" s="279"/>
      <c r="X21" s="280" t="s">
        <v>629</v>
      </c>
      <c r="Y21" s="634"/>
      <c r="Z21" s="540"/>
      <c r="AA21" s="279"/>
      <c r="AB21" s="279"/>
      <c r="EY21" s="279"/>
      <c r="EZ21" s="279"/>
      <c r="FA21" s="279"/>
      <c r="FB21" s="279"/>
      <c r="FX21" s="279"/>
      <c r="FY21" s="279"/>
      <c r="FZ21" s="279"/>
      <c r="GA21" s="279"/>
    </row>
    <row r="22" spans="2:183" s="25" customFormat="1" ht="20.25" customHeight="1" x14ac:dyDescent="0.15">
      <c r="B22" s="281"/>
      <c r="C22" s="1070"/>
      <c r="D22" s="1055" t="s">
        <v>326</v>
      </c>
      <c r="E22" s="1056"/>
      <c r="F22" s="278">
        <v>113</v>
      </c>
      <c r="G22" s="278">
        <v>155</v>
      </c>
      <c r="H22" s="278">
        <v>160</v>
      </c>
      <c r="I22" s="278">
        <v>156</v>
      </c>
      <c r="J22" s="278">
        <v>158</v>
      </c>
      <c r="K22" s="278">
        <v>130</v>
      </c>
      <c r="L22" s="278">
        <v>2132</v>
      </c>
      <c r="M22" s="278">
        <v>177</v>
      </c>
      <c r="N22" s="275">
        <v>123</v>
      </c>
      <c r="O22" s="278">
        <v>179</v>
      </c>
      <c r="P22" s="278">
        <v>216</v>
      </c>
      <c r="Q22" s="278">
        <v>110</v>
      </c>
      <c r="R22" s="278">
        <v>113</v>
      </c>
      <c r="S22" s="278">
        <v>122</v>
      </c>
      <c r="T22" s="278">
        <v>143</v>
      </c>
      <c r="U22" s="277">
        <v>154</v>
      </c>
      <c r="V22" s="279" t="s">
        <v>626</v>
      </c>
      <c r="W22" s="279"/>
      <c r="X22" s="275"/>
      <c r="Y22" s="634"/>
      <c r="Z22" s="540"/>
      <c r="AA22" s="279"/>
      <c r="AB22" s="279"/>
      <c r="EY22" s="279"/>
      <c r="EZ22" s="279"/>
      <c r="FA22" s="279"/>
      <c r="FB22" s="279"/>
      <c r="FX22" s="279"/>
      <c r="FY22" s="279"/>
      <c r="FZ22" s="279"/>
      <c r="GA22" s="279"/>
    </row>
    <row r="23" spans="2:183" s="25" customFormat="1" ht="6.95" customHeight="1" x14ac:dyDescent="0.15">
      <c r="B23" s="859"/>
      <c r="C23" s="534"/>
      <c r="D23" s="855"/>
      <c r="E23" s="856"/>
      <c r="F23" s="861"/>
      <c r="G23" s="861"/>
      <c r="H23" s="861"/>
      <c r="I23" s="861"/>
      <c r="J23" s="861"/>
      <c r="K23" s="861"/>
      <c r="L23" s="861"/>
      <c r="M23" s="861"/>
      <c r="N23" s="273"/>
      <c r="O23" s="861"/>
      <c r="P23" s="861"/>
      <c r="Q23" s="861"/>
      <c r="R23" s="861"/>
      <c r="S23" s="861"/>
      <c r="T23" s="861"/>
      <c r="U23" s="274"/>
      <c r="V23" s="857"/>
      <c r="W23" s="857"/>
      <c r="X23" s="273"/>
      <c r="Y23" s="862"/>
      <c r="Z23" s="540"/>
      <c r="AA23" s="279"/>
      <c r="AB23" s="279"/>
      <c r="EY23" s="279"/>
      <c r="EZ23" s="279"/>
      <c r="FA23" s="279"/>
      <c r="FB23" s="279"/>
      <c r="FX23" s="279"/>
      <c r="FY23" s="279"/>
      <c r="FZ23" s="279"/>
      <c r="GA23" s="279"/>
    </row>
    <row r="24" spans="2:183" s="25" customFormat="1" ht="20.25" customHeight="1" x14ac:dyDescent="0.15">
      <c r="B24" s="286"/>
      <c r="C24" s="1061" t="s">
        <v>325</v>
      </c>
      <c r="D24" s="1063" t="s">
        <v>619</v>
      </c>
      <c r="E24" s="1064"/>
      <c r="F24" s="285">
        <v>1931088</v>
      </c>
      <c r="G24" s="285">
        <v>149286</v>
      </c>
      <c r="H24" s="285">
        <v>165466</v>
      </c>
      <c r="I24" s="285">
        <v>177249</v>
      </c>
      <c r="J24" s="285">
        <v>172585</v>
      </c>
      <c r="K24" s="285">
        <v>154330</v>
      </c>
      <c r="L24" s="285">
        <v>154153</v>
      </c>
      <c r="M24" s="285">
        <v>171210</v>
      </c>
      <c r="N24" s="282">
        <v>133411</v>
      </c>
      <c r="O24" s="285">
        <v>160669</v>
      </c>
      <c r="P24" s="285">
        <v>168724</v>
      </c>
      <c r="Q24" s="285">
        <v>162902</v>
      </c>
      <c r="R24" s="285">
        <v>161103</v>
      </c>
      <c r="S24" s="285">
        <v>151257</v>
      </c>
      <c r="T24" s="285">
        <v>147358</v>
      </c>
      <c r="U24" s="284">
        <v>162720</v>
      </c>
      <c r="V24" s="1065" t="s">
        <v>620</v>
      </c>
      <c r="W24" s="1066"/>
      <c r="X24" s="282"/>
      <c r="Y24" s="863"/>
      <c r="Z24" s="540"/>
      <c r="AA24" s="279"/>
      <c r="AB24" s="279"/>
      <c r="EY24" s="279"/>
      <c r="EZ24" s="279"/>
      <c r="FA24" s="279"/>
      <c r="FB24" s="279"/>
      <c r="FX24" s="279"/>
      <c r="FY24" s="279"/>
      <c r="FZ24" s="279"/>
      <c r="GA24" s="279"/>
    </row>
    <row r="25" spans="2:183" s="25" customFormat="1" ht="20.25" customHeight="1" x14ac:dyDescent="0.15">
      <c r="B25" s="281"/>
      <c r="C25" s="1076"/>
      <c r="D25" s="1055" t="s">
        <v>636</v>
      </c>
      <c r="E25" s="1056"/>
      <c r="F25" s="278">
        <v>310224</v>
      </c>
      <c r="G25" s="278">
        <v>23952</v>
      </c>
      <c r="H25" s="278">
        <v>27154</v>
      </c>
      <c r="I25" s="278">
        <v>28889</v>
      </c>
      <c r="J25" s="278">
        <v>26786</v>
      </c>
      <c r="K25" s="278">
        <v>24885</v>
      </c>
      <c r="L25" s="278">
        <v>22879</v>
      </c>
      <c r="M25" s="278">
        <v>26660</v>
      </c>
      <c r="N25" s="275">
        <v>22043</v>
      </c>
      <c r="O25" s="278">
        <v>27565</v>
      </c>
      <c r="P25" s="278">
        <v>27705</v>
      </c>
      <c r="Q25" s="278">
        <v>25284</v>
      </c>
      <c r="R25" s="278">
        <v>26422</v>
      </c>
      <c r="S25" s="278">
        <v>24462</v>
      </c>
      <c r="T25" s="278">
        <v>23901</v>
      </c>
      <c r="U25" s="277">
        <v>27429</v>
      </c>
      <c r="V25" s="279" t="s">
        <v>498</v>
      </c>
      <c r="W25" s="279"/>
      <c r="X25" s="275"/>
      <c r="Y25" s="634"/>
      <c r="Z25" s="540"/>
      <c r="AA25" s="279"/>
      <c r="AB25" s="279"/>
      <c r="EY25" s="279"/>
      <c r="EZ25" s="279"/>
      <c r="FA25" s="279"/>
      <c r="FB25" s="279"/>
      <c r="FX25" s="279"/>
      <c r="FY25" s="279"/>
      <c r="FZ25" s="279"/>
      <c r="GA25" s="279"/>
    </row>
    <row r="26" spans="2:183" s="25" customFormat="1" ht="20.25" customHeight="1" x14ac:dyDescent="0.15">
      <c r="B26" s="281"/>
      <c r="C26" s="1076"/>
      <c r="D26" s="1072" t="s">
        <v>322</v>
      </c>
      <c r="E26" s="1073"/>
      <c r="F26" s="278">
        <v>181422</v>
      </c>
      <c r="G26" s="278">
        <v>13199</v>
      </c>
      <c r="H26" s="278">
        <v>16525</v>
      </c>
      <c r="I26" s="278">
        <v>18472</v>
      </c>
      <c r="J26" s="278">
        <v>16243</v>
      </c>
      <c r="K26" s="278">
        <v>13888</v>
      </c>
      <c r="L26" s="278">
        <v>13596</v>
      </c>
      <c r="M26" s="278">
        <v>15265</v>
      </c>
      <c r="N26" s="275">
        <v>11535</v>
      </c>
      <c r="O26" s="278">
        <v>15746</v>
      </c>
      <c r="P26" s="278">
        <v>16785</v>
      </c>
      <c r="Q26" s="278">
        <v>14985</v>
      </c>
      <c r="R26" s="278">
        <v>15183</v>
      </c>
      <c r="S26" s="278">
        <v>14978</v>
      </c>
      <c r="T26" s="278">
        <v>14128</v>
      </c>
      <c r="U26" s="277">
        <v>17178</v>
      </c>
      <c r="V26" s="279" t="s">
        <v>637</v>
      </c>
      <c r="W26" s="279"/>
      <c r="X26" s="275"/>
      <c r="Y26" s="634"/>
      <c r="Z26" s="540"/>
      <c r="AA26" s="279"/>
      <c r="AB26" s="279"/>
      <c r="EY26" s="279"/>
      <c r="EZ26" s="279"/>
      <c r="FA26" s="279"/>
      <c r="FB26" s="279"/>
      <c r="FX26" s="279"/>
      <c r="FY26" s="279"/>
      <c r="FZ26" s="279"/>
      <c r="GA26" s="279"/>
    </row>
    <row r="27" spans="2:183" s="25" customFormat="1" ht="20.25" customHeight="1" x14ac:dyDescent="0.15">
      <c r="B27" s="281"/>
      <c r="C27" s="1076"/>
      <c r="D27" s="1055" t="s">
        <v>638</v>
      </c>
      <c r="E27" s="1056"/>
      <c r="F27" s="278">
        <v>180735</v>
      </c>
      <c r="G27" s="278">
        <v>15322</v>
      </c>
      <c r="H27" s="278">
        <v>17734</v>
      </c>
      <c r="I27" s="278">
        <v>20690</v>
      </c>
      <c r="J27" s="278">
        <v>15942</v>
      </c>
      <c r="K27" s="278">
        <v>15371</v>
      </c>
      <c r="L27" s="278">
        <v>14752</v>
      </c>
      <c r="M27" s="278">
        <v>15189</v>
      </c>
      <c r="N27" s="275">
        <v>11168</v>
      </c>
      <c r="O27" s="278">
        <v>13522</v>
      </c>
      <c r="P27" s="278">
        <v>14802</v>
      </c>
      <c r="Q27" s="278">
        <v>13445</v>
      </c>
      <c r="R27" s="278">
        <v>12798</v>
      </c>
      <c r="S27" s="278">
        <v>13014</v>
      </c>
      <c r="T27" s="278">
        <v>13455</v>
      </c>
      <c r="U27" s="277">
        <v>14544</v>
      </c>
      <c r="V27" s="279" t="s">
        <v>499</v>
      </c>
      <c r="W27" s="279"/>
      <c r="X27" s="275"/>
      <c r="Y27" s="634"/>
      <c r="Z27" s="540"/>
      <c r="AA27" s="279"/>
      <c r="AB27" s="279"/>
      <c r="EY27" s="279"/>
      <c r="EZ27" s="279"/>
      <c r="FA27" s="279"/>
      <c r="FB27" s="279"/>
      <c r="FX27" s="279"/>
      <c r="FY27" s="279"/>
      <c r="FZ27" s="279"/>
      <c r="GA27" s="279"/>
    </row>
    <row r="28" spans="2:183" s="25" customFormat="1" ht="20.25" customHeight="1" x14ac:dyDescent="0.15">
      <c r="B28" s="281"/>
      <c r="C28" s="1076"/>
      <c r="D28" s="1055" t="s">
        <v>639</v>
      </c>
      <c r="E28" s="1056"/>
      <c r="F28" s="278">
        <v>105932</v>
      </c>
      <c r="G28" s="278">
        <v>7734</v>
      </c>
      <c r="H28" s="278">
        <v>8475</v>
      </c>
      <c r="I28" s="278">
        <v>10133</v>
      </c>
      <c r="J28" s="278">
        <v>9310</v>
      </c>
      <c r="K28" s="278">
        <v>8281</v>
      </c>
      <c r="L28" s="278">
        <v>9746</v>
      </c>
      <c r="M28" s="278">
        <v>9236</v>
      </c>
      <c r="N28" s="275">
        <v>7341</v>
      </c>
      <c r="O28" s="278">
        <v>9100</v>
      </c>
      <c r="P28" s="278">
        <v>8665</v>
      </c>
      <c r="Q28" s="278">
        <v>9135</v>
      </c>
      <c r="R28" s="278">
        <v>8776</v>
      </c>
      <c r="S28" s="278">
        <v>8089</v>
      </c>
      <c r="T28" s="278">
        <v>8792</v>
      </c>
      <c r="U28" s="277">
        <v>9185</v>
      </c>
      <c r="V28" s="279" t="s">
        <v>640</v>
      </c>
      <c r="W28" s="279"/>
      <c r="X28" s="275"/>
      <c r="Y28" s="634"/>
      <c r="Z28" s="540"/>
      <c r="AA28" s="279"/>
      <c r="AB28" s="279"/>
      <c r="EY28" s="279"/>
      <c r="EZ28" s="279"/>
      <c r="FA28" s="279"/>
      <c r="FB28" s="279"/>
      <c r="FX28" s="279"/>
      <c r="FY28" s="279"/>
      <c r="FZ28" s="279"/>
      <c r="GA28" s="279"/>
    </row>
    <row r="29" spans="2:183" s="25" customFormat="1" ht="20.25" customHeight="1" x14ac:dyDescent="0.15">
      <c r="B29" s="281"/>
      <c r="C29" s="1076"/>
      <c r="D29" s="1055" t="s">
        <v>500</v>
      </c>
      <c r="E29" s="1056"/>
      <c r="F29" s="278">
        <v>265504</v>
      </c>
      <c r="G29" s="278">
        <v>18977</v>
      </c>
      <c r="H29" s="278">
        <v>22392</v>
      </c>
      <c r="I29" s="278">
        <v>23816</v>
      </c>
      <c r="J29" s="278">
        <v>23999</v>
      </c>
      <c r="K29" s="278">
        <v>21083</v>
      </c>
      <c r="L29" s="278">
        <v>20395</v>
      </c>
      <c r="M29" s="278">
        <v>23159</v>
      </c>
      <c r="N29" s="275">
        <v>19348</v>
      </c>
      <c r="O29" s="278">
        <v>22524</v>
      </c>
      <c r="P29" s="278">
        <v>24453</v>
      </c>
      <c r="Q29" s="278">
        <v>22967</v>
      </c>
      <c r="R29" s="278">
        <v>22391</v>
      </c>
      <c r="S29" s="278">
        <v>21136</v>
      </c>
      <c r="T29" s="278">
        <v>19811</v>
      </c>
      <c r="U29" s="277">
        <v>21443</v>
      </c>
      <c r="V29" s="279" t="s">
        <v>641</v>
      </c>
      <c r="W29" s="279"/>
      <c r="X29" s="280" t="s">
        <v>623</v>
      </c>
      <c r="Y29" s="634"/>
      <c r="Z29" s="540"/>
      <c r="AA29" s="279"/>
      <c r="AB29" s="279"/>
      <c r="EY29" s="279"/>
      <c r="EZ29" s="279"/>
      <c r="FA29" s="279"/>
      <c r="FB29" s="279"/>
      <c r="FX29" s="279"/>
      <c r="FY29" s="279"/>
      <c r="FZ29" s="279"/>
      <c r="GA29" s="279"/>
    </row>
    <row r="30" spans="2:183" s="25" customFormat="1" ht="20.25" customHeight="1" x14ac:dyDescent="0.15">
      <c r="B30" s="532" t="s">
        <v>324</v>
      </c>
      <c r="C30" s="1076"/>
      <c r="D30" s="1072" t="s">
        <v>642</v>
      </c>
      <c r="E30" s="1073"/>
      <c r="F30" s="278">
        <v>123044</v>
      </c>
      <c r="G30" s="278">
        <v>9996</v>
      </c>
      <c r="H30" s="278">
        <v>10538</v>
      </c>
      <c r="I30" s="278">
        <v>10649</v>
      </c>
      <c r="J30" s="278">
        <v>10106</v>
      </c>
      <c r="K30" s="278">
        <v>9355</v>
      </c>
      <c r="L30" s="278">
        <v>9423</v>
      </c>
      <c r="M30" s="278">
        <v>10995</v>
      </c>
      <c r="N30" s="275">
        <v>8749</v>
      </c>
      <c r="O30" s="278">
        <v>10319</v>
      </c>
      <c r="P30" s="278">
        <v>10994</v>
      </c>
      <c r="Q30" s="278">
        <v>10512</v>
      </c>
      <c r="R30" s="278">
        <v>11408</v>
      </c>
      <c r="S30" s="278">
        <v>10249</v>
      </c>
      <c r="T30" s="278">
        <v>9956</v>
      </c>
      <c r="U30" s="277">
        <v>10184</v>
      </c>
      <c r="V30" s="25" t="s">
        <v>643</v>
      </c>
      <c r="X30" s="275"/>
      <c r="Y30" s="212"/>
      <c r="Z30" s="540"/>
      <c r="FX30" s="279"/>
      <c r="FY30" s="279"/>
      <c r="FZ30" s="279"/>
      <c r="GA30" s="279"/>
    </row>
    <row r="31" spans="2:183" s="25" customFormat="1" ht="20.25" customHeight="1" x14ac:dyDescent="0.15">
      <c r="B31" s="532"/>
      <c r="C31" s="1076"/>
      <c r="D31" s="1072" t="s">
        <v>644</v>
      </c>
      <c r="E31" s="1073"/>
      <c r="F31" s="278">
        <v>61505</v>
      </c>
      <c r="G31" s="278">
        <v>3392</v>
      </c>
      <c r="H31" s="278">
        <v>4485</v>
      </c>
      <c r="I31" s="278">
        <v>5118</v>
      </c>
      <c r="J31" s="278">
        <v>5580</v>
      </c>
      <c r="K31" s="278">
        <v>5753</v>
      </c>
      <c r="L31" s="278">
        <v>5081</v>
      </c>
      <c r="M31" s="278">
        <v>5328</v>
      </c>
      <c r="N31" s="275">
        <v>4462</v>
      </c>
      <c r="O31" s="278">
        <v>4410</v>
      </c>
      <c r="P31" s="278">
        <v>6660</v>
      </c>
      <c r="Q31" s="278">
        <v>6208</v>
      </c>
      <c r="R31" s="278">
        <v>5028</v>
      </c>
      <c r="S31" s="278">
        <v>5015</v>
      </c>
      <c r="T31" s="278">
        <v>4697</v>
      </c>
      <c r="U31" s="277">
        <v>4693</v>
      </c>
      <c r="V31" s="25" t="s">
        <v>645</v>
      </c>
      <c r="X31" s="275"/>
      <c r="Y31" s="212"/>
      <c r="Z31" s="540"/>
    </row>
    <row r="32" spans="2:183" s="25" customFormat="1" ht="20.25" customHeight="1" x14ac:dyDescent="0.15">
      <c r="B32" s="532"/>
      <c r="C32" s="1076"/>
      <c r="D32" s="1072" t="s">
        <v>320</v>
      </c>
      <c r="E32" s="1073"/>
      <c r="F32" s="278">
        <v>460776</v>
      </c>
      <c r="G32" s="278">
        <v>35231</v>
      </c>
      <c r="H32" s="278">
        <v>37871</v>
      </c>
      <c r="I32" s="278">
        <v>40496</v>
      </c>
      <c r="J32" s="278">
        <v>41632</v>
      </c>
      <c r="K32" s="278">
        <v>34989</v>
      </c>
      <c r="L32" s="278">
        <v>38960</v>
      </c>
      <c r="M32" s="278">
        <v>43434</v>
      </c>
      <c r="N32" s="275">
        <v>32753</v>
      </c>
      <c r="O32" s="278">
        <v>38167</v>
      </c>
      <c r="P32" s="278">
        <v>39705</v>
      </c>
      <c r="Q32" s="278">
        <v>38803</v>
      </c>
      <c r="R32" s="278">
        <v>38735</v>
      </c>
      <c r="S32" s="278">
        <v>37861</v>
      </c>
      <c r="T32" s="278">
        <v>34632</v>
      </c>
      <c r="U32" s="277">
        <v>38059</v>
      </c>
      <c r="V32" s="25" t="s">
        <v>646</v>
      </c>
      <c r="X32" s="275"/>
      <c r="Y32" s="212"/>
      <c r="Z32" s="540"/>
    </row>
    <row r="33" spans="1:36" s="25" customFormat="1" ht="20.25" customHeight="1" x14ac:dyDescent="0.15">
      <c r="B33" s="1025" t="s">
        <v>323</v>
      </c>
      <c r="C33" s="1076"/>
      <c r="D33" s="1072" t="s">
        <v>647</v>
      </c>
      <c r="E33" s="1073"/>
      <c r="F33" s="278">
        <v>241946</v>
      </c>
      <c r="G33" s="278">
        <v>21483</v>
      </c>
      <c r="H33" s="278">
        <v>20292</v>
      </c>
      <c r="I33" s="278">
        <v>18986</v>
      </c>
      <c r="J33" s="278">
        <v>22987</v>
      </c>
      <c r="K33" s="278">
        <v>20725</v>
      </c>
      <c r="L33" s="278">
        <v>19321</v>
      </c>
      <c r="M33" s="278">
        <v>21944</v>
      </c>
      <c r="N33" s="275">
        <v>16012</v>
      </c>
      <c r="O33" s="278">
        <v>19316</v>
      </c>
      <c r="P33" s="278">
        <v>18955</v>
      </c>
      <c r="Q33" s="278">
        <v>21563</v>
      </c>
      <c r="R33" s="278">
        <v>20362</v>
      </c>
      <c r="S33" s="278">
        <v>16453</v>
      </c>
      <c r="T33" s="278">
        <v>17986</v>
      </c>
      <c r="U33" s="277">
        <v>20005</v>
      </c>
      <c r="V33" s="25" t="s">
        <v>648</v>
      </c>
      <c r="X33" s="275"/>
      <c r="Y33" s="1074" t="s">
        <v>977</v>
      </c>
      <c r="Z33" s="540"/>
    </row>
    <row r="34" spans="1:36" s="25" customFormat="1" ht="6.95" customHeight="1" x14ac:dyDescent="0.15">
      <c r="B34" s="1071"/>
      <c r="C34" s="1077"/>
      <c r="D34" s="860" t="s">
        <v>203</v>
      </c>
      <c r="E34" s="864"/>
      <c r="F34" s="278"/>
      <c r="G34" s="278"/>
      <c r="H34" s="278"/>
      <c r="I34" s="278"/>
      <c r="J34" s="278"/>
      <c r="K34" s="278"/>
      <c r="L34" s="278"/>
      <c r="M34" s="278"/>
      <c r="N34" s="275"/>
      <c r="O34" s="278"/>
      <c r="P34" s="278"/>
      <c r="Q34" s="278"/>
      <c r="R34" s="278"/>
      <c r="S34" s="278"/>
      <c r="T34" s="278"/>
      <c r="U34" s="277"/>
      <c r="V34" s="283"/>
      <c r="W34" s="283"/>
      <c r="X34" s="273"/>
      <c r="Y34" s="1075"/>
      <c r="Z34" s="540"/>
    </row>
    <row r="35" spans="1:36" s="25" customFormat="1" ht="20.25" customHeight="1" x14ac:dyDescent="0.15">
      <c r="B35" s="1071"/>
      <c r="C35" s="279"/>
      <c r="D35" s="1063" t="s">
        <v>619</v>
      </c>
      <c r="E35" s="1064"/>
      <c r="F35" s="852">
        <v>284141</v>
      </c>
      <c r="G35" s="852">
        <v>287255</v>
      </c>
      <c r="H35" s="852">
        <v>284466</v>
      </c>
      <c r="I35" s="852">
        <v>273402</v>
      </c>
      <c r="J35" s="852">
        <v>268077</v>
      </c>
      <c r="K35" s="852">
        <v>280562</v>
      </c>
      <c r="L35" s="852">
        <v>280382</v>
      </c>
      <c r="M35" s="852">
        <v>282338</v>
      </c>
      <c r="N35" s="853">
        <v>280389</v>
      </c>
      <c r="O35" s="852">
        <v>268619</v>
      </c>
      <c r="P35" s="852">
        <v>270767</v>
      </c>
      <c r="Q35" s="852">
        <v>272750</v>
      </c>
      <c r="R35" s="852">
        <v>284141</v>
      </c>
      <c r="S35" s="852">
        <v>277786</v>
      </c>
      <c r="T35" s="852">
        <v>278852</v>
      </c>
      <c r="U35" s="851">
        <v>272065</v>
      </c>
      <c r="V35" s="1162" t="s">
        <v>620</v>
      </c>
      <c r="W35" s="1163"/>
      <c r="X35" s="282"/>
      <c r="Y35" s="620"/>
      <c r="Z35" s="540"/>
    </row>
    <row r="36" spans="1:36" s="25" customFormat="1" ht="20.25" customHeight="1" x14ac:dyDescent="0.15">
      <c r="B36" s="532"/>
      <c r="C36" s="279"/>
      <c r="D36" s="1055" t="s">
        <v>636</v>
      </c>
      <c r="E36" s="1056"/>
      <c r="F36" s="278">
        <v>26744</v>
      </c>
      <c r="G36" s="278">
        <v>27149</v>
      </c>
      <c r="H36" s="278">
        <v>24579</v>
      </c>
      <c r="I36" s="278">
        <v>25345</v>
      </c>
      <c r="J36" s="278">
        <v>25065</v>
      </c>
      <c r="K36" s="278">
        <v>25433</v>
      </c>
      <c r="L36" s="278">
        <v>25452</v>
      </c>
      <c r="M36" s="278">
        <v>24454</v>
      </c>
      <c r="N36" s="275">
        <v>23897</v>
      </c>
      <c r="O36" s="278">
        <v>23699</v>
      </c>
      <c r="P36" s="278">
        <v>24416</v>
      </c>
      <c r="Q36" s="278">
        <v>24552</v>
      </c>
      <c r="R36" s="278">
        <v>26744</v>
      </c>
      <c r="S36" s="278">
        <v>26462</v>
      </c>
      <c r="T36" s="278">
        <v>26701</v>
      </c>
      <c r="U36" s="277">
        <v>26990</v>
      </c>
      <c r="V36" s="279" t="s">
        <v>498</v>
      </c>
      <c r="W36" s="281"/>
      <c r="X36" s="275"/>
      <c r="Y36" s="634"/>
      <c r="Z36" s="540"/>
    </row>
    <row r="37" spans="1:36" s="25" customFormat="1" ht="20.25" customHeight="1" x14ac:dyDescent="0.15">
      <c r="B37" s="281"/>
      <c r="C37" s="279"/>
      <c r="D37" s="1072" t="s">
        <v>322</v>
      </c>
      <c r="E37" s="1073"/>
      <c r="F37" s="278">
        <v>13876</v>
      </c>
      <c r="G37" s="278">
        <v>13627</v>
      </c>
      <c r="H37" s="278">
        <v>13130</v>
      </c>
      <c r="I37" s="278">
        <v>12434</v>
      </c>
      <c r="J37" s="278">
        <v>12271</v>
      </c>
      <c r="K37" s="278">
        <v>12624</v>
      </c>
      <c r="L37" s="278">
        <v>12668</v>
      </c>
      <c r="M37" s="278">
        <v>12301</v>
      </c>
      <c r="N37" s="275">
        <v>12549</v>
      </c>
      <c r="O37" s="278">
        <v>12162</v>
      </c>
      <c r="P37" s="278">
        <v>13241</v>
      </c>
      <c r="Q37" s="278">
        <v>14008</v>
      </c>
      <c r="R37" s="278">
        <v>13876</v>
      </c>
      <c r="S37" s="278">
        <v>13238</v>
      </c>
      <c r="T37" s="278">
        <v>13720</v>
      </c>
      <c r="U37" s="277">
        <v>13017</v>
      </c>
      <c r="V37" s="279" t="s">
        <v>637</v>
      </c>
      <c r="W37" s="281"/>
      <c r="X37" s="275"/>
      <c r="Y37" s="634"/>
      <c r="Z37" s="540"/>
    </row>
    <row r="38" spans="1:36" s="25" customFormat="1" ht="20.25" customHeight="1" x14ac:dyDescent="0.15">
      <c r="B38" s="529" t="s">
        <v>321</v>
      </c>
      <c r="C38" s="279"/>
      <c r="D38" s="1055" t="s">
        <v>638</v>
      </c>
      <c r="E38" s="1056"/>
      <c r="F38" s="278">
        <v>17091</v>
      </c>
      <c r="G38" s="278">
        <v>26123</v>
      </c>
      <c r="H38" s="278">
        <v>25288</v>
      </c>
      <c r="I38" s="278">
        <v>21066</v>
      </c>
      <c r="J38" s="278">
        <v>19996</v>
      </c>
      <c r="K38" s="278">
        <v>18035</v>
      </c>
      <c r="L38" s="278">
        <v>15309</v>
      </c>
      <c r="M38" s="278">
        <v>15140</v>
      </c>
      <c r="N38" s="275">
        <v>14943</v>
      </c>
      <c r="O38" s="278">
        <v>15576</v>
      </c>
      <c r="P38" s="278">
        <v>15502</v>
      </c>
      <c r="Q38" s="278">
        <v>16405</v>
      </c>
      <c r="R38" s="278">
        <v>17091</v>
      </c>
      <c r="S38" s="278">
        <v>16402</v>
      </c>
      <c r="T38" s="278">
        <v>16154</v>
      </c>
      <c r="U38" s="277">
        <v>15959</v>
      </c>
      <c r="V38" s="279" t="s">
        <v>499</v>
      </c>
      <c r="W38" s="281"/>
      <c r="X38" s="275"/>
      <c r="Y38" s="634"/>
      <c r="Z38" s="540"/>
    </row>
    <row r="39" spans="1:36" s="25" customFormat="1" ht="20.25" customHeight="1" x14ac:dyDescent="0.15">
      <c r="B39" s="276"/>
      <c r="C39" s="1059" t="s">
        <v>496</v>
      </c>
      <c r="D39" s="1055" t="s">
        <v>639</v>
      </c>
      <c r="E39" s="1056"/>
      <c r="F39" s="278">
        <v>10314</v>
      </c>
      <c r="G39" s="278">
        <v>9205</v>
      </c>
      <c r="H39" s="278">
        <v>9362</v>
      </c>
      <c r="I39" s="278">
        <v>9295</v>
      </c>
      <c r="J39" s="278">
        <v>9284</v>
      </c>
      <c r="K39" s="278">
        <v>9425</v>
      </c>
      <c r="L39" s="278">
        <v>8582</v>
      </c>
      <c r="M39" s="278">
        <v>8516</v>
      </c>
      <c r="N39" s="275">
        <v>9081</v>
      </c>
      <c r="O39" s="278">
        <v>9203</v>
      </c>
      <c r="P39" s="278">
        <v>10395</v>
      </c>
      <c r="Q39" s="278">
        <v>10146</v>
      </c>
      <c r="R39" s="278">
        <v>10314</v>
      </c>
      <c r="S39" s="278">
        <v>10640</v>
      </c>
      <c r="T39" s="278">
        <v>9989</v>
      </c>
      <c r="U39" s="277">
        <v>9664</v>
      </c>
      <c r="V39" s="279" t="s">
        <v>640</v>
      </c>
      <c r="W39" s="281"/>
      <c r="X39" s="275"/>
      <c r="Y39" s="634"/>
      <c r="Z39" s="540"/>
    </row>
    <row r="40" spans="1:36" s="25" customFormat="1" ht="20.25" customHeight="1" x14ac:dyDescent="0.15">
      <c r="B40" s="276"/>
      <c r="C40" s="1060"/>
      <c r="D40" s="1055" t="s">
        <v>500</v>
      </c>
      <c r="E40" s="1056"/>
      <c r="F40" s="278">
        <v>26041</v>
      </c>
      <c r="G40" s="278">
        <v>24086</v>
      </c>
      <c r="H40" s="278">
        <v>22934</v>
      </c>
      <c r="I40" s="278">
        <v>21811</v>
      </c>
      <c r="J40" s="278">
        <v>21067</v>
      </c>
      <c r="K40" s="278">
        <v>22125</v>
      </c>
      <c r="L40" s="278">
        <v>21636</v>
      </c>
      <c r="M40" s="278">
        <v>22173</v>
      </c>
      <c r="N40" s="275">
        <v>22688</v>
      </c>
      <c r="O40" s="278">
        <v>26159</v>
      </c>
      <c r="P40" s="278">
        <v>26497</v>
      </c>
      <c r="Q40" s="278">
        <v>26613</v>
      </c>
      <c r="R40" s="278">
        <v>26041</v>
      </c>
      <c r="S40" s="278">
        <v>25928</v>
      </c>
      <c r="T40" s="278">
        <v>25458</v>
      </c>
      <c r="U40" s="277">
        <v>27296</v>
      </c>
      <c r="V40" s="279" t="s">
        <v>641</v>
      </c>
      <c r="W40" s="281"/>
      <c r="X40" s="280" t="s">
        <v>629</v>
      </c>
      <c r="Y40" s="634"/>
      <c r="Z40" s="540"/>
    </row>
    <row r="41" spans="1:36" s="25" customFormat="1" ht="20.25" customHeight="1" x14ac:dyDescent="0.15">
      <c r="B41" s="276"/>
      <c r="C41" s="279"/>
      <c r="D41" s="1072" t="s">
        <v>642</v>
      </c>
      <c r="E41" s="1073"/>
      <c r="F41" s="278">
        <v>14977</v>
      </c>
      <c r="G41" s="278">
        <v>15130</v>
      </c>
      <c r="H41" s="278">
        <v>14023</v>
      </c>
      <c r="I41" s="278">
        <v>13740</v>
      </c>
      <c r="J41" s="278">
        <v>13594</v>
      </c>
      <c r="K41" s="278">
        <v>13720</v>
      </c>
      <c r="L41" s="278">
        <v>13596</v>
      </c>
      <c r="M41" s="278">
        <v>13101</v>
      </c>
      <c r="N41" s="275">
        <v>13168</v>
      </c>
      <c r="O41" s="278">
        <v>13152</v>
      </c>
      <c r="P41" s="278">
        <v>13390</v>
      </c>
      <c r="Q41" s="278">
        <v>14644</v>
      </c>
      <c r="R41" s="278">
        <v>14977</v>
      </c>
      <c r="S41" s="278">
        <v>14680</v>
      </c>
      <c r="T41" s="278">
        <v>14472</v>
      </c>
      <c r="U41" s="277">
        <v>14762</v>
      </c>
      <c r="V41" s="25" t="s">
        <v>643</v>
      </c>
      <c r="W41" s="276"/>
      <c r="X41" s="275"/>
      <c r="Y41" s="212"/>
      <c r="Z41" s="540"/>
    </row>
    <row r="42" spans="1:36" s="25" customFormat="1" ht="20.25" customHeight="1" x14ac:dyDescent="0.15">
      <c r="B42" s="276"/>
      <c r="C42" s="279"/>
      <c r="D42" s="1072" t="s">
        <v>644</v>
      </c>
      <c r="E42" s="1073"/>
      <c r="F42" s="278">
        <v>8236</v>
      </c>
      <c r="G42" s="278">
        <v>3738</v>
      </c>
      <c r="H42" s="278">
        <v>3948</v>
      </c>
      <c r="I42" s="278">
        <v>4121</v>
      </c>
      <c r="J42" s="278">
        <v>5848</v>
      </c>
      <c r="K42" s="278">
        <v>6197</v>
      </c>
      <c r="L42" s="278">
        <v>7738</v>
      </c>
      <c r="M42" s="278">
        <v>8087</v>
      </c>
      <c r="N42" s="275">
        <v>7930</v>
      </c>
      <c r="O42" s="278">
        <v>8666</v>
      </c>
      <c r="P42" s="278">
        <v>7979</v>
      </c>
      <c r="Q42" s="278">
        <v>7903</v>
      </c>
      <c r="R42" s="278">
        <v>8236</v>
      </c>
      <c r="S42" s="278">
        <v>8296</v>
      </c>
      <c r="T42" s="278">
        <v>7162</v>
      </c>
      <c r="U42" s="277">
        <v>6668</v>
      </c>
      <c r="V42" s="25" t="s">
        <v>645</v>
      </c>
      <c r="W42" s="276"/>
      <c r="X42" s="275"/>
      <c r="Y42" s="212"/>
      <c r="Z42" s="540"/>
    </row>
    <row r="43" spans="1:36" s="25" customFormat="1" ht="20.25" customHeight="1" x14ac:dyDescent="0.15">
      <c r="B43" s="276"/>
      <c r="C43" s="279"/>
      <c r="D43" s="1072" t="s">
        <v>320</v>
      </c>
      <c r="E43" s="1073"/>
      <c r="F43" s="278">
        <v>94202</v>
      </c>
      <c r="G43" s="278">
        <v>102581</v>
      </c>
      <c r="H43" s="278">
        <v>100900</v>
      </c>
      <c r="I43" s="278">
        <v>98423</v>
      </c>
      <c r="J43" s="278">
        <v>89647</v>
      </c>
      <c r="K43" s="278">
        <v>93095</v>
      </c>
      <c r="L43" s="278">
        <v>103638</v>
      </c>
      <c r="M43" s="278">
        <v>103980</v>
      </c>
      <c r="N43" s="275">
        <v>98324</v>
      </c>
      <c r="O43" s="278">
        <v>93757</v>
      </c>
      <c r="P43" s="278">
        <v>94025</v>
      </c>
      <c r="Q43" s="278">
        <v>89070</v>
      </c>
      <c r="R43" s="278">
        <v>94202</v>
      </c>
      <c r="S43" s="278">
        <v>91290</v>
      </c>
      <c r="T43" s="278">
        <v>88411</v>
      </c>
      <c r="U43" s="277">
        <v>82696</v>
      </c>
      <c r="V43" s="25" t="s">
        <v>646</v>
      </c>
      <c r="W43" s="276"/>
      <c r="X43" s="275"/>
      <c r="Y43" s="212"/>
      <c r="Z43" s="540"/>
    </row>
    <row r="44" spans="1:36" s="25" customFormat="1" ht="20.25" customHeight="1" x14ac:dyDescent="0.15">
      <c r="B44" s="276"/>
      <c r="C44" s="279"/>
      <c r="D44" s="1072" t="s">
        <v>647</v>
      </c>
      <c r="E44" s="1073"/>
      <c r="F44" s="278">
        <v>72660</v>
      </c>
      <c r="G44" s="278">
        <v>65616</v>
      </c>
      <c r="H44" s="278">
        <v>70302</v>
      </c>
      <c r="I44" s="278">
        <v>67167</v>
      </c>
      <c r="J44" s="278">
        <v>71305</v>
      </c>
      <c r="K44" s="278">
        <v>79908</v>
      </c>
      <c r="L44" s="278">
        <v>71763</v>
      </c>
      <c r="M44" s="278">
        <v>74586</v>
      </c>
      <c r="N44" s="275">
        <v>77809</v>
      </c>
      <c r="O44" s="278">
        <v>66245</v>
      </c>
      <c r="P44" s="278">
        <v>65322</v>
      </c>
      <c r="Q44" s="278">
        <v>69409</v>
      </c>
      <c r="R44" s="278">
        <v>72660</v>
      </c>
      <c r="S44" s="278">
        <v>70850</v>
      </c>
      <c r="T44" s="278">
        <v>76785</v>
      </c>
      <c r="U44" s="277">
        <v>75013</v>
      </c>
      <c r="V44" s="25" t="s">
        <v>648</v>
      </c>
      <c r="W44" s="276"/>
      <c r="X44" s="275"/>
      <c r="Y44" s="212"/>
      <c r="Z44" s="540"/>
    </row>
    <row r="45" spans="1:36" ht="6.95" customHeight="1" x14ac:dyDescent="0.15">
      <c r="A45" s="272"/>
      <c r="B45" s="865"/>
      <c r="C45" s="866"/>
      <c r="D45" s="867"/>
      <c r="E45" s="868"/>
      <c r="F45" s="866"/>
      <c r="G45" s="869"/>
      <c r="H45" s="869"/>
      <c r="I45" s="869"/>
      <c r="J45" s="869"/>
      <c r="K45" s="869"/>
      <c r="L45" s="869"/>
      <c r="M45" s="869"/>
      <c r="N45" s="869"/>
      <c r="O45" s="869"/>
      <c r="P45" s="869"/>
      <c r="Q45" s="869"/>
      <c r="R45" s="869"/>
      <c r="S45" s="869"/>
      <c r="T45" s="869"/>
      <c r="U45" s="869"/>
      <c r="V45" s="870"/>
      <c r="W45" s="871"/>
      <c r="X45" s="869"/>
      <c r="Y45" s="872"/>
      <c r="Z45" s="272"/>
      <c r="AA45" s="271"/>
      <c r="AB45" s="266"/>
      <c r="AC45" s="266"/>
      <c r="AD45" s="266"/>
      <c r="AE45" s="266"/>
      <c r="AF45" s="266"/>
      <c r="AG45" s="266"/>
      <c r="AH45" s="266"/>
      <c r="AI45" s="266"/>
      <c r="AJ45" s="266"/>
    </row>
    <row r="46" spans="1:36" ht="15.95" customHeight="1" x14ac:dyDescent="0.15">
      <c r="A46" s="272"/>
      <c r="B46" s="272"/>
      <c r="C46" s="272"/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  <c r="V46" s="272"/>
      <c r="W46" s="272"/>
      <c r="X46" s="272"/>
      <c r="Y46" s="271"/>
      <c r="Z46" s="272"/>
      <c r="AA46" s="271"/>
      <c r="AB46" s="266"/>
      <c r="AC46" s="266"/>
      <c r="AD46" s="266"/>
      <c r="AE46" s="266"/>
      <c r="AF46" s="266"/>
      <c r="AG46" s="266"/>
      <c r="AH46" s="266"/>
      <c r="AI46" s="266"/>
      <c r="AJ46" s="266"/>
    </row>
    <row r="47" spans="1:36" ht="15.95" customHeight="1" x14ac:dyDescent="0.15">
      <c r="A47" s="272"/>
      <c r="B47" s="272"/>
      <c r="C47" s="272"/>
      <c r="D47" s="272"/>
      <c r="E47" s="272"/>
      <c r="F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  <c r="V47" s="272"/>
      <c r="W47" s="272"/>
      <c r="X47" s="272"/>
      <c r="Y47" s="271"/>
      <c r="Z47" s="272"/>
      <c r="AA47" s="271"/>
      <c r="AB47" s="266"/>
      <c r="AC47" s="266"/>
      <c r="AD47" s="266"/>
      <c r="AE47" s="266"/>
      <c r="AF47" s="266"/>
      <c r="AG47" s="266"/>
      <c r="AH47" s="266"/>
      <c r="AI47" s="266"/>
      <c r="AJ47" s="266"/>
    </row>
    <row r="48" spans="1:36" ht="15.95" customHeight="1" x14ac:dyDescent="0.15">
      <c r="A48" s="272"/>
      <c r="B48" s="272"/>
      <c r="C48" s="272"/>
      <c r="D48" s="272"/>
      <c r="E48" s="272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 s="272"/>
      <c r="W48" s="272"/>
      <c r="X48" s="272"/>
      <c r="Y48" s="271"/>
      <c r="Z48" s="272"/>
      <c r="AA48" s="271"/>
      <c r="AB48" s="266"/>
      <c r="AC48" s="266"/>
      <c r="AD48" s="266"/>
      <c r="AE48" s="266"/>
      <c r="AF48" s="266"/>
      <c r="AG48" s="266"/>
      <c r="AH48" s="266"/>
      <c r="AI48" s="266"/>
      <c r="AJ48" s="266"/>
    </row>
    <row r="49" spans="7:27" s="266" customFormat="1" ht="15.95" customHeight="1" x14ac:dyDescent="0.15">
      <c r="Y49" s="269"/>
      <c r="AA49" s="269"/>
    </row>
    <row r="50" spans="7:27" s="266" customFormat="1" ht="15.95" customHeight="1" x14ac:dyDescent="0.15">
      <c r="Y50" s="269"/>
      <c r="AA50" s="269"/>
    </row>
    <row r="51" spans="7:27" s="266" customFormat="1" ht="15.95" customHeight="1" x14ac:dyDescent="0.15">
      <c r="Y51" s="269"/>
      <c r="AA51" s="269"/>
    </row>
    <row r="52" spans="7:27" s="266" customFormat="1" ht="15.95" customHeight="1" x14ac:dyDescent="0.15">
      <c r="Y52" s="269"/>
      <c r="AA52" s="269"/>
    </row>
    <row r="53" spans="7:27" s="266" customFormat="1" ht="15.95" customHeight="1" x14ac:dyDescent="0.15">
      <c r="Y53" s="269"/>
      <c r="AA53" s="269"/>
    </row>
    <row r="54" spans="7:27" s="266" customFormat="1" ht="15.95" customHeight="1" x14ac:dyDescent="0.15">
      <c r="Y54" s="269"/>
      <c r="AA54" s="269"/>
    </row>
    <row r="55" spans="7:27" s="266" customFormat="1" ht="15.95" customHeight="1" x14ac:dyDescent="0.15">
      <c r="Y55" s="269"/>
      <c r="AA55" s="269"/>
    </row>
    <row r="56" spans="7:27" s="266" customFormat="1" ht="15.95" customHeight="1" x14ac:dyDescent="0.15">
      <c r="Y56" s="269"/>
      <c r="AA56" s="269"/>
    </row>
    <row r="57" spans="7:27" s="266" customFormat="1" ht="15.95" customHeight="1" x14ac:dyDescent="0.15">
      <c r="Y57" s="269"/>
      <c r="AA57" s="269"/>
    </row>
    <row r="58" spans="7:27" s="266" customFormat="1" ht="15.95" customHeight="1" x14ac:dyDescent="0.15">
      <c r="Y58" s="269"/>
      <c r="AA58" s="269"/>
    </row>
    <row r="59" spans="7:27" s="266" customFormat="1" ht="15.95" customHeight="1" x14ac:dyDescent="0.15">
      <c r="Y59" s="269"/>
      <c r="AA59" s="269"/>
    </row>
    <row r="60" spans="7:27" s="266" customFormat="1" ht="15.95" customHeight="1" x14ac:dyDescent="0.15">
      <c r="Y60" s="269"/>
      <c r="AA60" s="269"/>
    </row>
    <row r="61" spans="7:27" s="266" customFormat="1" ht="15.95" customHeight="1" x14ac:dyDescent="0.15">
      <c r="Y61" s="269"/>
      <c r="AA61" s="269"/>
    </row>
    <row r="62" spans="7:27" s="266" customFormat="1" ht="15.95" customHeight="1" x14ac:dyDescent="0.15">
      <c r="Y62" s="269"/>
      <c r="AA62" s="269"/>
    </row>
    <row r="63" spans="7:27" s="266" customFormat="1" ht="15.95" customHeight="1" x14ac:dyDescent="0.15">
      <c r="Y63" s="269"/>
      <c r="AA63" s="269"/>
    </row>
    <row r="64" spans="7:27" s="266" customFormat="1" ht="15.95" customHeight="1" x14ac:dyDescent="0.15">
      <c r="G64" s="270"/>
      <c r="Y64" s="269"/>
      <c r="AA64" s="269"/>
    </row>
    <row r="65" spans="25:27" s="266" customFormat="1" ht="15.95" customHeight="1" x14ac:dyDescent="0.15">
      <c r="Y65" s="269"/>
      <c r="AA65" s="269"/>
    </row>
    <row r="66" spans="25:27" s="266" customFormat="1" ht="15.95" customHeight="1" x14ac:dyDescent="0.15">
      <c r="Y66" s="269"/>
      <c r="AA66" s="269"/>
    </row>
    <row r="67" spans="25:27" s="266" customFormat="1" ht="15.95" customHeight="1" x14ac:dyDescent="0.15">
      <c r="Y67" s="269"/>
      <c r="AA67" s="269"/>
    </row>
    <row r="68" spans="25:27" s="266" customFormat="1" ht="15.95" customHeight="1" x14ac:dyDescent="0.15">
      <c r="Y68" s="269"/>
      <c r="AA68" s="269"/>
    </row>
    <row r="69" spans="25:27" s="266" customFormat="1" ht="15.95" customHeight="1" x14ac:dyDescent="0.15">
      <c r="Y69" s="269"/>
      <c r="AA69" s="269"/>
    </row>
    <row r="70" spans="25:27" s="266" customFormat="1" ht="15.95" customHeight="1" x14ac:dyDescent="0.15">
      <c r="Y70" s="269"/>
      <c r="AA70" s="269"/>
    </row>
    <row r="71" spans="25:27" s="266" customFormat="1" ht="15.95" customHeight="1" x14ac:dyDescent="0.15">
      <c r="Y71" s="269"/>
      <c r="AA71" s="269"/>
    </row>
    <row r="72" spans="25:27" s="266" customFormat="1" ht="15.95" customHeight="1" x14ac:dyDescent="0.15">
      <c r="Y72" s="269"/>
      <c r="AA72" s="269"/>
    </row>
    <row r="73" spans="25:27" s="266" customFormat="1" ht="15.95" customHeight="1" x14ac:dyDescent="0.15">
      <c r="Y73" s="269"/>
      <c r="AA73" s="269"/>
    </row>
    <row r="74" spans="25:27" s="266" customFormat="1" ht="15.95" customHeight="1" x14ac:dyDescent="0.15">
      <c r="Y74" s="269"/>
      <c r="AA74" s="269"/>
    </row>
    <row r="75" spans="25:27" s="266" customFormat="1" ht="15.95" customHeight="1" x14ac:dyDescent="0.15">
      <c r="Y75" s="269"/>
      <c r="AA75" s="269"/>
    </row>
    <row r="76" spans="25:27" s="266" customFormat="1" ht="15.95" customHeight="1" x14ac:dyDescent="0.15">
      <c r="Y76" s="269"/>
      <c r="AA76" s="269"/>
    </row>
    <row r="77" spans="25:27" s="266" customFormat="1" ht="15.95" customHeight="1" x14ac:dyDescent="0.15">
      <c r="Y77" s="269"/>
      <c r="AA77" s="269"/>
    </row>
    <row r="78" spans="25:27" s="266" customFormat="1" ht="15.95" customHeight="1" x14ac:dyDescent="0.15">
      <c r="Y78" s="269"/>
      <c r="AA78" s="269"/>
    </row>
    <row r="79" spans="25:27" s="266" customFormat="1" ht="15.95" customHeight="1" x14ac:dyDescent="0.15">
      <c r="Y79" s="269"/>
      <c r="AA79" s="269"/>
    </row>
    <row r="80" spans="25:27" s="266" customFormat="1" ht="15.95" customHeight="1" x14ac:dyDescent="0.15">
      <c r="Y80" s="269"/>
      <c r="AA80" s="269"/>
    </row>
    <row r="81" spans="1:36" ht="15.95" customHeight="1" x14ac:dyDescent="0.15">
      <c r="A81" s="266"/>
      <c r="B81" s="266"/>
      <c r="C81" s="266"/>
      <c r="D81" s="266"/>
      <c r="E81" s="266"/>
      <c r="F81" s="266"/>
      <c r="G81" s="266"/>
      <c r="H81" s="266"/>
      <c r="I81" s="266"/>
      <c r="J81" s="266"/>
      <c r="K81" s="266"/>
      <c r="L81" s="266"/>
      <c r="M81" s="266"/>
      <c r="N81" s="266"/>
      <c r="O81" s="266"/>
      <c r="P81" s="266"/>
      <c r="Q81" s="266"/>
      <c r="R81" s="266"/>
      <c r="S81" s="266"/>
      <c r="T81" s="266"/>
      <c r="U81" s="266"/>
      <c r="V81" s="266"/>
      <c r="W81" s="266"/>
      <c r="X81" s="266"/>
      <c r="Y81" s="269"/>
      <c r="Z81" s="266"/>
      <c r="AA81" s="269"/>
      <c r="AB81" s="266"/>
      <c r="AC81" s="266"/>
      <c r="AD81" s="266"/>
      <c r="AE81" s="266"/>
      <c r="AF81" s="266"/>
      <c r="AG81" s="266"/>
      <c r="AH81" s="266"/>
      <c r="AI81" s="266"/>
      <c r="AJ81" s="266"/>
    </row>
    <row r="82" spans="1:36" ht="15.95" customHeight="1" x14ac:dyDescent="0.15">
      <c r="A82" s="266"/>
      <c r="B82" s="266"/>
      <c r="C82" s="266"/>
      <c r="D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9"/>
      <c r="Z82" s="266"/>
      <c r="AA82" s="269"/>
      <c r="AB82" s="266"/>
      <c r="AC82" s="266"/>
      <c r="AD82" s="266"/>
      <c r="AE82" s="266"/>
      <c r="AF82" s="266"/>
      <c r="AG82" s="266"/>
      <c r="AH82" s="266"/>
      <c r="AI82" s="266"/>
      <c r="AJ82" s="266"/>
    </row>
    <row r="83" spans="1:36" ht="15.95" customHeight="1" x14ac:dyDescent="0.15">
      <c r="A83" s="266"/>
      <c r="B83" s="266"/>
      <c r="C83" s="266"/>
      <c r="D83" s="266"/>
      <c r="E83" s="266"/>
      <c r="F83" s="266"/>
      <c r="G83" s="266"/>
      <c r="H83" s="266"/>
      <c r="I83" s="266"/>
      <c r="J83" s="266"/>
      <c r="K83" s="266"/>
      <c r="L83" s="266"/>
      <c r="M83" s="266"/>
      <c r="N83" s="266"/>
      <c r="O83" s="266"/>
      <c r="P83" s="266"/>
      <c r="Q83" s="266"/>
      <c r="R83" s="266"/>
      <c r="S83" s="266"/>
      <c r="T83" s="266"/>
      <c r="U83" s="266"/>
      <c r="V83" s="266"/>
      <c r="W83" s="266"/>
      <c r="X83" s="266"/>
      <c r="Y83" s="269"/>
      <c r="Z83" s="266"/>
      <c r="AA83" s="269"/>
      <c r="AB83" s="266"/>
      <c r="AC83" s="266"/>
      <c r="AD83" s="266"/>
      <c r="AE83" s="266"/>
      <c r="AF83" s="266"/>
      <c r="AG83" s="266"/>
      <c r="AH83" s="266"/>
      <c r="AI83" s="266"/>
      <c r="AJ83" s="266"/>
    </row>
    <row r="84" spans="1:36" ht="15.95" customHeight="1" x14ac:dyDescent="0.15">
      <c r="A84" s="266"/>
      <c r="B84" s="266"/>
      <c r="C84" s="266"/>
      <c r="D84" s="266"/>
      <c r="E84" s="266"/>
      <c r="F84" s="266"/>
      <c r="G84" s="266"/>
      <c r="H84" s="266"/>
      <c r="I84" s="266"/>
      <c r="J84" s="266"/>
      <c r="K84" s="266"/>
      <c r="L84" s="266"/>
      <c r="M84" s="266"/>
      <c r="N84" s="266"/>
      <c r="O84" s="266"/>
      <c r="P84" s="266"/>
      <c r="Q84" s="266"/>
      <c r="R84" s="266"/>
      <c r="S84" s="266"/>
      <c r="T84" s="266"/>
      <c r="U84" s="266"/>
      <c r="V84" s="266"/>
      <c r="W84" s="266"/>
      <c r="X84" s="266"/>
      <c r="Y84" s="269"/>
      <c r="Z84" s="266"/>
      <c r="AA84" s="269"/>
      <c r="AB84" s="266"/>
      <c r="AC84" s="266"/>
      <c r="AD84" s="266"/>
      <c r="AE84" s="266"/>
      <c r="AF84" s="266"/>
      <c r="AG84" s="266"/>
      <c r="AH84" s="266"/>
      <c r="AI84" s="266"/>
      <c r="AJ84" s="266"/>
    </row>
    <row r="85" spans="1:36" ht="15.95" customHeight="1" x14ac:dyDescent="0.15"/>
    <row r="86" spans="1:36" ht="15.95" customHeight="1" x14ac:dyDescent="0.15"/>
    <row r="87" spans="1:36" ht="15.95" customHeight="1" x14ac:dyDescent="0.15"/>
    <row r="88" spans="1:36" ht="15.95" customHeight="1" x14ac:dyDescent="0.15"/>
    <row r="89" spans="1:36" ht="15.95" customHeight="1" x14ac:dyDescent="0.15"/>
    <row r="90" spans="1:36" ht="15.95" customHeight="1" x14ac:dyDescent="0.15"/>
    <row r="91" spans="1:36" ht="15.95" customHeight="1" x14ac:dyDescent="0.15"/>
    <row r="92" spans="1:36" ht="15.95" customHeight="1" x14ac:dyDescent="0.15"/>
    <row r="93" spans="1:36" ht="15.95" customHeight="1" x14ac:dyDescent="0.15"/>
    <row r="94" spans="1:36" ht="15.95" customHeight="1" x14ac:dyDescent="0.15"/>
    <row r="95" spans="1:36" ht="15.95" customHeight="1" x14ac:dyDescent="0.15"/>
    <row r="96" spans="1:36" ht="15.95" customHeight="1" x14ac:dyDescent="0.15"/>
    <row r="97" ht="15.95" customHeight="1" x14ac:dyDescent="0.15"/>
    <row r="98" ht="15.95" customHeight="1" x14ac:dyDescent="0.15"/>
    <row r="99" ht="15.95" customHeight="1" x14ac:dyDescent="0.15"/>
    <row r="100" ht="15.95" customHeight="1" x14ac:dyDescent="0.15"/>
    <row r="101" ht="15.95" customHeight="1" x14ac:dyDescent="0.15"/>
    <row r="102" ht="15.95" customHeight="1" x14ac:dyDescent="0.15"/>
    <row r="103" ht="15.95" customHeight="1" x14ac:dyDescent="0.15"/>
    <row r="104" ht="15.95" customHeight="1" x14ac:dyDescent="0.15"/>
    <row r="105" ht="15.95" customHeight="1" x14ac:dyDescent="0.15"/>
    <row r="106" ht="15.95" customHeight="1" x14ac:dyDescent="0.15"/>
    <row r="107" ht="15.95" customHeight="1" x14ac:dyDescent="0.15"/>
    <row r="108" ht="15.95" customHeight="1" x14ac:dyDescent="0.15"/>
    <row r="109" ht="15.95" customHeight="1" x14ac:dyDescent="0.15"/>
    <row r="110" ht="15.95" customHeight="1" x14ac:dyDescent="0.15"/>
    <row r="111" ht="15.95" customHeight="1" x14ac:dyDescent="0.15"/>
    <row r="112" ht="15.95" customHeight="1" x14ac:dyDescent="0.15"/>
    <row r="113" ht="15.95" customHeight="1" x14ac:dyDescent="0.15"/>
    <row r="114" ht="15.95" customHeight="1" x14ac:dyDescent="0.15"/>
    <row r="115" ht="15.95" customHeight="1" x14ac:dyDescent="0.15"/>
    <row r="116" ht="15.95" customHeight="1" x14ac:dyDescent="0.15"/>
    <row r="117" ht="15.95" customHeight="1" x14ac:dyDescent="0.15"/>
    <row r="118" ht="15.95" customHeight="1" x14ac:dyDescent="0.15"/>
    <row r="119" ht="15.95" customHeight="1" x14ac:dyDescent="0.15"/>
    <row r="120" ht="15.95" customHeight="1" x14ac:dyDescent="0.15"/>
    <row r="121" ht="15.95" customHeight="1" x14ac:dyDescent="0.15"/>
    <row r="122" ht="15.95" customHeight="1" x14ac:dyDescent="0.15"/>
    <row r="123" ht="15.95" customHeight="1" x14ac:dyDescent="0.15"/>
    <row r="124" ht="15.95" customHeight="1" x14ac:dyDescent="0.15"/>
    <row r="125" ht="15.95" customHeight="1" x14ac:dyDescent="0.15"/>
    <row r="126" ht="15.95" customHeight="1" x14ac:dyDescent="0.15"/>
    <row r="127" ht="15.95" customHeight="1" x14ac:dyDescent="0.15"/>
    <row r="128" ht="15.95" customHeight="1" x14ac:dyDescent="0.15"/>
    <row r="129" ht="15.95" customHeight="1" x14ac:dyDescent="0.15"/>
    <row r="130" ht="15.95" customHeight="1" x14ac:dyDescent="0.15"/>
    <row r="131" ht="15.95" customHeight="1" x14ac:dyDescent="0.15"/>
    <row r="132" ht="15.95" customHeight="1" x14ac:dyDescent="0.15"/>
    <row r="133" ht="15.95" customHeight="1" x14ac:dyDescent="0.15"/>
    <row r="134" ht="15.95" customHeight="1" x14ac:dyDescent="0.15"/>
    <row r="135" ht="15.95" customHeight="1" x14ac:dyDescent="0.15"/>
    <row r="136" ht="15.95" customHeight="1" x14ac:dyDescent="0.15"/>
    <row r="137" ht="15.95" customHeight="1" x14ac:dyDescent="0.15"/>
    <row r="138" ht="15.95" customHeight="1" x14ac:dyDescent="0.15"/>
    <row r="139" ht="15.95" customHeight="1" x14ac:dyDescent="0.15"/>
    <row r="140" ht="15.95" customHeight="1" x14ac:dyDescent="0.15"/>
    <row r="141" ht="15.95" customHeight="1" x14ac:dyDescent="0.15"/>
    <row r="142" ht="15.95" customHeight="1" x14ac:dyDescent="0.15"/>
    <row r="143" ht="15.95" customHeight="1" x14ac:dyDescent="0.15"/>
    <row r="144" ht="15.95" customHeight="1" x14ac:dyDescent="0.15"/>
    <row r="145" ht="15.95" customHeight="1" x14ac:dyDescent="0.15"/>
    <row r="146" ht="15.95" customHeight="1" x14ac:dyDescent="0.15"/>
    <row r="147" ht="15.95" customHeight="1" x14ac:dyDescent="0.15"/>
    <row r="148" ht="15.95" customHeight="1" x14ac:dyDescent="0.15"/>
    <row r="149" ht="15.95" customHeight="1" x14ac:dyDescent="0.15"/>
    <row r="150" ht="15.95" customHeight="1" x14ac:dyDescent="0.15"/>
    <row r="151" ht="15.95" customHeight="1" x14ac:dyDescent="0.15"/>
    <row r="152" ht="15.95" customHeight="1" x14ac:dyDescent="0.15"/>
    <row r="153" ht="15.95" customHeight="1" x14ac:dyDescent="0.15"/>
    <row r="154" ht="15.95" customHeight="1" x14ac:dyDescent="0.15"/>
    <row r="155" ht="15.95" customHeight="1" x14ac:dyDescent="0.15"/>
    <row r="156" ht="15.95" customHeight="1" x14ac:dyDescent="0.15"/>
    <row r="157" ht="15.95" customHeight="1" x14ac:dyDescent="0.15"/>
    <row r="158" ht="15.95" customHeight="1" x14ac:dyDescent="0.15"/>
    <row r="159" ht="15.95" customHeight="1" x14ac:dyDescent="0.15"/>
    <row r="160" ht="15.95" customHeight="1" x14ac:dyDescent="0.15"/>
    <row r="161" ht="15.95" customHeight="1" x14ac:dyDescent="0.15"/>
    <row r="162" ht="15.95" customHeight="1" x14ac:dyDescent="0.15"/>
    <row r="163" ht="15.95" customHeight="1" x14ac:dyDescent="0.15"/>
    <row r="164" ht="15.95" customHeight="1" x14ac:dyDescent="0.15"/>
    <row r="165" ht="15.95" customHeight="1" x14ac:dyDescent="0.15"/>
    <row r="166" ht="15.95" customHeight="1" x14ac:dyDescent="0.15"/>
    <row r="167" ht="15.95" customHeight="1" x14ac:dyDescent="0.15"/>
    <row r="168" ht="15.95" customHeight="1" x14ac:dyDescent="0.15"/>
    <row r="169" ht="15.95" customHeight="1" x14ac:dyDescent="0.15"/>
    <row r="170" ht="15.95" customHeight="1" x14ac:dyDescent="0.15"/>
    <row r="171" ht="15.95" customHeight="1" x14ac:dyDescent="0.15"/>
    <row r="172" ht="15.95" customHeight="1" x14ac:dyDescent="0.15"/>
    <row r="173" ht="15.95" customHeight="1" x14ac:dyDescent="0.15"/>
    <row r="174" ht="15.95" customHeight="1" x14ac:dyDescent="0.15"/>
    <row r="175" ht="15.95" customHeight="1" x14ac:dyDescent="0.15"/>
    <row r="176" ht="15.95" customHeight="1" x14ac:dyDescent="0.15"/>
    <row r="177" ht="15.95" customHeight="1" x14ac:dyDescent="0.15"/>
    <row r="178" ht="15.95" customHeight="1" x14ac:dyDescent="0.15"/>
    <row r="179" ht="15.95" customHeight="1" x14ac:dyDescent="0.15"/>
    <row r="180" ht="15.95" customHeight="1" x14ac:dyDescent="0.15"/>
    <row r="181" ht="15.95" customHeight="1" x14ac:dyDescent="0.15"/>
    <row r="182" ht="15.95" customHeight="1" x14ac:dyDescent="0.15"/>
    <row r="183" ht="15.95" customHeight="1" x14ac:dyDescent="0.15"/>
    <row r="184" ht="15.95" customHeight="1" x14ac:dyDescent="0.15"/>
    <row r="185" ht="15.95" customHeight="1" x14ac:dyDescent="0.15"/>
    <row r="186" ht="15.95" customHeight="1" x14ac:dyDescent="0.15"/>
    <row r="187" ht="15.95" customHeight="1" x14ac:dyDescent="0.15"/>
    <row r="188" ht="15.95" customHeight="1" x14ac:dyDescent="0.15"/>
    <row r="189" ht="15.95" customHeight="1" x14ac:dyDescent="0.15"/>
    <row r="190" ht="15.95" customHeight="1" x14ac:dyDescent="0.15"/>
    <row r="191" ht="15.95" customHeight="1" x14ac:dyDescent="0.15"/>
    <row r="192" ht="15.95" customHeight="1" x14ac:dyDescent="0.15"/>
    <row r="193" ht="15.95" customHeight="1" x14ac:dyDescent="0.15"/>
    <row r="194" ht="15.95" customHeight="1" x14ac:dyDescent="0.15"/>
    <row r="195" ht="15.95" customHeight="1" x14ac:dyDescent="0.15"/>
    <row r="196" ht="15.95" customHeight="1" x14ac:dyDescent="0.15"/>
    <row r="197" ht="15.95" customHeight="1" x14ac:dyDescent="0.15"/>
    <row r="198" ht="15.95" customHeight="1" x14ac:dyDescent="0.15"/>
    <row r="199" ht="15.95" customHeight="1" x14ac:dyDescent="0.15"/>
    <row r="200" ht="15.95" customHeight="1" x14ac:dyDescent="0.15"/>
    <row r="201" ht="15.95" customHeight="1" x14ac:dyDescent="0.15"/>
    <row r="202" ht="15.95" customHeight="1" x14ac:dyDescent="0.15"/>
    <row r="203" ht="15.95" customHeight="1" x14ac:dyDescent="0.15"/>
    <row r="204" ht="15.95" customHeight="1" x14ac:dyDescent="0.15"/>
    <row r="205" ht="15.95" customHeight="1" x14ac:dyDescent="0.15"/>
    <row r="206" ht="15.95" customHeight="1" x14ac:dyDescent="0.15"/>
    <row r="207" ht="15.95" customHeight="1" x14ac:dyDescent="0.15"/>
    <row r="208" ht="15.95" customHeight="1" x14ac:dyDescent="0.15"/>
    <row r="209" ht="15.95" customHeight="1" x14ac:dyDescent="0.15"/>
    <row r="210" ht="15.95" customHeight="1" x14ac:dyDescent="0.15"/>
    <row r="211" ht="15.95" customHeight="1" x14ac:dyDescent="0.15"/>
    <row r="212" ht="15.95" customHeight="1" x14ac:dyDescent="0.15"/>
    <row r="213" ht="15.95" customHeight="1" x14ac:dyDescent="0.15"/>
    <row r="214" ht="15.95" customHeight="1" x14ac:dyDescent="0.15"/>
    <row r="215" ht="15.95" customHeight="1" x14ac:dyDescent="0.15"/>
    <row r="216" ht="15.95" customHeight="1" x14ac:dyDescent="0.15"/>
    <row r="217" ht="15.95" customHeight="1" x14ac:dyDescent="0.15"/>
    <row r="218" ht="15.95" customHeight="1" x14ac:dyDescent="0.15"/>
    <row r="219" ht="15.95" customHeight="1" x14ac:dyDescent="0.15"/>
    <row r="220" ht="15.95" customHeight="1" x14ac:dyDescent="0.15"/>
    <row r="221" ht="15.95" customHeight="1" x14ac:dyDescent="0.15"/>
    <row r="222" ht="15.95" customHeight="1" x14ac:dyDescent="0.15"/>
    <row r="223" ht="15.95" customHeight="1" x14ac:dyDescent="0.15"/>
    <row r="224" ht="15.95" customHeight="1" x14ac:dyDescent="0.15"/>
  </sheetData>
  <mergeCells count="57">
    <mergeCell ref="D41:E41"/>
    <mergeCell ref="D42:E42"/>
    <mergeCell ref="D43:E43"/>
    <mergeCell ref="D44:E44"/>
    <mergeCell ref="D36:E36"/>
    <mergeCell ref="D37:E37"/>
    <mergeCell ref="D38:E38"/>
    <mergeCell ref="C39:C40"/>
    <mergeCell ref="D39:E39"/>
    <mergeCell ref="D40:E40"/>
    <mergeCell ref="D32:E32"/>
    <mergeCell ref="B33:B35"/>
    <mergeCell ref="D33:E33"/>
    <mergeCell ref="Y33:Y34"/>
    <mergeCell ref="D35:E35"/>
    <mergeCell ref="V35:W35"/>
    <mergeCell ref="C24:C34"/>
    <mergeCell ref="D24:E24"/>
    <mergeCell ref="V24:W24"/>
    <mergeCell ref="D25:E25"/>
    <mergeCell ref="D26:E26"/>
    <mergeCell ref="D27:E27"/>
    <mergeCell ref="D28:E28"/>
    <mergeCell ref="D29:E29"/>
    <mergeCell ref="D30:E30"/>
    <mergeCell ref="D31:E31"/>
    <mergeCell ref="Y18:Y19"/>
    <mergeCell ref="B19:B20"/>
    <mergeCell ref="C20:C22"/>
    <mergeCell ref="D20:E20"/>
    <mergeCell ref="V20:W20"/>
    <mergeCell ref="D21:E21"/>
    <mergeCell ref="D22:E22"/>
    <mergeCell ref="D14:E14"/>
    <mergeCell ref="C16:C19"/>
    <mergeCell ref="D16:E16"/>
    <mergeCell ref="V16:W16"/>
    <mergeCell ref="D17:E17"/>
    <mergeCell ref="D18:E18"/>
    <mergeCell ref="D9:E9"/>
    <mergeCell ref="Y9:Y10"/>
    <mergeCell ref="D11:E11"/>
    <mergeCell ref="V11:W11"/>
    <mergeCell ref="C12:C13"/>
    <mergeCell ref="D12:E12"/>
    <mergeCell ref="X12:X13"/>
    <mergeCell ref="D13:E13"/>
    <mergeCell ref="B4:E5"/>
    <mergeCell ref="V4:Y5"/>
    <mergeCell ref="EX5:EZ5"/>
    <mergeCell ref="FW5:FY5"/>
    <mergeCell ref="C6:C10"/>
    <mergeCell ref="D6:E6"/>
    <mergeCell ref="V6:W6"/>
    <mergeCell ref="D7:E7"/>
    <mergeCell ref="X7:X8"/>
    <mergeCell ref="D8:E8"/>
  </mergeCells>
  <phoneticPr fontId="34"/>
  <pageMargins left="0.39370078740157483" right="0.19685039370078741" top="0.78740157480314965" bottom="0.39370078740157483" header="0.59055118110236227" footer="0.19685039370078741"/>
  <pageSetup paperSize="9" scale="94" orientation="portrait" r:id="rId1"/>
  <headerFooter alignWithMargins="0"/>
  <colBreaks count="1" manualBreakCount="1">
    <brk id="14" min="1" max="44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D389-411E-44B1-89CF-F179F841DE3D}">
  <sheetPr>
    <pageSetUpPr fitToPage="1"/>
  </sheetPr>
  <dimension ref="B1:Q63"/>
  <sheetViews>
    <sheetView view="pageBreakPreview" zoomScaleNormal="110" zoomScaleSheetLayoutView="100" workbookViewId="0">
      <selection activeCell="B2" sqref="B2"/>
    </sheetView>
  </sheetViews>
  <sheetFormatPr defaultRowHeight="16.5" customHeight="1" x14ac:dyDescent="0.15"/>
  <cols>
    <col min="1" max="1" width="5.625" style="873" customWidth="1"/>
    <col min="2" max="2" width="15.75" style="873" customWidth="1"/>
    <col min="3" max="15" width="12.625" style="873" customWidth="1"/>
    <col min="16" max="16384" width="9" style="873"/>
  </cols>
  <sheetData>
    <row r="1" spans="2:17" ht="16.5" customHeight="1" x14ac:dyDescent="0.15">
      <c r="B1" s="123"/>
      <c r="C1" s="123"/>
      <c r="D1" s="304" t="s">
        <v>381</v>
      </c>
      <c r="E1" s="304" t="s">
        <v>380</v>
      </c>
      <c r="F1" s="304" t="s">
        <v>379</v>
      </c>
      <c r="G1" s="304" t="s">
        <v>378</v>
      </c>
      <c r="H1" s="123"/>
      <c r="I1" s="123"/>
      <c r="J1" s="304" t="s">
        <v>649</v>
      </c>
      <c r="K1" s="123"/>
      <c r="L1" s="123"/>
      <c r="M1" s="123"/>
      <c r="N1" s="123"/>
      <c r="O1" s="123"/>
      <c r="P1" s="123"/>
      <c r="Q1" s="123"/>
    </row>
    <row r="2" spans="2:17" ht="16.5" customHeight="1" x14ac:dyDescent="0.15">
      <c r="B2" s="318" t="s">
        <v>377</v>
      </c>
      <c r="C2" s="20"/>
      <c r="D2" s="123"/>
      <c r="E2" s="460"/>
      <c r="F2" s="460"/>
      <c r="G2" s="460"/>
      <c r="H2" s="23" t="s">
        <v>86</v>
      </c>
      <c r="I2" s="460"/>
      <c r="J2" s="123"/>
      <c r="K2" s="123"/>
      <c r="L2" s="123"/>
      <c r="M2" s="123"/>
      <c r="N2" s="461"/>
      <c r="O2" s="22" t="s">
        <v>978</v>
      </c>
      <c r="P2" s="123"/>
      <c r="Q2" s="123"/>
    </row>
    <row r="3" spans="2:17" ht="19.5" customHeight="1" x14ac:dyDescent="0.15">
      <c r="B3" s="1096" t="s">
        <v>368</v>
      </c>
      <c r="C3" s="384" t="s">
        <v>376</v>
      </c>
      <c r="D3" s="385"/>
      <c r="E3" s="385"/>
      <c r="F3" s="385"/>
      <c r="G3" s="1099" t="s">
        <v>375</v>
      </c>
      <c r="H3" s="1090"/>
      <c r="I3" s="1090"/>
      <c r="J3" s="1100"/>
      <c r="K3" s="1089" t="s">
        <v>374</v>
      </c>
      <c r="L3" s="1041"/>
      <c r="M3" s="1090"/>
      <c r="N3" s="384" t="s">
        <v>373</v>
      </c>
      <c r="O3" s="383"/>
      <c r="P3" s="1078" t="s">
        <v>408</v>
      </c>
      <c r="Q3" s="382"/>
    </row>
    <row r="4" spans="2:17" ht="19.5" customHeight="1" x14ac:dyDescent="0.15">
      <c r="B4" s="1097"/>
      <c r="C4" s="263"/>
      <c r="D4" s="514"/>
      <c r="E4" s="528" t="s">
        <v>372</v>
      </c>
      <c r="F4" s="1081" t="s">
        <v>979</v>
      </c>
      <c r="G4" s="263"/>
      <c r="H4" s="514"/>
      <c r="I4" s="528" t="s">
        <v>372</v>
      </c>
      <c r="J4" s="1083" t="s">
        <v>979</v>
      </c>
      <c r="K4" s="1081" t="s">
        <v>371</v>
      </c>
      <c r="L4" s="1086" t="s">
        <v>393</v>
      </c>
      <c r="M4" s="1081" t="s">
        <v>980</v>
      </c>
      <c r="N4" s="1086" t="s">
        <v>394</v>
      </c>
      <c r="O4" s="1081" t="s">
        <v>980</v>
      </c>
      <c r="P4" s="1079"/>
      <c r="Q4" s="382"/>
    </row>
    <row r="5" spans="2:17" ht="35.25" customHeight="1" x14ac:dyDescent="0.15">
      <c r="B5" s="1098"/>
      <c r="C5" s="370" t="s">
        <v>371</v>
      </c>
      <c r="D5" s="370" t="s">
        <v>370</v>
      </c>
      <c r="E5" s="876" t="s">
        <v>393</v>
      </c>
      <c r="F5" s="1082"/>
      <c r="G5" s="370" t="s">
        <v>371</v>
      </c>
      <c r="H5" s="370" t="s">
        <v>370</v>
      </c>
      <c r="I5" s="876" t="s">
        <v>393</v>
      </c>
      <c r="J5" s="1084"/>
      <c r="K5" s="1085"/>
      <c r="L5" s="1087"/>
      <c r="M5" s="1082"/>
      <c r="N5" s="1088"/>
      <c r="O5" s="1082"/>
      <c r="P5" s="1080"/>
      <c r="Q5" s="381"/>
    </row>
    <row r="6" spans="2:17" ht="16.5" customHeight="1" x14ac:dyDescent="0.15">
      <c r="B6" s="392"/>
      <c r="C6" s="380"/>
      <c r="D6" s="379"/>
      <c r="E6" s="379"/>
      <c r="F6" s="379"/>
      <c r="G6" s="379"/>
      <c r="H6" s="379"/>
      <c r="I6" s="379"/>
      <c r="J6" s="379"/>
      <c r="K6" s="379"/>
      <c r="L6" s="379"/>
      <c r="M6" s="379"/>
      <c r="N6" s="379"/>
      <c r="O6" s="378"/>
      <c r="P6" s="264"/>
      <c r="Q6" s="317"/>
    </row>
    <row r="7" spans="2:17" ht="16.5" customHeight="1" x14ac:dyDescent="0.15">
      <c r="B7" s="389" t="s">
        <v>981</v>
      </c>
      <c r="C7" s="462">
        <v>1206</v>
      </c>
      <c r="D7" s="375">
        <v>1630</v>
      </c>
      <c r="E7" s="375">
        <v>2776</v>
      </c>
      <c r="F7" s="375">
        <v>92</v>
      </c>
      <c r="G7" s="375">
        <v>4253</v>
      </c>
      <c r="H7" s="375">
        <v>143</v>
      </c>
      <c r="I7" s="375">
        <v>4183</v>
      </c>
      <c r="J7" s="375">
        <v>139</v>
      </c>
      <c r="K7" s="375">
        <v>274</v>
      </c>
      <c r="L7" s="375">
        <v>260</v>
      </c>
      <c r="M7" s="375">
        <v>9</v>
      </c>
      <c r="N7" s="375">
        <v>7220</v>
      </c>
      <c r="O7" s="374">
        <v>239</v>
      </c>
      <c r="P7" s="203">
        <v>45292</v>
      </c>
      <c r="Q7" s="317"/>
    </row>
    <row r="8" spans="2:17" ht="16.5" customHeight="1" x14ac:dyDescent="0.15">
      <c r="B8" s="389" t="s">
        <v>650</v>
      </c>
      <c r="C8" s="376">
        <v>1176</v>
      </c>
      <c r="D8" s="375">
        <v>1503</v>
      </c>
      <c r="E8" s="375">
        <v>2621</v>
      </c>
      <c r="F8" s="463">
        <v>88</v>
      </c>
      <c r="G8" s="375">
        <v>4253</v>
      </c>
      <c r="H8" s="375">
        <v>143</v>
      </c>
      <c r="I8" s="375">
        <v>4183</v>
      </c>
      <c r="J8" s="375">
        <v>141</v>
      </c>
      <c r="K8" s="375">
        <v>274</v>
      </c>
      <c r="L8" s="375">
        <v>260</v>
      </c>
      <c r="M8" s="375">
        <v>9</v>
      </c>
      <c r="N8" s="375">
        <v>7064</v>
      </c>
      <c r="O8" s="374">
        <v>237</v>
      </c>
      <c r="P8" s="191" t="s">
        <v>66</v>
      </c>
      <c r="Q8" s="317"/>
    </row>
    <row r="9" spans="2:17" ht="16.5" customHeight="1" x14ac:dyDescent="0.15">
      <c r="B9" s="389" t="s">
        <v>651</v>
      </c>
      <c r="C9" s="441">
        <v>1165</v>
      </c>
      <c r="D9" s="442">
        <v>1390</v>
      </c>
      <c r="E9" s="375">
        <v>2497</v>
      </c>
      <c r="F9" s="442">
        <v>85</v>
      </c>
      <c r="G9" s="442">
        <v>4253</v>
      </c>
      <c r="H9" s="442">
        <v>143</v>
      </c>
      <c r="I9" s="442">
        <v>4183</v>
      </c>
      <c r="J9" s="442">
        <v>142</v>
      </c>
      <c r="K9" s="442">
        <v>262</v>
      </c>
      <c r="L9" s="442">
        <v>249</v>
      </c>
      <c r="M9" s="442">
        <v>8</v>
      </c>
      <c r="N9" s="442">
        <v>6930</v>
      </c>
      <c r="O9" s="443">
        <v>235</v>
      </c>
      <c r="P9" s="191" t="s">
        <v>67</v>
      </c>
      <c r="Q9" s="317"/>
    </row>
    <row r="10" spans="2:17" ht="16.5" customHeight="1" x14ac:dyDescent="0.15">
      <c r="B10" s="389" t="s">
        <v>652</v>
      </c>
      <c r="C10" s="376">
        <v>1101</v>
      </c>
      <c r="D10" s="375">
        <v>1456</v>
      </c>
      <c r="E10" s="375">
        <v>2502</v>
      </c>
      <c r="F10" s="375">
        <v>85</v>
      </c>
      <c r="G10" s="375">
        <v>4253</v>
      </c>
      <c r="H10" s="375">
        <v>143</v>
      </c>
      <c r="I10" s="375">
        <v>4183</v>
      </c>
      <c r="J10" s="375">
        <v>142</v>
      </c>
      <c r="K10" s="375">
        <v>229</v>
      </c>
      <c r="L10" s="375">
        <v>218</v>
      </c>
      <c r="M10" s="377">
        <v>7</v>
      </c>
      <c r="N10" s="375">
        <v>6903</v>
      </c>
      <c r="O10" s="374">
        <v>234</v>
      </c>
      <c r="P10" s="191" t="s">
        <v>68</v>
      </c>
      <c r="Q10" s="317"/>
    </row>
    <row r="11" spans="2:17" ht="16.5" customHeight="1" x14ac:dyDescent="0.15">
      <c r="B11" s="389" t="s">
        <v>653</v>
      </c>
      <c r="C11" s="376">
        <v>1098</v>
      </c>
      <c r="D11" s="375">
        <v>1569</v>
      </c>
      <c r="E11" s="375">
        <v>2612</v>
      </c>
      <c r="F11" s="375">
        <v>89</v>
      </c>
      <c r="G11" s="375">
        <v>4253</v>
      </c>
      <c r="H11" s="375">
        <v>143</v>
      </c>
      <c r="I11" s="375">
        <v>4183</v>
      </c>
      <c r="J11" s="375">
        <v>142</v>
      </c>
      <c r="K11" s="375">
        <v>262</v>
      </c>
      <c r="L11" s="375">
        <v>249</v>
      </c>
      <c r="M11" s="375">
        <v>8</v>
      </c>
      <c r="N11" s="375">
        <v>7043</v>
      </c>
      <c r="O11" s="374">
        <v>239</v>
      </c>
      <c r="P11" s="191" t="s">
        <v>409</v>
      </c>
      <c r="Q11" s="317"/>
    </row>
    <row r="12" spans="2:17" ht="16.5" customHeight="1" x14ac:dyDescent="0.15">
      <c r="B12" s="389" t="s">
        <v>654</v>
      </c>
      <c r="C12" s="376">
        <v>1123</v>
      </c>
      <c r="D12" s="375">
        <v>1524</v>
      </c>
      <c r="E12" s="375">
        <v>2591</v>
      </c>
      <c r="F12" s="375">
        <v>88</v>
      </c>
      <c r="G12" s="375">
        <v>4242</v>
      </c>
      <c r="H12" s="375">
        <v>143</v>
      </c>
      <c r="I12" s="375">
        <v>4172</v>
      </c>
      <c r="J12" s="375">
        <v>142</v>
      </c>
      <c r="K12" s="375">
        <v>273</v>
      </c>
      <c r="L12" s="375">
        <v>259</v>
      </c>
      <c r="M12" s="375">
        <v>9</v>
      </c>
      <c r="N12" s="375">
        <v>7022</v>
      </c>
      <c r="O12" s="374">
        <v>239</v>
      </c>
      <c r="P12" s="191" t="s">
        <v>82</v>
      </c>
      <c r="Q12" s="317"/>
    </row>
    <row r="13" spans="2:17" ht="16.5" customHeight="1" x14ac:dyDescent="0.15">
      <c r="B13" s="389" t="s">
        <v>655</v>
      </c>
      <c r="C13" s="376">
        <v>1304</v>
      </c>
      <c r="D13" s="375">
        <v>1443</v>
      </c>
      <c r="E13" s="375">
        <v>2682</v>
      </c>
      <c r="F13" s="375">
        <v>92</v>
      </c>
      <c r="G13" s="375">
        <v>4232</v>
      </c>
      <c r="H13" s="375">
        <v>143</v>
      </c>
      <c r="I13" s="375">
        <v>4163</v>
      </c>
      <c r="J13" s="375">
        <v>143</v>
      </c>
      <c r="K13" s="375">
        <v>273</v>
      </c>
      <c r="L13" s="375">
        <v>259</v>
      </c>
      <c r="M13" s="375">
        <v>9</v>
      </c>
      <c r="N13" s="375">
        <v>7104</v>
      </c>
      <c r="O13" s="374">
        <v>244</v>
      </c>
      <c r="P13" s="191" t="s">
        <v>83</v>
      </c>
      <c r="Q13" s="317"/>
    </row>
    <row r="14" spans="2:17" ht="16.5" customHeight="1" x14ac:dyDescent="0.15">
      <c r="B14" s="389" t="s">
        <v>656</v>
      </c>
      <c r="C14" s="376">
        <v>1255</v>
      </c>
      <c r="D14" s="375">
        <v>1487</v>
      </c>
      <c r="E14" s="375">
        <v>2679</v>
      </c>
      <c r="F14" s="375">
        <v>92</v>
      </c>
      <c r="G14" s="375">
        <v>4232</v>
      </c>
      <c r="H14" s="375">
        <v>143</v>
      </c>
      <c r="I14" s="375">
        <v>4163</v>
      </c>
      <c r="J14" s="375">
        <v>144</v>
      </c>
      <c r="K14" s="375">
        <v>273</v>
      </c>
      <c r="L14" s="375">
        <v>259</v>
      </c>
      <c r="M14" s="375">
        <v>9</v>
      </c>
      <c r="N14" s="375">
        <v>7101</v>
      </c>
      <c r="O14" s="374">
        <v>245</v>
      </c>
      <c r="P14" s="191" t="s">
        <v>84</v>
      </c>
      <c r="Q14" s="317"/>
    </row>
    <row r="15" spans="2:17" ht="16.5" customHeight="1" x14ac:dyDescent="0.15">
      <c r="B15" s="389" t="s">
        <v>657</v>
      </c>
      <c r="C15" s="376">
        <v>1267</v>
      </c>
      <c r="D15" s="375">
        <v>1589</v>
      </c>
      <c r="E15" s="375">
        <v>2793</v>
      </c>
      <c r="F15" s="375">
        <v>98</v>
      </c>
      <c r="G15" s="375">
        <v>4233</v>
      </c>
      <c r="H15" s="375">
        <v>143</v>
      </c>
      <c r="I15" s="375">
        <v>4164</v>
      </c>
      <c r="J15" s="375">
        <v>146</v>
      </c>
      <c r="K15" s="375">
        <v>239</v>
      </c>
      <c r="L15" s="375">
        <v>227</v>
      </c>
      <c r="M15" s="375">
        <v>8</v>
      </c>
      <c r="N15" s="375">
        <v>7184</v>
      </c>
      <c r="O15" s="374">
        <v>252</v>
      </c>
      <c r="P15" s="191" t="s">
        <v>85</v>
      </c>
      <c r="Q15" s="317"/>
    </row>
    <row r="16" spans="2:17" ht="16.5" customHeight="1" x14ac:dyDescent="0.15">
      <c r="B16" s="389" t="s">
        <v>658</v>
      </c>
      <c r="C16" s="376">
        <v>1089</v>
      </c>
      <c r="D16" s="375">
        <v>1621</v>
      </c>
      <c r="E16" s="375">
        <v>2656</v>
      </c>
      <c r="F16" s="375">
        <v>93</v>
      </c>
      <c r="G16" s="375">
        <v>4213</v>
      </c>
      <c r="H16" s="375">
        <v>143</v>
      </c>
      <c r="I16" s="375">
        <v>4145</v>
      </c>
      <c r="J16" s="375">
        <v>145</v>
      </c>
      <c r="K16" s="375">
        <v>271</v>
      </c>
      <c r="L16" s="375">
        <v>258</v>
      </c>
      <c r="M16" s="375">
        <v>9</v>
      </c>
      <c r="N16" s="375">
        <v>7058</v>
      </c>
      <c r="O16" s="374">
        <v>248</v>
      </c>
      <c r="P16" s="191" t="s">
        <v>69</v>
      </c>
      <c r="Q16" s="317"/>
    </row>
    <row r="17" spans="2:16" ht="16.5" customHeight="1" x14ac:dyDescent="0.15">
      <c r="B17" s="389" t="s">
        <v>659</v>
      </c>
      <c r="C17" s="376">
        <v>1081</v>
      </c>
      <c r="D17" s="375">
        <v>1605</v>
      </c>
      <c r="E17" s="375">
        <v>2633</v>
      </c>
      <c r="F17" s="375">
        <v>93</v>
      </c>
      <c r="G17" s="375">
        <v>4204</v>
      </c>
      <c r="H17" s="375">
        <v>143</v>
      </c>
      <c r="I17" s="375">
        <v>4136</v>
      </c>
      <c r="J17" s="375">
        <v>146</v>
      </c>
      <c r="K17" s="375">
        <v>271</v>
      </c>
      <c r="L17" s="375">
        <v>258</v>
      </c>
      <c r="M17" s="375">
        <v>9</v>
      </c>
      <c r="N17" s="375">
        <v>7026</v>
      </c>
      <c r="O17" s="374">
        <v>248</v>
      </c>
      <c r="P17" s="191" t="s">
        <v>70</v>
      </c>
    </row>
    <row r="18" spans="2:16" ht="16.5" customHeight="1" x14ac:dyDescent="0.15">
      <c r="B18" s="389" t="s">
        <v>660</v>
      </c>
      <c r="C18" s="376">
        <v>1154</v>
      </c>
      <c r="D18" s="375">
        <v>1409</v>
      </c>
      <c r="E18" s="375">
        <v>2505</v>
      </c>
      <c r="F18" s="375">
        <v>88</v>
      </c>
      <c r="G18" s="375">
        <v>4204</v>
      </c>
      <c r="H18" s="375">
        <v>143</v>
      </c>
      <c r="I18" s="375">
        <v>4136</v>
      </c>
      <c r="J18" s="375">
        <v>146</v>
      </c>
      <c r="K18" s="375">
        <v>283</v>
      </c>
      <c r="L18" s="375">
        <v>269</v>
      </c>
      <c r="M18" s="375">
        <v>10</v>
      </c>
      <c r="N18" s="375">
        <v>6910</v>
      </c>
      <c r="O18" s="374">
        <v>243</v>
      </c>
      <c r="P18" s="191" t="s">
        <v>71</v>
      </c>
    </row>
    <row r="19" spans="2:16" ht="16.5" customHeight="1" x14ac:dyDescent="0.15">
      <c r="B19" s="389" t="s">
        <v>982</v>
      </c>
      <c r="C19" s="462">
        <v>1113</v>
      </c>
      <c r="D19" s="375">
        <v>1527</v>
      </c>
      <c r="E19" s="375">
        <v>2585</v>
      </c>
      <c r="F19" s="375">
        <v>92</v>
      </c>
      <c r="G19" s="375">
        <v>4204</v>
      </c>
      <c r="H19" s="375">
        <v>143</v>
      </c>
      <c r="I19" s="375">
        <v>4136</v>
      </c>
      <c r="J19" s="375">
        <v>147</v>
      </c>
      <c r="K19" s="375">
        <v>283</v>
      </c>
      <c r="L19" s="375">
        <v>269</v>
      </c>
      <c r="M19" s="375">
        <v>10</v>
      </c>
      <c r="N19" s="375">
        <v>6989</v>
      </c>
      <c r="O19" s="374">
        <v>248</v>
      </c>
      <c r="P19" s="203">
        <v>45658</v>
      </c>
    </row>
    <row r="20" spans="2:16" ht="16.5" customHeight="1" x14ac:dyDescent="0.15">
      <c r="B20" s="389" t="s">
        <v>650</v>
      </c>
      <c r="C20" s="376">
        <v>1101</v>
      </c>
      <c r="D20" s="375">
        <v>1419</v>
      </c>
      <c r="E20" s="375">
        <v>2465</v>
      </c>
      <c r="F20" s="463">
        <v>88</v>
      </c>
      <c r="G20" s="375">
        <v>4202</v>
      </c>
      <c r="H20" s="375">
        <v>143</v>
      </c>
      <c r="I20" s="375">
        <v>4135</v>
      </c>
      <c r="J20" s="375">
        <v>147</v>
      </c>
      <c r="K20" s="375">
        <v>281</v>
      </c>
      <c r="L20" s="375">
        <v>267</v>
      </c>
      <c r="M20" s="375">
        <v>10</v>
      </c>
      <c r="N20" s="375">
        <v>6867</v>
      </c>
      <c r="O20" s="374">
        <v>244</v>
      </c>
      <c r="P20" s="191" t="s">
        <v>66</v>
      </c>
    </row>
    <row r="21" spans="2:16" ht="16.5" customHeight="1" x14ac:dyDescent="0.15">
      <c r="B21" s="877" t="s">
        <v>651</v>
      </c>
      <c r="C21" s="878">
        <v>1264</v>
      </c>
      <c r="D21" s="879">
        <v>1404</v>
      </c>
      <c r="E21" s="880">
        <v>2605</v>
      </c>
      <c r="F21" s="879">
        <v>92</v>
      </c>
      <c r="G21" s="879">
        <v>4203</v>
      </c>
      <c r="H21" s="879">
        <v>143</v>
      </c>
      <c r="I21" s="879">
        <v>4135</v>
      </c>
      <c r="J21" s="879">
        <v>147</v>
      </c>
      <c r="K21" s="879">
        <v>247</v>
      </c>
      <c r="L21" s="879">
        <v>234</v>
      </c>
      <c r="M21" s="879">
        <v>8</v>
      </c>
      <c r="N21" s="879">
        <v>6974</v>
      </c>
      <c r="O21" s="881">
        <v>247</v>
      </c>
      <c r="P21" s="882" t="s">
        <v>67</v>
      </c>
    </row>
    <row r="22" spans="2:16" ht="16.5" customHeight="1" x14ac:dyDescent="0.15">
      <c r="B22" s="25" t="s">
        <v>983</v>
      </c>
      <c r="C22" s="25"/>
      <c r="D22" s="25"/>
      <c r="E22" s="25"/>
      <c r="F22" s="25"/>
      <c r="G22" s="317"/>
      <c r="H22" s="543"/>
      <c r="I22" s="543" t="s">
        <v>984</v>
      </c>
      <c r="J22" s="25"/>
      <c r="K22" s="25"/>
      <c r="L22" s="25"/>
      <c r="M22" s="25"/>
      <c r="N22" s="25"/>
      <c r="O22" s="25"/>
      <c r="P22" s="25"/>
    </row>
    <row r="23" spans="2:16" ht="16.5" customHeight="1" x14ac:dyDescent="0.15">
      <c r="B23" s="25" t="s">
        <v>985</v>
      </c>
      <c r="C23" s="25"/>
      <c r="D23" s="25"/>
      <c r="E23" s="25"/>
      <c r="F23" s="25"/>
      <c r="G23" s="317"/>
      <c r="H23" s="25"/>
      <c r="I23" s="25" t="s">
        <v>986</v>
      </c>
      <c r="J23" s="25"/>
      <c r="K23" s="25"/>
      <c r="L23" s="25"/>
      <c r="M23" s="25"/>
      <c r="N23" s="25"/>
      <c r="O23" s="25"/>
      <c r="P23" s="25"/>
    </row>
    <row r="24" spans="2:16" ht="16.5" customHeight="1" x14ac:dyDescent="0.15">
      <c r="B24" s="37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</row>
    <row r="25" spans="2:16" ht="16.5" customHeight="1" x14ac:dyDescent="0.15">
      <c r="B25" s="318" t="s">
        <v>369</v>
      </c>
      <c r="C25" s="123"/>
      <c r="D25" s="123"/>
      <c r="E25" s="123"/>
      <c r="F25" s="123"/>
      <c r="G25" s="123"/>
      <c r="H25" s="23" t="s">
        <v>86</v>
      </c>
      <c r="I25" s="123"/>
      <c r="J25" s="123"/>
      <c r="K25" s="123"/>
      <c r="L25" s="123"/>
      <c r="M25" s="123"/>
      <c r="N25" s="123"/>
      <c r="O25" s="123"/>
      <c r="P25" s="123"/>
    </row>
    <row r="26" spans="2:16" ht="22.5" customHeight="1" x14ac:dyDescent="0.15">
      <c r="B26" s="1091" t="s">
        <v>368</v>
      </c>
      <c r="C26" s="1093" t="s">
        <v>367</v>
      </c>
      <c r="D26" s="1094"/>
      <c r="E26" s="537" t="s">
        <v>410</v>
      </c>
      <c r="F26" s="371" t="s">
        <v>366</v>
      </c>
      <c r="G26" s="371" t="s">
        <v>365</v>
      </c>
      <c r="H26" s="875" t="s">
        <v>364</v>
      </c>
      <c r="I26" s="874" t="s">
        <v>363</v>
      </c>
      <c r="J26" s="1078" t="s">
        <v>411</v>
      </c>
      <c r="K26" s="372"/>
      <c r="L26" s="372"/>
      <c r="M26" s="372"/>
      <c r="N26" s="317"/>
      <c r="O26" s="317"/>
      <c r="P26" s="25"/>
    </row>
    <row r="27" spans="2:16" ht="28.5" customHeight="1" x14ac:dyDescent="0.15">
      <c r="B27" s="1092"/>
      <c r="C27" s="538" t="s">
        <v>538</v>
      </c>
      <c r="D27" s="371" t="s">
        <v>661</v>
      </c>
      <c r="E27" s="370" t="s">
        <v>538</v>
      </c>
      <c r="F27" s="538" t="s">
        <v>538</v>
      </c>
      <c r="G27" s="538" t="s">
        <v>538</v>
      </c>
      <c r="H27" s="538" t="s">
        <v>539</v>
      </c>
      <c r="I27" s="370" t="s">
        <v>539</v>
      </c>
      <c r="J27" s="1095"/>
      <c r="K27" s="369"/>
      <c r="L27" s="369"/>
      <c r="M27" s="369"/>
      <c r="N27" s="317"/>
      <c r="O27" s="317"/>
      <c r="P27" s="25"/>
    </row>
    <row r="28" spans="2:16" ht="16.5" customHeight="1" x14ac:dyDescent="0.15">
      <c r="B28" s="392"/>
      <c r="C28" s="368"/>
      <c r="D28" s="25"/>
      <c r="E28" s="25"/>
      <c r="F28" s="367"/>
      <c r="G28" s="367"/>
      <c r="H28" s="367"/>
      <c r="I28" s="367"/>
      <c r="J28" s="264"/>
      <c r="K28" s="25"/>
      <c r="L28" s="25"/>
      <c r="M28" s="25"/>
      <c r="N28" s="317"/>
      <c r="O28" s="317"/>
      <c r="P28" s="25"/>
    </row>
    <row r="29" spans="2:16" ht="16.5" customHeight="1" x14ac:dyDescent="0.15">
      <c r="B29" s="389" t="s">
        <v>981</v>
      </c>
      <c r="C29" s="365">
        <v>77710</v>
      </c>
      <c r="D29" s="364">
        <v>85.78</v>
      </c>
      <c r="E29" s="41">
        <v>68491</v>
      </c>
      <c r="F29" s="363" t="s">
        <v>796</v>
      </c>
      <c r="G29" s="363">
        <v>111638</v>
      </c>
      <c r="H29" s="363">
        <v>86659</v>
      </c>
      <c r="I29" s="366">
        <v>101773</v>
      </c>
      <c r="J29" s="203">
        <v>45292</v>
      </c>
      <c r="K29" s="444"/>
      <c r="L29" s="884"/>
      <c r="M29" s="289"/>
      <c r="N29" s="289"/>
      <c r="O29" s="289"/>
      <c r="P29" s="289"/>
    </row>
    <row r="30" spans="2:16" ht="16.5" customHeight="1" x14ac:dyDescent="0.15">
      <c r="B30" s="389" t="s">
        <v>650</v>
      </c>
      <c r="C30" s="365">
        <v>78007</v>
      </c>
      <c r="D30" s="364">
        <v>83.72</v>
      </c>
      <c r="E30" s="339">
        <v>70204</v>
      </c>
      <c r="F30" s="363" t="s">
        <v>796</v>
      </c>
      <c r="G30" s="363">
        <v>111025</v>
      </c>
      <c r="H30" s="363">
        <v>93709</v>
      </c>
      <c r="I30" s="363">
        <v>99185</v>
      </c>
      <c r="J30" s="191" t="s">
        <v>66</v>
      </c>
      <c r="K30" s="444"/>
      <c r="L30" s="884"/>
      <c r="M30" s="289"/>
      <c r="N30" s="363"/>
      <c r="O30" s="363"/>
      <c r="P30" s="289"/>
    </row>
    <row r="31" spans="2:16" ht="16.5" customHeight="1" x14ac:dyDescent="0.15">
      <c r="B31" s="389" t="s">
        <v>651</v>
      </c>
      <c r="C31" s="365">
        <v>78092</v>
      </c>
      <c r="D31" s="445">
        <v>83.08</v>
      </c>
      <c r="E31" s="339">
        <v>72890</v>
      </c>
      <c r="F31" s="363" t="s">
        <v>796</v>
      </c>
      <c r="G31" s="363">
        <v>116004</v>
      </c>
      <c r="H31" s="363">
        <v>93966</v>
      </c>
      <c r="I31" s="366">
        <v>95467</v>
      </c>
      <c r="J31" s="191" t="s">
        <v>67</v>
      </c>
      <c r="K31" s="444"/>
      <c r="L31" s="884"/>
      <c r="M31" s="289"/>
      <c r="N31" s="289"/>
      <c r="O31" s="363"/>
      <c r="P31" s="289"/>
    </row>
    <row r="32" spans="2:16" ht="16.5" customHeight="1" x14ac:dyDescent="0.15">
      <c r="B32" s="389" t="s">
        <v>652</v>
      </c>
      <c r="C32" s="365">
        <v>81876</v>
      </c>
      <c r="D32" s="364">
        <v>85.89</v>
      </c>
      <c r="E32" s="339">
        <v>75575</v>
      </c>
      <c r="F32" s="363" t="s">
        <v>796</v>
      </c>
      <c r="G32" s="363" t="s">
        <v>796</v>
      </c>
      <c r="H32" s="363">
        <v>96126</v>
      </c>
      <c r="I32" s="366">
        <v>88709</v>
      </c>
      <c r="J32" s="191" t="s">
        <v>68</v>
      </c>
      <c r="K32" s="444"/>
      <c r="L32" s="884"/>
      <c r="M32" s="289"/>
      <c r="N32" s="363"/>
      <c r="O32" s="363"/>
      <c r="P32" s="289"/>
    </row>
    <row r="33" spans="2:16" ht="16.5" customHeight="1" x14ac:dyDescent="0.15">
      <c r="B33" s="389" t="s">
        <v>653</v>
      </c>
      <c r="C33" s="363">
        <v>86953</v>
      </c>
      <c r="D33" s="364">
        <v>88.92</v>
      </c>
      <c r="E33" s="41">
        <v>78045</v>
      </c>
      <c r="F33" s="363">
        <v>101761</v>
      </c>
      <c r="G33" s="363" t="s">
        <v>796</v>
      </c>
      <c r="H33" s="363">
        <v>97218</v>
      </c>
      <c r="I33" s="363">
        <v>92286</v>
      </c>
      <c r="J33" s="191" t="s">
        <v>409</v>
      </c>
      <c r="K33" s="444"/>
      <c r="L33" s="884"/>
      <c r="M33" s="289"/>
      <c r="N33" s="289"/>
      <c r="O33" s="289"/>
      <c r="P33" s="289"/>
    </row>
    <row r="34" spans="2:16" ht="16.5" customHeight="1" x14ac:dyDescent="0.15">
      <c r="B34" s="389" t="s">
        <v>654</v>
      </c>
      <c r="C34" s="363">
        <v>86628</v>
      </c>
      <c r="D34" s="364">
        <v>87.94</v>
      </c>
      <c r="E34" s="41">
        <v>77674</v>
      </c>
      <c r="F34" s="363" t="s">
        <v>796</v>
      </c>
      <c r="G34" s="363" t="s">
        <v>796</v>
      </c>
      <c r="H34" s="363">
        <v>95605</v>
      </c>
      <c r="I34" s="363">
        <v>93078</v>
      </c>
      <c r="J34" s="191" t="s">
        <v>82</v>
      </c>
      <c r="K34" s="444"/>
      <c r="L34" s="884"/>
      <c r="M34" s="289"/>
      <c r="N34" s="289"/>
      <c r="O34" s="363"/>
      <c r="P34" s="289"/>
    </row>
    <row r="35" spans="2:16" ht="16.5" customHeight="1" x14ac:dyDescent="0.15">
      <c r="B35" s="389" t="s">
        <v>655</v>
      </c>
      <c r="C35" s="363">
        <v>88440</v>
      </c>
      <c r="D35" s="364">
        <v>88.04</v>
      </c>
      <c r="E35" s="41">
        <v>78313</v>
      </c>
      <c r="F35" s="363">
        <v>105235</v>
      </c>
      <c r="G35" s="363" t="s">
        <v>796</v>
      </c>
      <c r="H35" s="363">
        <v>98611</v>
      </c>
      <c r="I35" s="363">
        <v>95817</v>
      </c>
      <c r="J35" s="191" t="s">
        <v>83</v>
      </c>
      <c r="K35" s="444"/>
      <c r="L35" s="884"/>
      <c r="M35" s="289"/>
      <c r="N35" s="289"/>
      <c r="O35" s="289"/>
      <c r="P35" s="289"/>
    </row>
    <row r="36" spans="2:16" ht="16.5" customHeight="1" x14ac:dyDescent="0.15">
      <c r="B36" s="389" t="s">
        <v>656</v>
      </c>
      <c r="C36" s="363">
        <v>82709</v>
      </c>
      <c r="D36" s="364">
        <v>87.08</v>
      </c>
      <c r="E36" s="41">
        <v>75941</v>
      </c>
      <c r="F36" s="363" t="s">
        <v>796</v>
      </c>
      <c r="G36" s="363">
        <v>458000</v>
      </c>
      <c r="H36" s="363">
        <v>92163</v>
      </c>
      <c r="I36" s="363">
        <v>94699</v>
      </c>
      <c r="J36" s="191" t="s">
        <v>84</v>
      </c>
      <c r="K36" s="444"/>
      <c r="L36" s="884"/>
      <c r="M36" s="289"/>
      <c r="N36" s="289"/>
      <c r="O36" s="363"/>
      <c r="P36" s="289"/>
    </row>
    <row r="37" spans="2:16" ht="16.5" customHeight="1" x14ac:dyDescent="0.15">
      <c r="B37" s="389" t="s">
        <v>657</v>
      </c>
      <c r="C37" s="363">
        <v>75195</v>
      </c>
      <c r="D37" s="364">
        <v>82.83</v>
      </c>
      <c r="E37" s="41">
        <v>70700</v>
      </c>
      <c r="F37" s="363" t="s">
        <v>796</v>
      </c>
      <c r="G37" s="363" t="s">
        <v>796</v>
      </c>
      <c r="H37" s="363">
        <v>89824</v>
      </c>
      <c r="I37" s="363">
        <v>90307</v>
      </c>
      <c r="J37" s="191" t="s">
        <v>85</v>
      </c>
      <c r="K37" s="444"/>
      <c r="L37" s="884"/>
      <c r="M37" s="289"/>
      <c r="N37" s="289"/>
      <c r="O37" s="363"/>
      <c r="P37" s="289"/>
    </row>
    <row r="38" spans="2:16" ht="16.5" customHeight="1" x14ac:dyDescent="0.15">
      <c r="B38" s="389" t="s">
        <v>658</v>
      </c>
      <c r="C38" s="363">
        <v>73598</v>
      </c>
      <c r="D38" s="364">
        <v>80.23</v>
      </c>
      <c r="E38" s="41">
        <v>68979</v>
      </c>
      <c r="F38" s="363">
        <v>86276</v>
      </c>
      <c r="G38" s="363" t="s">
        <v>796</v>
      </c>
      <c r="H38" s="363">
        <v>89071</v>
      </c>
      <c r="I38" s="363">
        <v>91188</v>
      </c>
      <c r="J38" s="191" t="s">
        <v>69</v>
      </c>
      <c r="K38" s="444"/>
      <c r="L38" s="884"/>
      <c r="M38" s="289"/>
      <c r="N38" s="289"/>
      <c r="O38" s="289"/>
      <c r="P38" s="289"/>
    </row>
    <row r="39" spans="2:16" ht="16.5" customHeight="1" x14ac:dyDescent="0.15">
      <c r="B39" s="389" t="s">
        <v>659</v>
      </c>
      <c r="C39" s="363">
        <v>75194</v>
      </c>
      <c r="D39" s="364">
        <v>78.19</v>
      </c>
      <c r="E39" s="41">
        <v>73030</v>
      </c>
      <c r="F39" s="363">
        <v>91193</v>
      </c>
      <c r="G39" s="363" t="s">
        <v>796</v>
      </c>
      <c r="H39" s="363">
        <v>96162</v>
      </c>
      <c r="I39" s="363">
        <v>95751</v>
      </c>
      <c r="J39" s="191" t="s">
        <v>405</v>
      </c>
      <c r="K39" s="444"/>
      <c r="L39" s="884"/>
      <c r="M39" s="289"/>
      <c r="N39" s="289"/>
      <c r="O39" s="363"/>
      <c r="P39" s="289"/>
    </row>
    <row r="40" spans="2:16" ht="16.5" customHeight="1" x14ac:dyDescent="0.15">
      <c r="B40" s="389" t="s">
        <v>660</v>
      </c>
      <c r="C40" s="363">
        <v>73427</v>
      </c>
      <c r="D40" s="364">
        <v>76.569999999999993</v>
      </c>
      <c r="E40" s="41">
        <v>71359</v>
      </c>
      <c r="F40" s="363">
        <v>86231</v>
      </c>
      <c r="G40" s="363" t="s">
        <v>796</v>
      </c>
      <c r="H40" s="363">
        <v>95705</v>
      </c>
      <c r="I40" s="363">
        <v>94570</v>
      </c>
      <c r="J40" s="191" t="s">
        <v>71</v>
      </c>
      <c r="K40" s="444"/>
      <c r="L40" s="884"/>
      <c r="M40" s="289"/>
      <c r="N40" s="289"/>
      <c r="O40" s="363"/>
      <c r="P40" s="289"/>
    </row>
    <row r="41" spans="2:16" ht="16.5" customHeight="1" x14ac:dyDescent="0.15">
      <c r="B41" s="389" t="s">
        <v>982</v>
      </c>
      <c r="C41" s="365">
        <v>75743</v>
      </c>
      <c r="D41" s="364">
        <v>76.59</v>
      </c>
      <c r="E41" s="41">
        <v>71996</v>
      </c>
      <c r="F41" s="363">
        <v>102163</v>
      </c>
      <c r="G41" s="363" t="s">
        <v>796</v>
      </c>
      <c r="H41" s="363">
        <v>97109</v>
      </c>
      <c r="I41" s="366">
        <v>100371</v>
      </c>
      <c r="J41" s="203">
        <v>45658</v>
      </c>
      <c r="K41" s="444"/>
      <c r="L41" s="884"/>
      <c r="M41" s="289"/>
      <c r="N41" s="363"/>
      <c r="O41" s="289"/>
      <c r="P41" s="289"/>
    </row>
    <row r="42" spans="2:16" ht="16.5" customHeight="1" x14ac:dyDescent="0.15">
      <c r="B42" s="389" t="s">
        <v>650</v>
      </c>
      <c r="C42" s="365">
        <v>78205</v>
      </c>
      <c r="D42" s="364">
        <v>80.42</v>
      </c>
      <c r="E42" s="339">
        <v>72036</v>
      </c>
      <c r="F42" s="363" t="s">
        <v>796</v>
      </c>
      <c r="G42" s="363" t="s">
        <v>796</v>
      </c>
      <c r="H42" s="363">
        <v>98897</v>
      </c>
      <c r="I42" s="363">
        <v>94366</v>
      </c>
      <c r="J42" s="191" t="s">
        <v>66</v>
      </c>
      <c r="K42" s="444"/>
      <c r="L42" s="884"/>
      <c r="M42" s="289"/>
      <c r="N42" s="289"/>
      <c r="O42" s="289"/>
      <c r="P42" s="289"/>
    </row>
    <row r="43" spans="2:16" ht="16.5" customHeight="1" x14ac:dyDescent="0.15">
      <c r="B43" s="877" t="s">
        <v>651</v>
      </c>
      <c r="C43" s="885">
        <v>74783</v>
      </c>
      <c r="D43" s="886">
        <v>79.510000000000005</v>
      </c>
      <c r="E43" s="887">
        <v>70279</v>
      </c>
      <c r="F43" s="888">
        <v>86801</v>
      </c>
      <c r="G43" s="888" t="s">
        <v>796</v>
      </c>
      <c r="H43" s="888">
        <v>96394</v>
      </c>
      <c r="I43" s="888">
        <v>90914</v>
      </c>
      <c r="J43" s="882" t="s">
        <v>67</v>
      </c>
      <c r="L43" s="884"/>
      <c r="M43" s="362"/>
      <c r="N43" s="317"/>
      <c r="O43" s="317"/>
      <c r="P43" s="25"/>
    </row>
    <row r="44" spans="2:16" ht="16.5" customHeight="1" x14ac:dyDescent="0.15">
      <c r="B44" s="25" t="s">
        <v>987</v>
      </c>
      <c r="C44" s="25"/>
      <c r="D44" s="25"/>
      <c r="E44" s="25"/>
      <c r="F44" s="25"/>
      <c r="G44" s="317"/>
      <c r="H44" s="25"/>
      <c r="I44" s="25" t="s">
        <v>988</v>
      </c>
      <c r="J44" s="25"/>
      <c r="K44" s="25"/>
      <c r="L44" s="25"/>
      <c r="M44" s="25"/>
      <c r="N44" s="25"/>
      <c r="O44" s="25"/>
      <c r="P44" s="25"/>
    </row>
    <row r="45" spans="2:16" ht="16.5" customHeight="1" x14ac:dyDescent="0.15">
      <c r="B45" s="25" t="s">
        <v>989</v>
      </c>
      <c r="C45" s="25"/>
      <c r="D45" s="25"/>
      <c r="E45" s="25"/>
      <c r="F45" s="25"/>
      <c r="G45" s="317"/>
      <c r="H45" s="543"/>
      <c r="I45" s="543" t="s">
        <v>990</v>
      </c>
      <c r="J45" s="25"/>
      <c r="K45" s="25"/>
      <c r="L45" s="25"/>
      <c r="M45" s="25"/>
      <c r="N45" s="25"/>
      <c r="O45" s="25"/>
      <c r="P45" s="25"/>
    </row>
    <row r="46" spans="2:16" ht="16.5" customHeight="1" x14ac:dyDescent="0.15">
      <c r="B46" s="543" t="s">
        <v>991</v>
      </c>
      <c r="C46" s="123"/>
      <c r="D46" s="123"/>
      <c r="E46" s="123"/>
      <c r="F46" s="123"/>
      <c r="G46" s="123"/>
      <c r="H46" s="543"/>
      <c r="I46" s="543" t="s">
        <v>992</v>
      </c>
      <c r="J46" s="123"/>
      <c r="K46" s="123"/>
      <c r="L46" s="123"/>
      <c r="M46" s="123"/>
      <c r="N46" s="123"/>
      <c r="O46" s="123"/>
      <c r="P46" s="123"/>
    </row>
    <row r="47" spans="2:16" ht="16.5" customHeight="1" x14ac:dyDescent="0.15">
      <c r="B47" s="543" t="s">
        <v>993</v>
      </c>
      <c r="C47" s="123"/>
      <c r="D47" s="123"/>
      <c r="E47" s="123"/>
      <c r="F47" s="123"/>
      <c r="G47" s="123"/>
      <c r="H47" s="543"/>
      <c r="I47" s="543" t="s">
        <v>994</v>
      </c>
      <c r="J47" s="123"/>
      <c r="K47" s="123"/>
      <c r="L47" s="123"/>
      <c r="M47" s="123"/>
      <c r="N47" s="123"/>
      <c r="O47" s="123"/>
      <c r="P47" s="123"/>
    </row>
    <row r="48" spans="2:16" ht="16.5" customHeight="1" x14ac:dyDescent="0.15">
      <c r="B48" s="543" t="s">
        <v>995</v>
      </c>
      <c r="C48" s="123"/>
      <c r="D48" s="123"/>
      <c r="E48" s="123"/>
      <c r="F48" s="123"/>
      <c r="G48" s="123"/>
      <c r="H48" s="543"/>
      <c r="I48" s="543" t="s">
        <v>996</v>
      </c>
      <c r="J48" s="123"/>
      <c r="K48" s="123"/>
      <c r="L48" s="123"/>
      <c r="M48" s="123"/>
      <c r="N48" s="123"/>
      <c r="O48" s="123"/>
      <c r="P48" s="123"/>
    </row>
    <row r="49" spans="3:9" ht="16.5" customHeight="1" x14ac:dyDescent="0.15">
      <c r="C49" s="889"/>
      <c r="D49" s="890"/>
      <c r="E49" s="889"/>
      <c r="F49" s="889"/>
      <c r="G49" s="889"/>
      <c r="H49" s="889"/>
      <c r="I49" s="889"/>
    </row>
    <row r="50" spans="3:9" ht="16.5" customHeight="1" x14ac:dyDescent="0.15">
      <c r="C50" s="889"/>
      <c r="D50" s="890"/>
      <c r="E50" s="889"/>
      <c r="F50" s="889"/>
      <c r="G50" s="889"/>
      <c r="H50" s="889"/>
    </row>
    <row r="51" spans="3:9" ht="16.5" customHeight="1" x14ac:dyDescent="0.15">
      <c r="C51" s="889"/>
      <c r="D51" s="890"/>
      <c r="E51" s="889"/>
      <c r="F51" s="889"/>
      <c r="G51" s="889"/>
      <c r="H51" s="889"/>
    </row>
    <row r="52" spans="3:9" ht="16.5" customHeight="1" x14ac:dyDescent="0.15">
      <c r="C52" s="889"/>
      <c r="D52" s="890"/>
      <c r="E52" s="889"/>
      <c r="F52" s="889"/>
      <c r="G52" s="889"/>
      <c r="H52" s="889"/>
    </row>
    <row r="53" spans="3:9" ht="16.5" customHeight="1" x14ac:dyDescent="0.15">
      <c r="C53" s="889"/>
      <c r="D53" s="890"/>
      <c r="E53" s="889"/>
      <c r="F53" s="889"/>
      <c r="G53" s="889"/>
      <c r="H53" s="889"/>
    </row>
    <row r="54" spans="3:9" ht="16.5" customHeight="1" x14ac:dyDescent="0.15">
      <c r="C54" s="889"/>
      <c r="D54" s="890"/>
      <c r="E54" s="889"/>
      <c r="F54" s="889"/>
      <c r="G54" s="889"/>
      <c r="H54" s="889"/>
    </row>
    <row r="55" spans="3:9" ht="16.5" customHeight="1" x14ac:dyDescent="0.15">
      <c r="C55" s="889"/>
      <c r="D55" s="890"/>
      <c r="E55" s="889"/>
      <c r="F55" s="889"/>
      <c r="G55" s="889"/>
      <c r="H55" s="889"/>
    </row>
    <row r="56" spans="3:9" ht="16.5" customHeight="1" x14ac:dyDescent="0.15">
      <c r="C56" s="889"/>
      <c r="D56" s="890"/>
      <c r="E56" s="889"/>
      <c r="F56" s="889"/>
      <c r="G56" s="889"/>
      <c r="H56" s="889"/>
    </row>
    <row r="57" spans="3:9" ht="16.5" customHeight="1" x14ac:dyDescent="0.15">
      <c r="C57" s="889"/>
      <c r="D57" s="890"/>
      <c r="E57" s="889"/>
      <c r="F57" s="889"/>
      <c r="G57" s="889"/>
      <c r="H57" s="889"/>
    </row>
    <row r="58" spans="3:9" ht="16.5" customHeight="1" x14ac:dyDescent="0.15">
      <c r="C58" s="889"/>
      <c r="D58" s="890"/>
      <c r="E58" s="889"/>
      <c r="F58" s="889"/>
      <c r="G58" s="889"/>
      <c r="H58" s="889"/>
    </row>
    <row r="59" spans="3:9" ht="16.5" customHeight="1" x14ac:dyDescent="0.15">
      <c r="C59" s="889"/>
      <c r="D59" s="890"/>
      <c r="E59" s="889"/>
      <c r="F59" s="889"/>
      <c r="G59" s="889"/>
      <c r="H59" s="889"/>
    </row>
    <row r="60" spans="3:9" ht="16.5" customHeight="1" x14ac:dyDescent="0.15">
      <c r="C60" s="889"/>
      <c r="D60" s="890"/>
      <c r="E60" s="889"/>
      <c r="F60" s="889"/>
      <c r="G60" s="889"/>
      <c r="H60" s="889"/>
    </row>
    <row r="61" spans="3:9" ht="16.5" customHeight="1" x14ac:dyDescent="0.15">
      <c r="C61" s="889"/>
      <c r="D61" s="890"/>
      <c r="E61" s="889"/>
      <c r="F61" s="889"/>
      <c r="G61" s="889"/>
      <c r="H61" s="889"/>
    </row>
    <row r="62" spans="3:9" ht="16.5" customHeight="1" x14ac:dyDescent="0.15">
      <c r="C62" s="889"/>
      <c r="D62" s="890"/>
      <c r="E62" s="889"/>
      <c r="F62" s="889"/>
      <c r="G62" s="889"/>
      <c r="H62" s="889"/>
    </row>
    <row r="63" spans="3:9" ht="16.5" customHeight="1" x14ac:dyDescent="0.15">
      <c r="C63" s="889"/>
      <c r="D63" s="890"/>
      <c r="E63" s="889"/>
      <c r="F63" s="889"/>
      <c r="G63" s="889"/>
      <c r="H63" s="889"/>
    </row>
  </sheetData>
  <mergeCells count="14">
    <mergeCell ref="B26:B27"/>
    <mergeCell ref="C26:D26"/>
    <mergeCell ref="J26:J27"/>
    <mergeCell ref="B3:B5"/>
    <mergeCell ref="G3:J3"/>
    <mergeCell ref="P3:P5"/>
    <mergeCell ref="F4:F5"/>
    <mergeCell ref="J4:J5"/>
    <mergeCell ref="K4:K5"/>
    <mergeCell ref="L4:L5"/>
    <mergeCell ref="M4:M5"/>
    <mergeCell ref="N4:N5"/>
    <mergeCell ref="O4:O5"/>
    <mergeCell ref="K3:M3"/>
  </mergeCells>
  <phoneticPr fontId="34"/>
  <pageMargins left="0.59055118110236227" right="0.59055118110236227" top="0.59055118110236227" bottom="0.59055118110236227" header="0.31496062992125984" footer="0.31496062992125984"/>
  <pageSetup paperSize="9" scale="92" fitToWidth="2" orientation="portrait" r:id="rId1"/>
  <colBreaks count="1" manualBreakCount="1">
    <brk id="8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5364-E20B-45C5-A231-6A38156C3D57}">
  <dimension ref="A1:U79"/>
  <sheetViews>
    <sheetView view="pageBreakPreview" zoomScaleNormal="100" zoomScaleSheetLayoutView="100" workbookViewId="0"/>
  </sheetViews>
  <sheetFormatPr defaultColWidth="8.125" defaultRowHeight="13.5" x14ac:dyDescent="0.15"/>
  <cols>
    <col min="1" max="1" width="12.125" style="123" customWidth="1"/>
    <col min="2" max="2" width="8.5" style="123" bestFit="1" customWidth="1"/>
    <col min="3" max="3" width="8.5" style="123" customWidth="1"/>
    <col min="4" max="4" width="8.125" style="123"/>
    <col min="5" max="5" width="5.125" style="123" customWidth="1"/>
    <col min="6" max="6" width="8.375" style="123" customWidth="1"/>
    <col min="7" max="7" width="8.125" style="123"/>
    <col min="8" max="8" width="7.875" style="123" bestFit="1" customWidth="1"/>
    <col min="9" max="10" width="5.375" style="123" customWidth="1"/>
    <col min="11" max="11" width="7.625" style="123" customWidth="1"/>
    <col min="12" max="12" width="12.25" style="123" customWidth="1"/>
    <col min="13" max="13" width="9.25" style="123" customWidth="1"/>
    <col min="14" max="14" width="12.125" style="123" customWidth="1"/>
    <col min="15" max="18" width="9.25" style="123" customWidth="1"/>
    <col min="19" max="19" width="10.125" style="123" bestFit="1" customWidth="1"/>
    <col min="20" max="16384" width="8.125" style="123"/>
  </cols>
  <sheetData>
    <row r="1" spans="1:15" s="317" customFormat="1" ht="20.100000000000001" customHeight="1" x14ac:dyDescent="0.15">
      <c r="A1" s="318" t="s">
        <v>997</v>
      </c>
    </row>
    <row r="2" spans="1:15" s="317" customFormat="1" ht="20.100000000000001" customHeight="1" x14ac:dyDescent="0.15">
      <c r="A2" s="318" t="s">
        <v>998</v>
      </c>
    </row>
    <row r="3" spans="1:15" s="317" customFormat="1" ht="20.100000000000001" customHeight="1" x14ac:dyDescent="0.15">
      <c r="A3" s="318" t="s">
        <v>999</v>
      </c>
    </row>
    <row r="4" spans="1:15" s="304" customFormat="1" ht="38.25" customHeight="1" x14ac:dyDescent="0.15">
      <c r="A4" s="1041" t="s">
        <v>351</v>
      </c>
      <c r="B4" s="1102" t="s">
        <v>1000</v>
      </c>
      <c r="C4" s="1103"/>
      <c r="D4" s="1103"/>
      <c r="E4" s="1104"/>
      <c r="F4" s="891" t="s">
        <v>350</v>
      </c>
      <c r="G4" s="892"/>
      <c r="H4" s="892"/>
      <c r="I4" s="1105" t="s">
        <v>349</v>
      </c>
      <c r="J4" s="1105" t="s">
        <v>412</v>
      </c>
      <c r="K4" s="1107" t="s">
        <v>501</v>
      </c>
    </row>
    <row r="5" spans="1:15" s="304" customFormat="1" ht="28.9" customHeight="1" x14ac:dyDescent="0.15">
      <c r="A5" s="1024"/>
      <c r="B5" s="334" t="s">
        <v>348</v>
      </c>
      <c r="C5" s="894" t="s">
        <v>413</v>
      </c>
      <c r="D5" s="894" t="s">
        <v>414</v>
      </c>
      <c r="E5" s="895" t="s">
        <v>347</v>
      </c>
      <c r="F5" s="333" t="s">
        <v>176</v>
      </c>
      <c r="G5" s="896" t="s">
        <v>346</v>
      </c>
      <c r="H5" s="896" t="s">
        <v>345</v>
      </c>
      <c r="I5" s="1106"/>
      <c r="J5" s="1106"/>
      <c r="K5" s="1108"/>
    </row>
    <row r="6" spans="1:15" s="304" customFormat="1" ht="42" x14ac:dyDescent="0.15">
      <c r="A6" s="1042"/>
      <c r="B6" s="621" t="s">
        <v>415</v>
      </c>
      <c r="C6" s="897" t="s">
        <v>417</v>
      </c>
      <c r="D6" s="897" t="s">
        <v>418</v>
      </c>
      <c r="E6" s="622" t="s">
        <v>416</v>
      </c>
      <c r="F6" s="621" t="s">
        <v>415</v>
      </c>
      <c r="G6" s="897" t="s">
        <v>1001</v>
      </c>
      <c r="H6" s="897" t="s">
        <v>1002</v>
      </c>
      <c r="I6" s="622" t="s">
        <v>554</v>
      </c>
      <c r="J6" s="622" t="s">
        <v>419</v>
      </c>
      <c r="K6" s="1109"/>
    </row>
    <row r="7" spans="1:15" s="304" customFormat="1" ht="21" customHeight="1" x14ac:dyDescent="0.15">
      <c r="A7" s="309" t="s">
        <v>1003</v>
      </c>
      <c r="B7" s="324">
        <v>143879667</v>
      </c>
      <c r="C7" s="324">
        <v>105584434</v>
      </c>
      <c r="D7" s="324">
        <v>38295233</v>
      </c>
      <c r="E7" s="322">
        <v>26.6</v>
      </c>
      <c r="F7" s="324">
        <v>42393838</v>
      </c>
      <c r="G7" s="324">
        <v>30547267</v>
      </c>
      <c r="H7" s="324">
        <v>11846571</v>
      </c>
      <c r="I7" s="329">
        <v>36.299999999999997</v>
      </c>
      <c r="J7" s="329">
        <v>1.48</v>
      </c>
      <c r="K7" s="312" t="s">
        <v>1004</v>
      </c>
      <c r="L7" s="307"/>
    </row>
    <row r="8" spans="1:15" s="304" customFormat="1" ht="21" customHeight="1" x14ac:dyDescent="0.15">
      <c r="A8" s="309" t="s">
        <v>1005</v>
      </c>
      <c r="B8" s="308">
        <v>144662684</v>
      </c>
      <c r="C8" s="324">
        <v>93325278</v>
      </c>
      <c r="D8" s="308">
        <v>51337406</v>
      </c>
      <c r="E8" s="322">
        <v>35.5</v>
      </c>
      <c r="F8" s="308">
        <v>63924816</v>
      </c>
      <c r="G8" s="324">
        <v>40909759</v>
      </c>
      <c r="H8" s="308">
        <v>23015057</v>
      </c>
      <c r="I8" s="329">
        <v>35.97</v>
      </c>
      <c r="J8" s="329">
        <v>1.48</v>
      </c>
      <c r="K8" s="312" t="s">
        <v>1006</v>
      </c>
      <c r="L8" s="307"/>
    </row>
    <row r="9" spans="1:15" s="304" customFormat="1" ht="21" customHeight="1" x14ac:dyDescent="0.15">
      <c r="A9" s="309" t="s">
        <v>1007</v>
      </c>
      <c r="B9" s="308">
        <v>158641580</v>
      </c>
      <c r="C9" s="324">
        <v>102115639</v>
      </c>
      <c r="D9" s="308">
        <v>56525941</v>
      </c>
      <c r="E9" s="322">
        <v>35.6</v>
      </c>
      <c r="F9" s="308">
        <v>102426336</v>
      </c>
      <c r="G9" s="324">
        <v>65384913</v>
      </c>
      <c r="H9" s="308">
        <v>37041423</v>
      </c>
      <c r="I9" s="329">
        <v>35.979999999999997</v>
      </c>
      <c r="J9" s="329">
        <v>1.5</v>
      </c>
      <c r="K9" s="312" t="s">
        <v>1008</v>
      </c>
      <c r="L9" s="307"/>
      <c r="M9" s="321"/>
      <c r="N9" s="307"/>
    </row>
    <row r="10" spans="1:15" s="304" customFormat="1" ht="21" customHeight="1" x14ac:dyDescent="0.15">
      <c r="A10" s="309" t="s">
        <v>1009</v>
      </c>
      <c r="B10" s="308">
        <v>147661066</v>
      </c>
      <c r="C10" s="324">
        <v>98602712</v>
      </c>
      <c r="D10" s="308">
        <v>49058354</v>
      </c>
      <c r="E10" s="322">
        <v>33.200000000000003</v>
      </c>
      <c r="F10" s="308">
        <v>80429451</v>
      </c>
      <c r="G10" s="324">
        <v>53581011</v>
      </c>
      <c r="H10" s="308">
        <v>26848440</v>
      </c>
      <c r="I10" s="329">
        <v>36.64</v>
      </c>
      <c r="J10" s="329">
        <v>1.43</v>
      </c>
      <c r="K10" s="312" t="s">
        <v>1010</v>
      </c>
      <c r="L10" s="307"/>
      <c r="M10" s="321"/>
      <c r="N10" s="307"/>
    </row>
    <row r="11" spans="1:15" s="304" customFormat="1" ht="21" customHeight="1" x14ac:dyDescent="0.15">
      <c r="A11" s="309" t="s">
        <v>1011</v>
      </c>
      <c r="B11" s="308">
        <v>135037249</v>
      </c>
      <c r="C11" s="324">
        <v>90531678</v>
      </c>
      <c r="D11" s="308">
        <v>44505571</v>
      </c>
      <c r="E11" s="322">
        <v>33</v>
      </c>
      <c r="F11" s="308">
        <v>70898968</v>
      </c>
      <c r="G11" s="324">
        <v>47532413</v>
      </c>
      <c r="H11" s="308">
        <v>23366555</v>
      </c>
      <c r="I11" s="329">
        <v>36.96</v>
      </c>
      <c r="J11" s="329">
        <v>1.4</v>
      </c>
      <c r="K11" s="312" t="s">
        <v>833</v>
      </c>
      <c r="L11" s="307"/>
      <c r="M11" s="321"/>
      <c r="N11" s="307"/>
    </row>
    <row r="12" spans="1:15" s="304" customFormat="1" ht="21" customHeight="1" x14ac:dyDescent="0.15">
      <c r="A12" s="316"/>
      <c r="B12" s="324"/>
      <c r="C12" s="324"/>
      <c r="D12" s="324"/>
      <c r="E12" s="332"/>
      <c r="F12" s="324"/>
      <c r="G12" s="324"/>
      <c r="H12" s="324"/>
      <c r="I12" s="329"/>
      <c r="J12" s="329"/>
      <c r="K12" s="313"/>
      <c r="L12" s="307"/>
      <c r="M12" s="266"/>
    </row>
    <row r="13" spans="1:15" s="304" customFormat="1" ht="21" customHeight="1" x14ac:dyDescent="0.15">
      <c r="A13" s="309" t="s">
        <v>1012</v>
      </c>
      <c r="B13" s="308">
        <v>144801793</v>
      </c>
      <c r="C13" s="324">
        <v>95673450</v>
      </c>
      <c r="D13" s="308">
        <v>49128343</v>
      </c>
      <c r="E13" s="322">
        <v>33.9</v>
      </c>
      <c r="F13" s="308">
        <v>78265810</v>
      </c>
      <c r="G13" s="324">
        <v>51651236</v>
      </c>
      <c r="H13" s="308">
        <v>26614574</v>
      </c>
      <c r="I13" s="329">
        <v>36.83</v>
      </c>
      <c r="J13" s="329">
        <v>1.4</v>
      </c>
      <c r="K13" s="312" t="s">
        <v>1013</v>
      </c>
      <c r="L13" s="307"/>
      <c r="M13" s="266"/>
    </row>
    <row r="14" spans="1:15" s="304" customFormat="1" ht="21" customHeight="1" x14ac:dyDescent="0.15">
      <c r="A14" s="315" t="s">
        <v>1011</v>
      </c>
      <c r="B14" s="308">
        <v>136293504</v>
      </c>
      <c r="C14" s="324">
        <v>91441982</v>
      </c>
      <c r="D14" s="308">
        <v>44851522</v>
      </c>
      <c r="E14" s="322">
        <v>32.9</v>
      </c>
      <c r="F14" s="308">
        <v>70419216</v>
      </c>
      <c r="G14" s="324">
        <v>47223796</v>
      </c>
      <c r="H14" s="308">
        <v>23195420</v>
      </c>
      <c r="I14" s="329">
        <v>36.75</v>
      </c>
      <c r="J14" s="329">
        <v>1.44</v>
      </c>
      <c r="K14" s="312" t="s">
        <v>836</v>
      </c>
      <c r="L14" s="307"/>
      <c r="M14" s="328"/>
      <c r="N14" s="307"/>
    </row>
    <row r="15" spans="1:15" s="304" customFormat="1" ht="21" customHeight="1" x14ac:dyDescent="0.15">
      <c r="A15" s="314"/>
      <c r="B15" s="324"/>
      <c r="C15" s="324"/>
      <c r="D15" s="324"/>
      <c r="E15" s="322"/>
      <c r="F15" s="324"/>
      <c r="G15" s="324"/>
      <c r="H15" s="324"/>
      <c r="I15" s="329"/>
      <c r="J15" s="323"/>
      <c r="K15" s="264"/>
      <c r="L15" s="307"/>
      <c r="M15" s="331"/>
      <c r="O15" s="330"/>
    </row>
    <row r="16" spans="1:15" s="304" customFormat="1" ht="21" customHeight="1" x14ac:dyDescent="0.15">
      <c r="A16" s="309" t="s">
        <v>1014</v>
      </c>
      <c r="B16" s="324">
        <v>35061324</v>
      </c>
      <c r="C16" s="324">
        <v>23102472</v>
      </c>
      <c r="D16" s="324">
        <v>11958852</v>
      </c>
      <c r="E16" s="322">
        <v>34.1</v>
      </c>
      <c r="F16" s="324">
        <v>18485259</v>
      </c>
      <c r="G16" s="324">
        <v>12195488</v>
      </c>
      <c r="H16" s="324">
        <v>6289771</v>
      </c>
      <c r="I16" s="329">
        <v>37.270000000000003</v>
      </c>
      <c r="J16" s="329">
        <v>1.36</v>
      </c>
      <c r="K16" s="312" t="s">
        <v>1015</v>
      </c>
      <c r="L16" s="307"/>
      <c r="M16" s="328"/>
      <c r="N16" s="307"/>
    </row>
    <row r="17" spans="1:15" s="304" customFormat="1" ht="21" customHeight="1" x14ac:dyDescent="0.15">
      <c r="A17" s="309" t="s">
        <v>1016</v>
      </c>
      <c r="B17" s="308">
        <v>32843712</v>
      </c>
      <c r="C17" s="308">
        <v>22418650</v>
      </c>
      <c r="D17" s="308">
        <v>10425062</v>
      </c>
      <c r="E17" s="322">
        <v>31.7</v>
      </c>
      <c r="F17" s="308">
        <v>18047296</v>
      </c>
      <c r="G17" s="308">
        <v>12312548</v>
      </c>
      <c r="H17" s="308">
        <v>5734748</v>
      </c>
      <c r="I17" s="329">
        <v>36.96</v>
      </c>
      <c r="J17" s="329">
        <v>1.41</v>
      </c>
      <c r="K17" s="313" t="s">
        <v>420</v>
      </c>
      <c r="L17" s="307"/>
      <c r="M17" s="328"/>
      <c r="N17" s="307"/>
    </row>
    <row r="18" spans="1:15" s="304" customFormat="1" ht="21" customHeight="1" x14ac:dyDescent="0.15">
      <c r="A18" s="309" t="s">
        <v>1017</v>
      </c>
      <c r="B18" s="308">
        <v>32755936</v>
      </c>
      <c r="C18" s="308">
        <v>21527545</v>
      </c>
      <c r="D18" s="308">
        <v>11228391</v>
      </c>
      <c r="E18" s="322">
        <v>34.299999999999997</v>
      </c>
      <c r="F18" s="308">
        <v>17544340</v>
      </c>
      <c r="G18" s="308">
        <v>11535176</v>
      </c>
      <c r="H18" s="308">
        <v>6009164</v>
      </c>
      <c r="I18" s="329">
        <v>36.76</v>
      </c>
      <c r="J18" s="329">
        <v>1.43</v>
      </c>
      <c r="K18" s="313" t="s">
        <v>421</v>
      </c>
      <c r="L18" s="307"/>
      <c r="M18" s="328"/>
      <c r="N18" s="307"/>
    </row>
    <row r="19" spans="1:15" s="304" customFormat="1" ht="21" customHeight="1" x14ac:dyDescent="0.15">
      <c r="A19" s="309" t="s">
        <v>1018</v>
      </c>
      <c r="B19" s="308">
        <v>34376277</v>
      </c>
      <c r="C19" s="308">
        <v>23483011</v>
      </c>
      <c r="D19" s="308">
        <v>10893266</v>
      </c>
      <c r="E19" s="322">
        <v>31.7</v>
      </c>
      <c r="F19" s="308">
        <v>16822073</v>
      </c>
      <c r="G19" s="308">
        <v>11489201</v>
      </c>
      <c r="H19" s="308">
        <v>5332872</v>
      </c>
      <c r="I19" s="329">
        <v>36.82</v>
      </c>
      <c r="J19" s="329">
        <v>1.42</v>
      </c>
      <c r="K19" s="313" t="s">
        <v>422</v>
      </c>
      <c r="L19" s="307"/>
      <c r="M19" s="328"/>
      <c r="N19" s="307"/>
    </row>
    <row r="20" spans="1:15" s="304" customFormat="1" ht="21" customHeight="1" x14ac:dyDescent="0.15">
      <c r="A20" s="309" t="s">
        <v>1019</v>
      </c>
      <c r="B20" s="324">
        <v>36317579</v>
      </c>
      <c r="C20" s="324">
        <v>24012776</v>
      </c>
      <c r="D20" s="324">
        <v>12304803</v>
      </c>
      <c r="E20" s="322">
        <v>33.9</v>
      </c>
      <c r="F20" s="308">
        <v>18005507</v>
      </c>
      <c r="G20" s="324">
        <v>11886871</v>
      </c>
      <c r="H20" s="324">
        <v>6118636</v>
      </c>
      <c r="I20" s="323">
        <v>36.479999999999997</v>
      </c>
      <c r="J20" s="323">
        <v>1.49</v>
      </c>
      <c r="K20" s="312" t="s">
        <v>1020</v>
      </c>
      <c r="L20" s="307"/>
      <c r="M20" s="328"/>
      <c r="N20" s="307"/>
    </row>
    <row r="21" spans="1:15" s="304" customFormat="1" ht="21" customHeight="1" x14ac:dyDescent="0.15">
      <c r="A21" s="311"/>
      <c r="B21" s="324"/>
      <c r="C21" s="324"/>
      <c r="D21" s="324"/>
      <c r="E21" s="322"/>
      <c r="F21" s="324"/>
      <c r="G21" s="324"/>
      <c r="H21" s="324"/>
      <c r="I21" s="323"/>
      <c r="J21" s="323"/>
      <c r="K21" s="264"/>
      <c r="L21" s="307"/>
      <c r="M21" s="266"/>
    </row>
    <row r="22" spans="1:15" s="304" customFormat="1" ht="21" customHeight="1" x14ac:dyDescent="0.15">
      <c r="A22" s="309" t="s">
        <v>1021</v>
      </c>
      <c r="B22" s="324">
        <v>11974244</v>
      </c>
      <c r="C22" s="324">
        <v>7754127</v>
      </c>
      <c r="D22" s="324">
        <v>4220117</v>
      </c>
      <c r="E22" s="322">
        <v>35.200000000000003</v>
      </c>
      <c r="F22" s="324">
        <v>6407790</v>
      </c>
      <c r="G22" s="324">
        <v>4161997</v>
      </c>
      <c r="H22" s="324">
        <v>2245793</v>
      </c>
      <c r="I22" s="323">
        <v>37.11</v>
      </c>
      <c r="J22" s="323">
        <v>1.38</v>
      </c>
      <c r="K22" s="310" t="s">
        <v>1022</v>
      </c>
      <c r="L22" s="307"/>
      <c r="M22" s="321"/>
      <c r="N22" s="327"/>
      <c r="O22" s="327"/>
    </row>
    <row r="23" spans="1:15" s="304" customFormat="1" ht="21" customHeight="1" x14ac:dyDescent="0.15">
      <c r="A23" s="309" t="s">
        <v>332</v>
      </c>
      <c r="B23" s="324">
        <v>11278671</v>
      </c>
      <c r="C23" s="324">
        <v>7099635</v>
      </c>
      <c r="D23" s="324">
        <v>4179036</v>
      </c>
      <c r="E23" s="322">
        <v>37.1</v>
      </c>
      <c r="F23" s="324">
        <v>5907775</v>
      </c>
      <c r="G23" s="324">
        <v>3732340</v>
      </c>
      <c r="H23" s="324">
        <v>2175435</v>
      </c>
      <c r="I23" s="323">
        <v>37.28</v>
      </c>
      <c r="J23" s="323">
        <v>1.35</v>
      </c>
      <c r="K23" s="228" t="s">
        <v>397</v>
      </c>
      <c r="L23" s="307"/>
      <c r="M23" s="321"/>
      <c r="N23" s="327"/>
      <c r="O23" s="327"/>
    </row>
    <row r="24" spans="1:15" s="304" customFormat="1" ht="21" customHeight="1" x14ac:dyDescent="0.15">
      <c r="A24" s="309" t="s">
        <v>331</v>
      </c>
      <c r="B24" s="324">
        <v>11808409</v>
      </c>
      <c r="C24" s="324">
        <v>8248710</v>
      </c>
      <c r="D24" s="324">
        <v>3559699</v>
      </c>
      <c r="E24" s="322">
        <v>30.1</v>
      </c>
      <c r="F24" s="324">
        <v>6169694</v>
      </c>
      <c r="G24" s="324">
        <v>4301151</v>
      </c>
      <c r="H24" s="324">
        <v>1868543</v>
      </c>
      <c r="I24" s="323">
        <v>37.42</v>
      </c>
      <c r="J24" s="323">
        <v>1.34</v>
      </c>
      <c r="K24" s="228" t="s">
        <v>398</v>
      </c>
      <c r="L24" s="307"/>
      <c r="M24" s="321"/>
      <c r="N24" s="327"/>
      <c r="O24" s="327"/>
    </row>
    <row r="25" spans="1:15" s="304" customFormat="1" ht="21" customHeight="1" x14ac:dyDescent="0.15">
      <c r="A25" s="309" t="s">
        <v>340</v>
      </c>
      <c r="B25" s="324">
        <v>12514358</v>
      </c>
      <c r="C25" s="324">
        <v>8078154</v>
      </c>
      <c r="D25" s="324">
        <v>4436204</v>
      </c>
      <c r="E25" s="322">
        <v>35.4</v>
      </c>
      <c r="F25" s="324">
        <v>6752673</v>
      </c>
      <c r="G25" s="324">
        <v>4375502</v>
      </c>
      <c r="H25" s="324">
        <v>2377171</v>
      </c>
      <c r="I25" s="323">
        <v>36.89</v>
      </c>
      <c r="J25" s="323">
        <v>1.42</v>
      </c>
      <c r="K25" s="228" t="s">
        <v>399</v>
      </c>
      <c r="L25" s="307"/>
      <c r="M25" s="321"/>
      <c r="N25" s="307"/>
    </row>
    <row r="26" spans="1:15" s="304" customFormat="1" ht="21" customHeight="1" x14ac:dyDescent="0.15">
      <c r="A26" s="309" t="s">
        <v>555</v>
      </c>
      <c r="B26" s="308">
        <v>10401717</v>
      </c>
      <c r="C26" s="324">
        <v>7145063</v>
      </c>
      <c r="D26" s="308">
        <v>3256654</v>
      </c>
      <c r="E26" s="322">
        <v>31.3</v>
      </c>
      <c r="F26" s="308">
        <v>5813072</v>
      </c>
      <c r="G26" s="324">
        <v>3968988</v>
      </c>
      <c r="H26" s="308">
        <v>1844084</v>
      </c>
      <c r="I26" s="326">
        <v>37.090000000000003</v>
      </c>
      <c r="J26" s="323">
        <v>1.39</v>
      </c>
      <c r="K26" s="228" t="s">
        <v>407</v>
      </c>
      <c r="L26" s="307"/>
      <c r="M26" s="321"/>
      <c r="N26" s="307"/>
    </row>
    <row r="27" spans="1:15" s="304" customFormat="1" ht="21" customHeight="1" x14ac:dyDescent="0.15">
      <c r="A27" s="309" t="s">
        <v>339</v>
      </c>
      <c r="B27" s="324">
        <v>9927637</v>
      </c>
      <c r="C27" s="324">
        <v>7195433</v>
      </c>
      <c r="D27" s="324">
        <v>2732204</v>
      </c>
      <c r="E27" s="322">
        <v>27.5</v>
      </c>
      <c r="F27" s="324">
        <v>5481551</v>
      </c>
      <c r="G27" s="324">
        <v>3968058</v>
      </c>
      <c r="H27" s="324">
        <v>1513493</v>
      </c>
      <c r="I27" s="323">
        <v>36.92</v>
      </c>
      <c r="J27" s="323">
        <v>1.42</v>
      </c>
      <c r="K27" s="228" t="s">
        <v>400</v>
      </c>
      <c r="L27" s="307"/>
      <c r="M27" s="321"/>
      <c r="N27" s="307"/>
    </row>
    <row r="28" spans="1:15" s="304" customFormat="1" ht="21" customHeight="1" x14ac:dyDescent="0.15">
      <c r="A28" s="309" t="s">
        <v>338</v>
      </c>
      <c r="B28" s="324">
        <v>10050845</v>
      </c>
      <c r="C28" s="324">
        <v>6801003</v>
      </c>
      <c r="D28" s="324">
        <v>3249842</v>
      </c>
      <c r="E28" s="322">
        <v>32.299999999999997</v>
      </c>
      <c r="F28" s="324">
        <v>5533671</v>
      </c>
      <c r="G28" s="324">
        <v>3757336</v>
      </c>
      <c r="H28" s="324">
        <v>1776335</v>
      </c>
      <c r="I28" s="323">
        <v>36.54</v>
      </c>
      <c r="J28" s="323">
        <v>1.46</v>
      </c>
      <c r="K28" s="228" t="s">
        <v>401</v>
      </c>
      <c r="L28" s="307"/>
      <c r="M28" s="321"/>
      <c r="N28" s="307"/>
    </row>
    <row r="29" spans="1:15" s="304" customFormat="1" ht="21" customHeight="1" x14ac:dyDescent="0.15">
      <c r="A29" s="309" t="s">
        <v>337</v>
      </c>
      <c r="B29" s="324">
        <v>11137837</v>
      </c>
      <c r="C29" s="324">
        <v>7159947</v>
      </c>
      <c r="D29" s="324">
        <v>3977890</v>
      </c>
      <c r="E29" s="322">
        <v>35.700000000000003</v>
      </c>
      <c r="F29" s="324">
        <v>6092799</v>
      </c>
      <c r="G29" s="324">
        <v>3906386</v>
      </c>
      <c r="H29" s="324">
        <v>2186413</v>
      </c>
      <c r="I29" s="323">
        <v>36.89</v>
      </c>
      <c r="J29" s="323">
        <v>1.4</v>
      </c>
      <c r="K29" s="228" t="s">
        <v>402</v>
      </c>
      <c r="L29" s="307"/>
      <c r="M29" s="321"/>
      <c r="N29" s="307"/>
    </row>
    <row r="30" spans="1:15" s="304" customFormat="1" ht="21" customHeight="1" x14ac:dyDescent="0.15">
      <c r="A30" s="309" t="s">
        <v>336</v>
      </c>
      <c r="B30" s="324">
        <v>11567254</v>
      </c>
      <c r="C30" s="324">
        <v>7566595</v>
      </c>
      <c r="D30" s="324">
        <v>4000659</v>
      </c>
      <c r="E30" s="322">
        <v>34.6</v>
      </c>
      <c r="F30" s="324">
        <v>5917870</v>
      </c>
      <c r="G30" s="324">
        <v>3871454</v>
      </c>
      <c r="H30" s="324">
        <v>2046416</v>
      </c>
      <c r="I30" s="323">
        <v>36.82</v>
      </c>
      <c r="J30" s="323">
        <v>1.43</v>
      </c>
      <c r="K30" s="228" t="s">
        <v>403</v>
      </c>
      <c r="L30" s="307"/>
      <c r="M30" s="321"/>
      <c r="N30" s="307"/>
    </row>
    <row r="31" spans="1:15" s="304" customFormat="1" ht="21" customHeight="1" x14ac:dyDescent="0.15">
      <c r="A31" s="309" t="s">
        <v>335</v>
      </c>
      <c r="B31" s="324">
        <v>10560374</v>
      </c>
      <c r="C31" s="324">
        <v>7755377</v>
      </c>
      <c r="D31" s="324">
        <v>2804997</v>
      </c>
      <c r="E31" s="322">
        <v>26.6</v>
      </c>
      <c r="F31" s="324">
        <v>5275902</v>
      </c>
      <c r="G31" s="324">
        <v>3881434</v>
      </c>
      <c r="H31" s="324">
        <v>1394468</v>
      </c>
      <c r="I31" s="323">
        <v>37.049999999999997</v>
      </c>
      <c r="J31" s="323">
        <v>1.39</v>
      </c>
      <c r="K31" s="228" t="s">
        <v>404</v>
      </c>
      <c r="L31" s="307"/>
      <c r="M31" s="321"/>
      <c r="N31" s="307"/>
    </row>
    <row r="32" spans="1:15" s="304" customFormat="1" ht="21" customHeight="1" x14ac:dyDescent="0.15">
      <c r="A32" s="309" t="s">
        <v>334</v>
      </c>
      <c r="B32" s="324">
        <v>11298459</v>
      </c>
      <c r="C32" s="324">
        <v>7987375</v>
      </c>
      <c r="D32" s="324">
        <v>3311084</v>
      </c>
      <c r="E32" s="322">
        <v>29.3</v>
      </c>
      <c r="F32" s="324">
        <v>5530554</v>
      </c>
      <c r="G32" s="324">
        <v>3902152</v>
      </c>
      <c r="H32" s="324">
        <v>1628402</v>
      </c>
      <c r="I32" s="323">
        <v>36.450000000000003</v>
      </c>
      <c r="J32" s="323">
        <v>1.48</v>
      </c>
      <c r="K32" s="228" t="s">
        <v>405</v>
      </c>
      <c r="L32" s="307"/>
      <c r="M32" s="321"/>
      <c r="N32" s="307"/>
    </row>
    <row r="33" spans="1:21" s="304" customFormat="1" ht="21" customHeight="1" x14ac:dyDescent="0.15">
      <c r="A33" s="309" t="s">
        <v>333</v>
      </c>
      <c r="B33" s="325">
        <v>12517444</v>
      </c>
      <c r="C33" s="324">
        <v>7740259</v>
      </c>
      <c r="D33" s="324">
        <v>4777185</v>
      </c>
      <c r="E33" s="322">
        <v>38.200000000000003</v>
      </c>
      <c r="F33" s="324">
        <v>6015617</v>
      </c>
      <c r="G33" s="324">
        <v>3705615</v>
      </c>
      <c r="H33" s="324">
        <v>2310002</v>
      </c>
      <c r="I33" s="323">
        <v>36.96</v>
      </c>
      <c r="J33" s="323">
        <v>1.4</v>
      </c>
      <c r="K33" s="228" t="s">
        <v>406</v>
      </c>
      <c r="L33" s="307"/>
      <c r="M33" s="321"/>
      <c r="N33" s="307"/>
    </row>
    <row r="34" spans="1:21" s="304" customFormat="1" ht="21" customHeight="1" x14ac:dyDescent="0.15">
      <c r="A34" s="309" t="s">
        <v>1023</v>
      </c>
      <c r="B34" s="325">
        <v>13173054</v>
      </c>
      <c r="C34" s="324">
        <v>8411756</v>
      </c>
      <c r="D34" s="324">
        <v>4761298</v>
      </c>
      <c r="E34" s="322">
        <v>36.1</v>
      </c>
      <c r="F34" s="324">
        <v>6374686</v>
      </c>
      <c r="G34" s="324">
        <v>4055634</v>
      </c>
      <c r="H34" s="324">
        <v>2319052</v>
      </c>
      <c r="I34" s="323">
        <v>36.65</v>
      </c>
      <c r="J34" s="323">
        <v>1.44</v>
      </c>
      <c r="K34" s="310" t="s">
        <v>1024</v>
      </c>
      <c r="L34" s="307"/>
      <c r="M34" s="321"/>
      <c r="N34" s="307"/>
    </row>
    <row r="35" spans="1:21" s="304" customFormat="1" ht="21" customHeight="1" x14ac:dyDescent="0.15">
      <c r="A35" s="309" t="s">
        <v>332</v>
      </c>
      <c r="B35" s="325">
        <v>10700327</v>
      </c>
      <c r="C35" s="324">
        <v>7362107</v>
      </c>
      <c r="D35" s="324">
        <v>3338220</v>
      </c>
      <c r="E35" s="322">
        <v>31.2</v>
      </c>
      <c r="F35" s="324">
        <v>5423081</v>
      </c>
      <c r="G35" s="324">
        <v>3735308</v>
      </c>
      <c r="H35" s="324">
        <v>1687773</v>
      </c>
      <c r="I35" s="323">
        <v>36.21</v>
      </c>
      <c r="J35" s="323">
        <v>1.55</v>
      </c>
      <c r="K35" s="228" t="s">
        <v>397</v>
      </c>
      <c r="L35" s="307"/>
      <c r="M35" s="321"/>
      <c r="N35" s="307"/>
    </row>
    <row r="36" spans="1:21" s="304" customFormat="1" ht="21" customHeight="1" x14ac:dyDescent="0.15">
      <c r="A36" s="898" t="s">
        <v>331</v>
      </c>
      <c r="B36" s="899">
        <v>12444198</v>
      </c>
      <c r="C36" s="623">
        <v>8238913</v>
      </c>
      <c r="D36" s="623">
        <v>4205285</v>
      </c>
      <c r="E36" s="322">
        <v>33.799999999999997</v>
      </c>
      <c r="F36" s="623">
        <v>6207740</v>
      </c>
      <c r="G36" s="623">
        <v>4095929</v>
      </c>
      <c r="H36" s="623">
        <v>2111811</v>
      </c>
      <c r="I36" s="624">
        <v>36.520000000000003</v>
      </c>
      <c r="J36" s="624">
        <v>1.48</v>
      </c>
      <c r="K36" s="900" t="s">
        <v>423</v>
      </c>
      <c r="L36" s="307"/>
      <c r="M36" s="321"/>
      <c r="N36" s="307"/>
    </row>
    <row r="37" spans="1:21" ht="15.75" customHeight="1" x14ac:dyDescent="0.15">
      <c r="A37" s="901" t="s">
        <v>1025</v>
      </c>
      <c r="B37" s="902"/>
      <c r="C37" s="902"/>
      <c r="D37" s="902"/>
      <c r="E37" s="902"/>
      <c r="F37" s="902"/>
      <c r="G37" s="902"/>
      <c r="H37" s="902"/>
      <c r="I37" s="902"/>
      <c r="J37" s="902"/>
      <c r="K37" s="320"/>
    </row>
    <row r="38" spans="1:21" ht="15.75" customHeight="1" x14ac:dyDescent="0.15">
      <c r="A38" s="543" t="s">
        <v>1026</v>
      </c>
      <c r="B38" s="319"/>
      <c r="C38" s="319"/>
      <c r="D38" s="319"/>
      <c r="E38" s="319"/>
      <c r="F38" s="319"/>
      <c r="G38" s="319"/>
      <c r="H38" s="319"/>
      <c r="I38" s="319"/>
      <c r="J38" s="319"/>
      <c r="K38" s="319"/>
    </row>
    <row r="39" spans="1:21" ht="14.25" x14ac:dyDescent="0.15">
      <c r="K39" s="319"/>
    </row>
    <row r="41" spans="1:21" ht="39.950000000000003" customHeight="1" x14ac:dyDescent="0.15"/>
    <row r="42" spans="1:21" s="304" customFormat="1" ht="20.100000000000001" customHeight="1" x14ac:dyDescent="0.15">
      <c r="L42" s="318" t="s">
        <v>814</v>
      </c>
      <c r="M42" s="317"/>
      <c r="N42" s="317"/>
      <c r="O42" s="317"/>
      <c r="P42" s="317"/>
      <c r="Q42" s="317"/>
      <c r="R42" s="903" t="s">
        <v>1027</v>
      </c>
      <c r="S42" s="904"/>
    </row>
    <row r="43" spans="1:21" s="304" customFormat="1" ht="66" customHeight="1" x14ac:dyDescent="0.15">
      <c r="L43" s="1041" t="s">
        <v>502</v>
      </c>
      <c r="M43" s="905" t="s">
        <v>503</v>
      </c>
      <c r="N43" s="906" t="s">
        <v>344</v>
      </c>
      <c r="O43" s="907" t="s">
        <v>556</v>
      </c>
      <c r="P43" s="908" t="s">
        <v>424</v>
      </c>
      <c r="Q43" s="909" t="s">
        <v>425</v>
      </c>
      <c r="R43" s="895" t="s">
        <v>426</v>
      </c>
      <c r="S43" s="1078" t="s">
        <v>504</v>
      </c>
    </row>
    <row r="44" spans="1:21" s="304" customFormat="1" ht="32.1" customHeight="1" x14ac:dyDescent="0.15">
      <c r="L44" s="1042"/>
      <c r="M44" s="625" t="s">
        <v>48</v>
      </c>
      <c r="N44" s="626" t="s">
        <v>343</v>
      </c>
      <c r="O44" s="626" t="s">
        <v>342</v>
      </c>
      <c r="P44" s="622" t="s">
        <v>427</v>
      </c>
      <c r="Q44" s="622" t="s">
        <v>341</v>
      </c>
      <c r="R44" s="622" t="s">
        <v>428</v>
      </c>
      <c r="S44" s="1101"/>
    </row>
    <row r="45" spans="1:21" s="304" customFormat="1" ht="20.25" customHeight="1" x14ac:dyDescent="0.15">
      <c r="L45" s="309" t="s">
        <v>1003</v>
      </c>
      <c r="M45" s="308">
        <v>143879667</v>
      </c>
      <c r="N45" s="308">
        <v>940992</v>
      </c>
      <c r="O45" s="308">
        <v>919745</v>
      </c>
      <c r="P45" s="308">
        <v>3927179</v>
      </c>
      <c r="Q45" s="308">
        <v>130335045</v>
      </c>
      <c r="R45" s="308">
        <v>7756706</v>
      </c>
      <c r="S45" s="312" t="s">
        <v>876</v>
      </c>
      <c r="U45" s="307"/>
    </row>
    <row r="46" spans="1:21" s="304" customFormat="1" ht="20.25" customHeight="1" x14ac:dyDescent="0.15">
      <c r="L46" s="309" t="s">
        <v>1005</v>
      </c>
      <c r="M46" s="308">
        <v>144662684</v>
      </c>
      <c r="N46" s="308">
        <v>631863</v>
      </c>
      <c r="O46" s="308">
        <v>466094</v>
      </c>
      <c r="P46" s="308">
        <v>3323962</v>
      </c>
      <c r="Q46" s="308">
        <v>133913027</v>
      </c>
      <c r="R46" s="308">
        <v>6327738</v>
      </c>
      <c r="S46" s="312" t="s">
        <v>558</v>
      </c>
      <c r="U46" s="307"/>
    </row>
    <row r="47" spans="1:21" s="304" customFormat="1" ht="20.25" customHeight="1" x14ac:dyDescent="0.15">
      <c r="L47" s="309" t="s">
        <v>1007</v>
      </c>
      <c r="M47" s="308">
        <v>158641580</v>
      </c>
      <c r="N47" s="308">
        <v>427809</v>
      </c>
      <c r="O47" s="308">
        <v>1793766</v>
      </c>
      <c r="P47" s="308">
        <v>3686105</v>
      </c>
      <c r="Q47" s="308">
        <v>146335498</v>
      </c>
      <c r="R47" s="308">
        <v>6398402</v>
      </c>
      <c r="S47" s="312" t="s">
        <v>683</v>
      </c>
      <c r="U47" s="307"/>
    </row>
    <row r="48" spans="1:21" s="304" customFormat="1" ht="20.25" customHeight="1" x14ac:dyDescent="0.15">
      <c r="L48" s="309" t="s">
        <v>1009</v>
      </c>
      <c r="M48" s="308">
        <v>147661066</v>
      </c>
      <c r="N48" s="308">
        <v>872048</v>
      </c>
      <c r="O48" s="308">
        <v>197571</v>
      </c>
      <c r="P48" s="308">
        <v>1977955</v>
      </c>
      <c r="Q48" s="308">
        <v>137624529</v>
      </c>
      <c r="R48" s="308">
        <v>6988963</v>
      </c>
      <c r="S48" s="312" t="s">
        <v>785</v>
      </c>
      <c r="U48" s="307"/>
    </row>
    <row r="49" spans="12:21" s="304" customFormat="1" ht="20.25" customHeight="1" x14ac:dyDescent="0.15">
      <c r="L49" s="309" t="s">
        <v>1011</v>
      </c>
      <c r="M49" s="308">
        <v>135037249</v>
      </c>
      <c r="N49" s="308">
        <v>1691054</v>
      </c>
      <c r="O49" s="308">
        <v>1525282</v>
      </c>
      <c r="P49" s="308">
        <v>287871</v>
      </c>
      <c r="Q49" s="308">
        <v>123696977</v>
      </c>
      <c r="R49" s="308">
        <v>7836065</v>
      </c>
      <c r="S49" s="312" t="s">
        <v>833</v>
      </c>
      <c r="T49" s="307"/>
      <c r="U49" s="307"/>
    </row>
    <row r="50" spans="12:21" s="304" customFormat="1" ht="20.25" customHeight="1" x14ac:dyDescent="0.15">
      <c r="L50" s="316"/>
      <c r="M50" s="308"/>
      <c r="N50" s="308"/>
      <c r="O50" s="308"/>
      <c r="P50" s="308"/>
      <c r="Q50" s="308"/>
      <c r="R50" s="308"/>
      <c r="S50" s="313"/>
      <c r="T50" s="307"/>
      <c r="U50" s="307"/>
    </row>
    <row r="51" spans="12:21" s="304" customFormat="1" ht="20.25" customHeight="1" x14ac:dyDescent="0.15">
      <c r="L51" s="309" t="s">
        <v>1012</v>
      </c>
      <c r="M51" s="308">
        <v>144801793</v>
      </c>
      <c r="N51" s="308">
        <v>1971697</v>
      </c>
      <c r="O51" s="308">
        <v>177470</v>
      </c>
      <c r="P51" s="308">
        <v>1369760</v>
      </c>
      <c r="Q51" s="308">
        <v>134004955</v>
      </c>
      <c r="R51" s="308">
        <v>7277911</v>
      </c>
      <c r="S51" s="312" t="s">
        <v>786</v>
      </c>
      <c r="U51" s="307"/>
    </row>
    <row r="52" spans="12:21" s="304" customFormat="1" ht="20.25" customHeight="1" x14ac:dyDescent="0.15">
      <c r="L52" s="315" t="s">
        <v>1011</v>
      </c>
      <c r="M52" s="308">
        <v>136293504</v>
      </c>
      <c r="N52" s="308">
        <v>574023</v>
      </c>
      <c r="O52" s="308">
        <v>1612658</v>
      </c>
      <c r="P52" s="308">
        <v>452633</v>
      </c>
      <c r="Q52" s="308">
        <v>125810186</v>
      </c>
      <c r="R52" s="308">
        <v>7844004</v>
      </c>
      <c r="S52" s="312" t="s">
        <v>836</v>
      </c>
      <c r="T52" s="307"/>
      <c r="U52" s="307"/>
    </row>
    <row r="53" spans="12:21" s="304" customFormat="1" ht="20.25" customHeight="1" x14ac:dyDescent="0.15">
      <c r="L53" s="314"/>
      <c r="M53" s="308"/>
      <c r="N53" s="308"/>
      <c r="O53" s="308"/>
      <c r="P53" s="308"/>
      <c r="Q53" s="308"/>
      <c r="R53" s="308"/>
      <c r="S53" s="264"/>
      <c r="U53" s="307"/>
    </row>
    <row r="54" spans="12:21" s="304" customFormat="1" ht="20.25" customHeight="1" x14ac:dyDescent="0.15">
      <c r="L54" s="309" t="s">
        <v>1014</v>
      </c>
      <c r="M54" s="308">
        <v>35061324</v>
      </c>
      <c r="N54" s="308">
        <v>1276268</v>
      </c>
      <c r="O54" s="308" t="s">
        <v>796</v>
      </c>
      <c r="P54" s="308">
        <v>77147</v>
      </c>
      <c r="Q54" s="308">
        <v>31671627</v>
      </c>
      <c r="R54" s="308">
        <v>2036282</v>
      </c>
      <c r="S54" s="312" t="s">
        <v>1028</v>
      </c>
      <c r="T54" s="307"/>
      <c r="U54" s="307"/>
    </row>
    <row r="55" spans="12:21" s="304" customFormat="1" ht="20.25" customHeight="1" x14ac:dyDescent="0.15">
      <c r="L55" s="309" t="s">
        <v>1016</v>
      </c>
      <c r="M55" s="308">
        <v>32843712</v>
      </c>
      <c r="N55" s="308">
        <v>365860</v>
      </c>
      <c r="O55" s="308">
        <v>327161</v>
      </c>
      <c r="P55" s="308">
        <v>31587</v>
      </c>
      <c r="Q55" s="308">
        <v>30444674</v>
      </c>
      <c r="R55" s="308">
        <v>1674430</v>
      </c>
      <c r="S55" s="313" t="s">
        <v>1029</v>
      </c>
      <c r="T55" s="307"/>
      <c r="U55" s="307"/>
    </row>
    <row r="56" spans="12:21" s="304" customFormat="1" ht="20.25" customHeight="1" x14ac:dyDescent="0.15">
      <c r="L56" s="309" t="s">
        <v>1017</v>
      </c>
      <c r="M56" s="308">
        <v>32755936</v>
      </c>
      <c r="N56" s="308">
        <v>41977</v>
      </c>
      <c r="O56" s="308">
        <v>969958</v>
      </c>
      <c r="P56" s="308">
        <v>103655</v>
      </c>
      <c r="Q56" s="308">
        <v>30003258</v>
      </c>
      <c r="R56" s="308">
        <v>1637088</v>
      </c>
      <c r="S56" s="313" t="s">
        <v>1030</v>
      </c>
      <c r="T56" s="307"/>
      <c r="U56" s="307"/>
    </row>
    <row r="57" spans="12:21" s="304" customFormat="1" ht="20.25" customHeight="1" x14ac:dyDescent="0.15">
      <c r="L57" s="309" t="s">
        <v>1018</v>
      </c>
      <c r="M57" s="308">
        <v>34376277</v>
      </c>
      <c r="N57" s="308">
        <v>6949</v>
      </c>
      <c r="O57" s="308">
        <v>228163</v>
      </c>
      <c r="P57" s="308">
        <v>75482</v>
      </c>
      <c r="Q57" s="308">
        <v>31577418</v>
      </c>
      <c r="R57" s="308">
        <v>2488265</v>
      </c>
      <c r="S57" s="313" t="s">
        <v>1031</v>
      </c>
      <c r="T57" s="307"/>
      <c r="U57" s="307"/>
    </row>
    <row r="58" spans="12:21" s="304" customFormat="1" ht="20.25" customHeight="1" x14ac:dyDescent="0.15">
      <c r="L58" s="309" t="s">
        <v>1019</v>
      </c>
      <c r="M58" s="308">
        <v>36317579</v>
      </c>
      <c r="N58" s="308">
        <v>159237</v>
      </c>
      <c r="O58" s="308">
        <v>87376</v>
      </c>
      <c r="P58" s="308">
        <v>241909</v>
      </c>
      <c r="Q58" s="308">
        <v>33784836</v>
      </c>
      <c r="R58" s="308">
        <v>2044221</v>
      </c>
      <c r="S58" s="312" t="s">
        <v>1032</v>
      </c>
      <c r="T58" s="307"/>
      <c r="U58" s="307"/>
    </row>
    <row r="59" spans="12:21" s="304" customFormat="1" ht="20.25" customHeight="1" x14ac:dyDescent="0.15">
      <c r="L59" s="311"/>
      <c r="M59" s="308"/>
      <c r="N59" s="308"/>
      <c r="O59" s="308"/>
      <c r="P59" s="308"/>
      <c r="Q59" s="17"/>
      <c r="R59" s="308"/>
      <c r="S59" s="264"/>
      <c r="U59" s="307"/>
    </row>
    <row r="60" spans="12:21" s="304" customFormat="1" ht="20.25" customHeight="1" x14ac:dyDescent="0.15">
      <c r="L60" s="309" t="s">
        <v>1021</v>
      </c>
      <c r="M60" s="308">
        <v>11974244</v>
      </c>
      <c r="N60" s="308">
        <v>346085</v>
      </c>
      <c r="O60" s="308" t="s">
        <v>796</v>
      </c>
      <c r="P60" s="308">
        <v>42827</v>
      </c>
      <c r="Q60" s="308">
        <v>10943465</v>
      </c>
      <c r="R60" s="308">
        <v>641867</v>
      </c>
      <c r="S60" s="310" t="s">
        <v>788</v>
      </c>
      <c r="T60" s="307"/>
      <c r="U60" s="307"/>
    </row>
    <row r="61" spans="12:21" s="304" customFormat="1" ht="20.25" customHeight="1" x14ac:dyDescent="0.15">
      <c r="L61" s="309" t="s">
        <v>332</v>
      </c>
      <c r="M61" s="308">
        <v>11278671</v>
      </c>
      <c r="N61" s="308">
        <v>304658</v>
      </c>
      <c r="O61" s="308" t="s">
        <v>796</v>
      </c>
      <c r="P61" s="308" t="s">
        <v>796</v>
      </c>
      <c r="Q61" s="308">
        <v>10256183</v>
      </c>
      <c r="R61" s="308">
        <v>717830</v>
      </c>
      <c r="S61" s="228" t="s">
        <v>66</v>
      </c>
      <c r="T61" s="307"/>
      <c r="U61" s="307"/>
    </row>
    <row r="62" spans="12:21" s="304" customFormat="1" ht="20.25" customHeight="1" x14ac:dyDescent="0.15">
      <c r="L62" s="309" t="s">
        <v>331</v>
      </c>
      <c r="M62" s="308">
        <v>11808409</v>
      </c>
      <c r="N62" s="308">
        <v>625525</v>
      </c>
      <c r="O62" s="308" t="s">
        <v>796</v>
      </c>
      <c r="P62" s="308">
        <v>34320</v>
      </c>
      <c r="Q62" s="308">
        <v>10471979</v>
      </c>
      <c r="R62" s="308">
        <v>676585</v>
      </c>
      <c r="S62" s="228" t="s">
        <v>67</v>
      </c>
      <c r="T62" s="307"/>
      <c r="U62" s="307"/>
    </row>
    <row r="63" spans="12:21" s="304" customFormat="1" ht="20.25" customHeight="1" x14ac:dyDescent="0.15">
      <c r="L63" s="309" t="s">
        <v>340</v>
      </c>
      <c r="M63" s="308">
        <v>12514358</v>
      </c>
      <c r="N63" s="308">
        <v>204363</v>
      </c>
      <c r="O63" s="308" t="s">
        <v>796</v>
      </c>
      <c r="P63" s="308" t="s">
        <v>796</v>
      </c>
      <c r="Q63" s="308">
        <v>11775259</v>
      </c>
      <c r="R63" s="308">
        <v>534736</v>
      </c>
      <c r="S63" s="228" t="s">
        <v>68</v>
      </c>
      <c r="T63" s="307"/>
      <c r="U63" s="307"/>
    </row>
    <row r="64" spans="12:21" s="304" customFormat="1" ht="20.25" customHeight="1" x14ac:dyDescent="0.15">
      <c r="L64" s="309" t="s">
        <v>555</v>
      </c>
      <c r="M64" s="308">
        <v>10401717</v>
      </c>
      <c r="N64" s="308">
        <v>159792</v>
      </c>
      <c r="O64" s="308">
        <v>189479</v>
      </c>
      <c r="P64" s="308">
        <v>14134</v>
      </c>
      <c r="Q64" s="308">
        <v>9489374</v>
      </c>
      <c r="R64" s="308">
        <v>548938</v>
      </c>
      <c r="S64" s="228" t="s">
        <v>81</v>
      </c>
      <c r="T64" s="307"/>
      <c r="U64" s="307"/>
    </row>
    <row r="65" spans="3:21" s="304" customFormat="1" ht="20.25" customHeight="1" x14ac:dyDescent="0.15">
      <c r="L65" s="309" t="s">
        <v>339</v>
      </c>
      <c r="M65" s="308">
        <v>9927637</v>
      </c>
      <c r="N65" s="308">
        <v>1705</v>
      </c>
      <c r="O65" s="308">
        <v>137682</v>
      </c>
      <c r="P65" s="308">
        <v>17453</v>
      </c>
      <c r="Q65" s="308">
        <v>9180041</v>
      </c>
      <c r="R65" s="308">
        <v>590756</v>
      </c>
      <c r="S65" s="228" t="s">
        <v>82</v>
      </c>
      <c r="T65" s="307"/>
      <c r="U65" s="307"/>
    </row>
    <row r="66" spans="3:21" s="304" customFormat="1" ht="20.25" customHeight="1" x14ac:dyDescent="0.15">
      <c r="L66" s="309" t="s">
        <v>338</v>
      </c>
      <c r="M66" s="308">
        <v>10050845</v>
      </c>
      <c r="N66" s="308" t="s">
        <v>796</v>
      </c>
      <c r="O66" s="308">
        <v>16136</v>
      </c>
      <c r="P66" s="308">
        <v>16833</v>
      </c>
      <c r="Q66" s="308">
        <v>9427308</v>
      </c>
      <c r="R66" s="308">
        <v>590568</v>
      </c>
      <c r="S66" s="228" t="s">
        <v>83</v>
      </c>
      <c r="T66" s="307"/>
      <c r="U66" s="307"/>
    </row>
    <row r="67" spans="3:21" s="304" customFormat="1" ht="20.25" customHeight="1" x14ac:dyDescent="0.15">
      <c r="L67" s="309" t="s">
        <v>337</v>
      </c>
      <c r="M67" s="308">
        <v>11137837</v>
      </c>
      <c r="N67" s="308" t="s">
        <v>796</v>
      </c>
      <c r="O67" s="308">
        <v>332141</v>
      </c>
      <c r="P67" s="308">
        <v>75067</v>
      </c>
      <c r="Q67" s="308">
        <v>10385102</v>
      </c>
      <c r="R67" s="308">
        <v>345527</v>
      </c>
      <c r="S67" s="228" t="s">
        <v>84</v>
      </c>
      <c r="T67" s="307"/>
      <c r="U67" s="307"/>
    </row>
    <row r="68" spans="3:21" s="304" customFormat="1" ht="20.25" customHeight="1" x14ac:dyDescent="0.15">
      <c r="L68" s="309" t="s">
        <v>336</v>
      </c>
      <c r="M68" s="308">
        <v>11567254</v>
      </c>
      <c r="N68" s="308">
        <v>41977</v>
      </c>
      <c r="O68" s="308">
        <v>621681</v>
      </c>
      <c r="P68" s="308">
        <v>11755</v>
      </c>
      <c r="Q68" s="308">
        <v>10190848</v>
      </c>
      <c r="R68" s="308">
        <v>700993</v>
      </c>
      <c r="S68" s="228" t="s">
        <v>85</v>
      </c>
      <c r="T68" s="307"/>
      <c r="U68" s="307"/>
    </row>
    <row r="69" spans="3:21" s="304" customFormat="1" ht="20.25" customHeight="1" x14ac:dyDescent="0.15">
      <c r="L69" s="309" t="s">
        <v>335</v>
      </c>
      <c r="M69" s="308">
        <v>10560374</v>
      </c>
      <c r="N69" s="308">
        <v>2145</v>
      </c>
      <c r="O69" s="308">
        <v>19858</v>
      </c>
      <c r="P69" s="308">
        <v>26961</v>
      </c>
      <c r="Q69" s="308">
        <v>9588730</v>
      </c>
      <c r="R69" s="308">
        <v>922680</v>
      </c>
      <c r="S69" s="228" t="s">
        <v>69</v>
      </c>
      <c r="T69" s="307"/>
      <c r="U69" s="307"/>
    </row>
    <row r="70" spans="3:21" s="304" customFormat="1" ht="20.25" customHeight="1" x14ac:dyDescent="0.15">
      <c r="L70" s="309" t="s">
        <v>334</v>
      </c>
      <c r="M70" s="308">
        <v>11298459</v>
      </c>
      <c r="N70" s="308">
        <v>3403</v>
      </c>
      <c r="O70" s="308">
        <v>195859</v>
      </c>
      <c r="P70" s="308" t="s">
        <v>796</v>
      </c>
      <c r="Q70" s="308">
        <v>10256560</v>
      </c>
      <c r="R70" s="308">
        <v>842637</v>
      </c>
      <c r="S70" s="228" t="s">
        <v>70</v>
      </c>
      <c r="T70" s="307"/>
      <c r="U70" s="307"/>
    </row>
    <row r="71" spans="3:21" s="304" customFormat="1" ht="20.25" customHeight="1" x14ac:dyDescent="0.15">
      <c r="L71" s="309" t="s">
        <v>333</v>
      </c>
      <c r="M71" s="308">
        <v>12517444</v>
      </c>
      <c r="N71" s="308">
        <v>1401</v>
      </c>
      <c r="O71" s="308">
        <v>12446</v>
      </c>
      <c r="P71" s="308">
        <v>48521</v>
      </c>
      <c r="Q71" s="308">
        <v>11732128</v>
      </c>
      <c r="R71" s="308">
        <v>722948</v>
      </c>
      <c r="S71" s="228" t="s">
        <v>71</v>
      </c>
      <c r="T71" s="307"/>
      <c r="U71" s="307"/>
    </row>
    <row r="72" spans="3:21" s="304" customFormat="1" ht="20.25" customHeight="1" x14ac:dyDescent="0.15">
      <c r="L72" s="309" t="s">
        <v>1023</v>
      </c>
      <c r="M72" s="308">
        <v>13173054</v>
      </c>
      <c r="N72" s="308" t="s">
        <v>796</v>
      </c>
      <c r="O72" s="308" t="s">
        <v>796</v>
      </c>
      <c r="P72" s="308">
        <v>35991</v>
      </c>
      <c r="Q72" s="308">
        <v>12493100</v>
      </c>
      <c r="R72" s="308">
        <v>643963</v>
      </c>
      <c r="S72" s="310" t="s">
        <v>842</v>
      </c>
      <c r="T72" s="307"/>
      <c r="U72" s="307"/>
    </row>
    <row r="73" spans="3:21" s="304" customFormat="1" ht="20.25" customHeight="1" x14ac:dyDescent="0.15">
      <c r="L73" s="309" t="s">
        <v>332</v>
      </c>
      <c r="M73" s="308">
        <v>10700327</v>
      </c>
      <c r="N73" s="308">
        <v>107880</v>
      </c>
      <c r="O73" s="308">
        <v>87376</v>
      </c>
      <c r="P73" s="308" t="s">
        <v>796</v>
      </c>
      <c r="Q73" s="308">
        <v>9750240</v>
      </c>
      <c r="R73" s="308">
        <v>754831</v>
      </c>
      <c r="S73" s="228" t="s">
        <v>66</v>
      </c>
      <c r="T73" s="307"/>
      <c r="U73" s="307"/>
    </row>
    <row r="74" spans="3:21" s="304" customFormat="1" ht="20.25" customHeight="1" x14ac:dyDescent="0.15">
      <c r="L74" s="898" t="s">
        <v>331</v>
      </c>
      <c r="M74" s="627">
        <v>12444198</v>
      </c>
      <c r="N74" s="627">
        <v>51357</v>
      </c>
      <c r="O74" s="627" t="s">
        <v>796</v>
      </c>
      <c r="P74" s="627">
        <v>205918</v>
      </c>
      <c r="Q74" s="627">
        <v>11541496</v>
      </c>
      <c r="R74" s="627">
        <v>645427</v>
      </c>
      <c r="S74" s="900" t="s">
        <v>67</v>
      </c>
      <c r="T74" s="307"/>
      <c r="U74" s="307"/>
    </row>
    <row r="75" spans="3:21" s="304" customFormat="1" ht="18" customHeight="1" x14ac:dyDescent="0.15">
      <c r="L75" s="901" t="s">
        <v>1025</v>
      </c>
    </row>
    <row r="76" spans="3:21" s="304" customFormat="1" ht="18" customHeight="1" x14ac:dyDescent="0.15">
      <c r="L76" s="543" t="s">
        <v>1026</v>
      </c>
      <c r="M76" s="306"/>
      <c r="N76" s="305"/>
      <c r="P76" s="305"/>
      <c r="Q76" s="305"/>
    </row>
    <row r="77" spans="3:21" x14ac:dyDescent="0.15">
      <c r="C77" s="303"/>
      <c r="D77" s="303"/>
      <c r="E77" s="303"/>
      <c r="F77" s="303"/>
      <c r="G77" s="303"/>
      <c r="H77" s="303"/>
      <c r="I77" s="303"/>
    </row>
    <row r="78" spans="3:21" x14ac:dyDescent="0.15">
      <c r="C78" s="303"/>
      <c r="E78" s="303"/>
      <c r="F78" s="303"/>
      <c r="G78" s="303"/>
      <c r="H78" s="303"/>
      <c r="I78" s="303"/>
    </row>
    <row r="79" spans="3:21" x14ac:dyDescent="0.15">
      <c r="C79" s="303"/>
    </row>
  </sheetData>
  <mergeCells count="7">
    <mergeCell ref="S43:S44"/>
    <mergeCell ref="A4:A6"/>
    <mergeCell ref="B4:E4"/>
    <mergeCell ref="I4:I5"/>
    <mergeCell ref="J4:J5"/>
    <mergeCell ref="K4:K6"/>
    <mergeCell ref="L43:L44"/>
  </mergeCells>
  <phoneticPr fontId="34"/>
  <pageMargins left="0.59055118110236227" right="0.59055118110236227" top="0.59055118110236227" bottom="0.59055118110236227" header="0.51181102362204722" footer="0.51181102362204722"/>
  <pageSetup paperSize="9" scale="92" orientation="portrait" r:id="rId1"/>
  <headerFooter alignWithMargins="0"/>
  <rowBreaks count="1" manualBreakCount="1">
    <brk id="3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1FCB-31B4-479E-81C6-A2C092BB01D1}">
  <dimension ref="A1:R50"/>
  <sheetViews>
    <sheetView view="pageBreakPreview" zoomScaleNormal="100" zoomScaleSheetLayoutView="100" workbookViewId="0"/>
  </sheetViews>
  <sheetFormatPr defaultColWidth="8" defaultRowHeight="12" x14ac:dyDescent="0.15"/>
  <cols>
    <col min="1" max="1" width="8" style="20" customWidth="1"/>
    <col min="2" max="2" width="11.875" style="20" customWidth="1"/>
    <col min="3" max="3" width="8.25" style="20" customWidth="1"/>
    <col min="4" max="4" width="5.125" style="20" customWidth="1"/>
    <col min="5" max="6" width="8.25" style="20" customWidth="1"/>
    <col min="7" max="7" width="6.375" style="20" customWidth="1"/>
    <col min="8" max="9" width="5.125" style="20" customWidth="1"/>
    <col min="10" max="10" width="0.875" style="20" customWidth="1"/>
    <col min="11" max="11" width="14.625" style="20" customWidth="1"/>
    <col min="12" max="12" width="5" style="20" customWidth="1"/>
    <col min="13" max="13" width="8" style="20" customWidth="1"/>
    <col min="14" max="14" width="17.75" style="20" bestFit="1" customWidth="1"/>
    <col min="15" max="15" width="8.25" style="20" bestFit="1" customWidth="1"/>
    <col min="16" max="16" width="10.5" style="20" bestFit="1" customWidth="1"/>
    <col min="17" max="17" width="10.25" style="20" bestFit="1" customWidth="1"/>
    <col min="18" max="18" width="12.75" style="20" bestFit="1" customWidth="1"/>
    <col min="19" max="19" width="13" style="20" bestFit="1" customWidth="1"/>
    <col min="20" max="20" width="8.375" style="20" bestFit="1" customWidth="1"/>
    <col min="21" max="21" width="10.5" style="20" bestFit="1" customWidth="1"/>
    <col min="22" max="23" width="8" style="20" customWidth="1"/>
    <col min="24" max="24" width="13.25" style="20" customWidth="1"/>
    <col min="25" max="16384" width="8" style="20"/>
  </cols>
  <sheetData>
    <row r="1" spans="1:14" s="317" customFormat="1" ht="20.100000000000001" customHeight="1" x14ac:dyDescent="0.15">
      <c r="A1" s="318" t="s">
        <v>1033</v>
      </c>
      <c r="B1" s="20"/>
      <c r="C1" s="159"/>
      <c r="D1" s="159"/>
      <c r="E1" s="159"/>
      <c r="F1" s="159"/>
    </row>
    <row r="2" spans="1:14" s="317" customFormat="1" ht="20.100000000000001" customHeight="1" x14ac:dyDescent="0.15">
      <c r="A2" s="318" t="s">
        <v>1034</v>
      </c>
      <c r="B2" s="20"/>
      <c r="C2" s="159"/>
      <c r="D2" s="159"/>
      <c r="E2" s="159"/>
      <c r="F2" s="159"/>
    </row>
    <row r="3" spans="1:14" s="304" customFormat="1" ht="28.15" customHeight="1" x14ac:dyDescent="0.15">
      <c r="A3" s="844"/>
      <c r="B3" s="749" t="s">
        <v>357</v>
      </c>
      <c r="C3" s="1112" t="s">
        <v>1035</v>
      </c>
      <c r="D3" s="1113"/>
      <c r="E3" s="1113"/>
      <c r="F3" s="1113"/>
      <c r="G3" s="1114"/>
      <c r="H3" s="896" t="s">
        <v>505</v>
      </c>
      <c r="I3" s="896" t="s">
        <v>662</v>
      </c>
      <c r="J3" s="1115" t="s">
        <v>663</v>
      </c>
      <c r="K3" s="1116"/>
    </row>
    <row r="4" spans="1:14" s="304" customFormat="1" ht="28.15" customHeight="1" x14ac:dyDescent="0.15">
      <c r="A4" s="540"/>
      <c r="B4" s="529"/>
      <c r="C4" s="358" t="s">
        <v>49</v>
      </c>
      <c r="D4" s="910" t="s">
        <v>540</v>
      </c>
      <c r="E4" s="911" t="s">
        <v>664</v>
      </c>
      <c r="F4" s="911" t="s">
        <v>414</v>
      </c>
      <c r="G4" s="912" t="s">
        <v>665</v>
      </c>
      <c r="H4" s="360" t="s">
        <v>506</v>
      </c>
      <c r="I4" s="359" t="s">
        <v>666</v>
      </c>
      <c r="J4" s="1117"/>
      <c r="K4" s="1118"/>
    </row>
    <row r="5" spans="1:14" s="304" customFormat="1" ht="28.15" customHeight="1" x14ac:dyDescent="0.15">
      <c r="A5" s="516" t="s">
        <v>358</v>
      </c>
      <c r="B5" s="539"/>
      <c r="C5" s="358" t="s">
        <v>48</v>
      </c>
      <c r="D5" s="357" t="s">
        <v>1036</v>
      </c>
      <c r="E5" s="913" t="s">
        <v>417</v>
      </c>
      <c r="F5" s="914" t="s">
        <v>418</v>
      </c>
      <c r="G5" s="356" t="s">
        <v>507</v>
      </c>
      <c r="H5" s="355" t="s">
        <v>1037</v>
      </c>
      <c r="I5" s="355" t="s">
        <v>667</v>
      </c>
      <c r="J5" s="1119"/>
      <c r="K5" s="1120"/>
    </row>
    <row r="6" spans="1:14" s="304" customFormat="1" ht="9.75" customHeight="1" x14ac:dyDescent="0.15">
      <c r="A6" s="844"/>
      <c r="B6" s="883"/>
      <c r="C6" s="915"/>
      <c r="D6" s="916"/>
      <c r="E6" s="917"/>
      <c r="F6" s="918"/>
      <c r="G6" s="919"/>
      <c r="H6" s="919"/>
      <c r="I6" s="919"/>
      <c r="J6" s="346"/>
      <c r="K6" s="25"/>
    </row>
    <row r="7" spans="1:14" s="304" customFormat="1" ht="20.25" customHeight="1" x14ac:dyDescent="0.15">
      <c r="A7" s="354" t="s">
        <v>362</v>
      </c>
      <c r="B7" s="345"/>
      <c r="C7" s="308">
        <v>135037249</v>
      </c>
      <c r="D7" s="353">
        <v>100</v>
      </c>
      <c r="E7" s="308">
        <v>90531678</v>
      </c>
      <c r="F7" s="308">
        <v>44505571</v>
      </c>
      <c r="G7" s="361">
        <v>32.950000000000003</v>
      </c>
      <c r="H7" s="350">
        <v>36.96</v>
      </c>
      <c r="I7" s="350">
        <v>1.4</v>
      </c>
      <c r="J7" s="344" t="s">
        <v>48</v>
      </c>
      <c r="K7" s="25"/>
      <c r="M7" s="307"/>
      <c r="N7" s="307"/>
    </row>
    <row r="8" spans="1:14" s="304" customFormat="1" ht="18" customHeight="1" x14ac:dyDescent="0.15">
      <c r="A8" s="1121"/>
      <c r="B8" s="1122"/>
      <c r="C8" s="308"/>
      <c r="D8" s="353"/>
      <c r="E8" s="308"/>
      <c r="F8" s="308"/>
      <c r="G8" s="361"/>
      <c r="H8" s="350"/>
      <c r="I8" s="350"/>
      <c r="J8" s="344"/>
      <c r="K8" s="25"/>
      <c r="N8" s="307"/>
    </row>
    <row r="9" spans="1:14" s="304" customFormat="1" ht="18" customHeight="1" x14ac:dyDescent="0.15">
      <c r="A9" s="1121" t="s">
        <v>681</v>
      </c>
      <c r="B9" s="1122"/>
      <c r="C9" s="308">
        <v>275158</v>
      </c>
      <c r="D9" s="353">
        <v>0.2</v>
      </c>
      <c r="E9" s="308" t="s">
        <v>796</v>
      </c>
      <c r="F9" s="308">
        <v>275158</v>
      </c>
      <c r="G9" s="361">
        <v>100</v>
      </c>
      <c r="H9" s="350">
        <v>40.340000000000003</v>
      </c>
      <c r="I9" s="350">
        <v>0.05</v>
      </c>
      <c r="J9" s="344"/>
      <c r="K9" s="25" t="s">
        <v>34</v>
      </c>
      <c r="N9" s="307"/>
    </row>
    <row r="10" spans="1:14" s="304" customFormat="1" ht="18" customHeight="1" x14ac:dyDescent="0.15">
      <c r="A10" s="1121" t="s">
        <v>24</v>
      </c>
      <c r="B10" s="1122"/>
      <c r="C10" s="308">
        <v>53226120</v>
      </c>
      <c r="D10" s="353">
        <v>39.409999999999997</v>
      </c>
      <c r="E10" s="308">
        <v>50016646</v>
      </c>
      <c r="F10" s="308">
        <v>3209474</v>
      </c>
      <c r="G10" s="361">
        <v>6.02</v>
      </c>
      <c r="H10" s="350">
        <v>35.520000000000003</v>
      </c>
      <c r="I10" s="350">
        <v>1.7</v>
      </c>
      <c r="J10" s="344"/>
      <c r="K10" s="25" t="s">
        <v>29</v>
      </c>
      <c r="N10" s="307"/>
    </row>
    <row r="11" spans="1:14" s="304" customFormat="1" ht="18" customHeight="1" x14ac:dyDescent="0.15">
      <c r="A11" s="1121" t="s">
        <v>25</v>
      </c>
      <c r="B11" s="1122"/>
      <c r="C11" s="308">
        <v>8978126</v>
      </c>
      <c r="D11" s="353">
        <v>6.64</v>
      </c>
      <c r="E11" s="308">
        <v>8978126</v>
      </c>
      <c r="F11" s="308" t="s">
        <v>796</v>
      </c>
      <c r="G11" s="361" t="s">
        <v>796</v>
      </c>
      <c r="H11" s="350">
        <v>31.23</v>
      </c>
      <c r="I11" s="350">
        <v>2.56</v>
      </c>
      <c r="J11" s="344"/>
      <c r="K11" s="25" t="s">
        <v>30</v>
      </c>
      <c r="N11" s="307"/>
    </row>
    <row r="12" spans="1:14" s="304" customFormat="1" ht="18" customHeight="1" x14ac:dyDescent="0.15">
      <c r="A12" s="1121" t="s">
        <v>26</v>
      </c>
      <c r="B12" s="1122"/>
      <c r="C12" s="308">
        <v>5285335</v>
      </c>
      <c r="D12" s="353">
        <v>3.91</v>
      </c>
      <c r="E12" s="308">
        <v>3253076</v>
      </c>
      <c r="F12" s="308">
        <v>2032259</v>
      </c>
      <c r="G12" s="361">
        <v>38.450000000000003</v>
      </c>
      <c r="H12" s="350">
        <v>37.21</v>
      </c>
      <c r="I12" s="350">
        <v>1.59</v>
      </c>
      <c r="J12" s="344"/>
      <c r="K12" s="25" t="s">
        <v>31</v>
      </c>
      <c r="N12" s="307"/>
    </row>
    <row r="13" spans="1:14" s="304" customFormat="1" ht="18" customHeight="1" x14ac:dyDescent="0.15">
      <c r="A13" s="1121" t="s">
        <v>51</v>
      </c>
      <c r="B13" s="1122"/>
      <c r="C13" s="308">
        <v>59795687</v>
      </c>
      <c r="D13" s="353">
        <v>44.28</v>
      </c>
      <c r="E13" s="308">
        <v>26229228</v>
      </c>
      <c r="F13" s="308">
        <v>33566459</v>
      </c>
      <c r="G13" s="361">
        <v>56.13</v>
      </c>
      <c r="H13" s="350">
        <v>39.46</v>
      </c>
      <c r="I13" s="350">
        <v>1</v>
      </c>
      <c r="J13" s="344"/>
      <c r="K13" s="25" t="s">
        <v>57</v>
      </c>
      <c r="N13" s="307"/>
    </row>
    <row r="14" spans="1:14" s="304" customFormat="1" ht="18" customHeight="1" x14ac:dyDescent="0.15">
      <c r="A14" s="1121" t="s">
        <v>65</v>
      </c>
      <c r="B14" s="1122"/>
      <c r="C14" s="308">
        <v>3300171</v>
      </c>
      <c r="D14" s="353">
        <v>2.44</v>
      </c>
      <c r="E14" s="308" t="s">
        <v>354</v>
      </c>
      <c r="F14" s="308" t="s">
        <v>354</v>
      </c>
      <c r="G14" s="361" t="s">
        <v>354</v>
      </c>
      <c r="H14" s="350">
        <v>42.63</v>
      </c>
      <c r="I14" s="350">
        <v>0.26</v>
      </c>
      <c r="J14" s="344"/>
      <c r="K14" s="25" t="s">
        <v>56</v>
      </c>
      <c r="N14" s="307"/>
    </row>
    <row r="15" spans="1:14" s="304" customFormat="1" ht="18" customHeight="1" x14ac:dyDescent="0.15">
      <c r="A15" s="1121" t="s">
        <v>13</v>
      </c>
      <c r="B15" s="1122"/>
      <c r="C15" s="308">
        <v>1676854</v>
      </c>
      <c r="D15" s="353">
        <v>1.24</v>
      </c>
      <c r="E15" s="308" t="s">
        <v>796</v>
      </c>
      <c r="F15" s="308">
        <v>1676854</v>
      </c>
      <c r="G15" s="361">
        <v>100</v>
      </c>
      <c r="H15" s="350">
        <v>17.48</v>
      </c>
      <c r="I15" s="350">
        <v>2.1</v>
      </c>
      <c r="J15" s="344"/>
      <c r="K15" s="25" t="s">
        <v>20</v>
      </c>
      <c r="N15" s="307"/>
    </row>
    <row r="16" spans="1:14" s="304" customFormat="1" ht="18" customHeight="1" x14ac:dyDescent="0.15">
      <c r="A16" s="1121" t="s">
        <v>52</v>
      </c>
      <c r="B16" s="1122"/>
      <c r="C16" s="308">
        <v>440816</v>
      </c>
      <c r="D16" s="353">
        <v>0.32</v>
      </c>
      <c r="E16" s="308" t="s">
        <v>354</v>
      </c>
      <c r="F16" s="308" t="s">
        <v>354</v>
      </c>
      <c r="G16" s="361" t="s">
        <v>354</v>
      </c>
      <c r="H16" s="350">
        <v>39.58</v>
      </c>
      <c r="I16" s="350">
        <v>7.0000000000000007E-2</v>
      </c>
      <c r="J16" s="344"/>
      <c r="K16" s="25" t="s">
        <v>46</v>
      </c>
      <c r="N16" s="307"/>
    </row>
    <row r="17" spans="1:14" ht="18" customHeight="1" x14ac:dyDescent="0.15">
      <c r="A17" s="1110" t="s">
        <v>353</v>
      </c>
      <c r="B17" s="1111"/>
      <c r="C17" s="627">
        <v>2058982</v>
      </c>
      <c r="D17" s="628">
        <v>1.52</v>
      </c>
      <c r="E17" s="627">
        <v>1741526</v>
      </c>
      <c r="F17" s="627">
        <v>317456</v>
      </c>
      <c r="G17" s="629">
        <v>15.41</v>
      </c>
      <c r="H17" s="630">
        <v>31.43</v>
      </c>
      <c r="I17" s="630">
        <v>1.65</v>
      </c>
      <c r="J17" s="921"/>
      <c r="K17" s="849" t="s">
        <v>352</v>
      </c>
      <c r="M17" s="307"/>
      <c r="N17" s="307"/>
    </row>
    <row r="18" spans="1:14" s="304" customFormat="1" ht="18" customHeight="1" x14ac:dyDescent="0.15">
      <c r="A18" s="543" t="s">
        <v>1038</v>
      </c>
      <c r="B18" s="340"/>
      <c r="C18" s="339"/>
      <c r="D18" s="339"/>
      <c r="E18" s="25"/>
      <c r="F18" s="25"/>
      <c r="G18" s="337"/>
      <c r="H18" s="336"/>
      <c r="I18" s="336"/>
      <c r="J18" s="335"/>
      <c r="K18" s="25"/>
      <c r="M18" s="307"/>
    </row>
    <row r="19" spans="1:14" s="304" customFormat="1" ht="18" customHeight="1" x14ac:dyDescent="0.15">
      <c r="A19" s="543" t="s">
        <v>1039</v>
      </c>
      <c r="B19" s="340"/>
      <c r="C19" s="339"/>
      <c r="D19" s="339"/>
      <c r="E19" s="25"/>
      <c r="F19" s="25"/>
      <c r="G19" s="337"/>
      <c r="H19" s="336"/>
      <c r="I19" s="336"/>
      <c r="J19" s="335"/>
      <c r="K19" s="25"/>
      <c r="M19" s="307"/>
    </row>
    <row r="20" spans="1:14" s="304" customFormat="1" ht="18" customHeight="1" x14ac:dyDescent="0.15">
      <c r="A20" s="543" t="s">
        <v>1040</v>
      </c>
      <c r="B20" s="340"/>
      <c r="C20" s="339"/>
      <c r="D20" s="339"/>
      <c r="E20" s="25"/>
      <c r="F20" s="25"/>
      <c r="G20" s="337"/>
      <c r="H20" s="336"/>
      <c r="I20" s="336"/>
      <c r="J20" s="335"/>
      <c r="K20" s="25"/>
      <c r="M20" s="307"/>
    </row>
    <row r="21" spans="1:14" s="304" customFormat="1" ht="18" customHeight="1" x14ac:dyDescent="0.15">
      <c r="A21" s="543" t="s">
        <v>1041</v>
      </c>
      <c r="B21" s="266"/>
      <c r="C21" s="266"/>
      <c r="D21" s="266"/>
      <c r="E21" s="266"/>
      <c r="F21" s="266"/>
      <c r="G21" s="337"/>
      <c r="H21" s="336"/>
      <c r="I21" s="336"/>
      <c r="J21" s="335"/>
      <c r="K21" s="25"/>
      <c r="M21" s="307"/>
    </row>
    <row r="22" spans="1:14" s="304" customFormat="1" ht="18" customHeight="1" x14ac:dyDescent="0.15">
      <c r="A22" s="543" t="s">
        <v>1042</v>
      </c>
      <c r="B22" s="266"/>
      <c r="C22" s="266"/>
      <c r="D22" s="266"/>
      <c r="E22" s="266"/>
      <c r="F22" s="266"/>
      <c r="G22" s="337"/>
      <c r="H22" s="336"/>
      <c r="I22" s="336"/>
      <c r="J22" s="335"/>
      <c r="K22" s="25"/>
      <c r="M22" s="307"/>
    </row>
    <row r="23" spans="1:14" s="304" customFormat="1" ht="18" customHeight="1" x14ac:dyDescent="0.15">
      <c r="A23" s="543" t="s">
        <v>1043</v>
      </c>
      <c r="B23" s="338"/>
      <c r="C23" s="338"/>
      <c r="D23" s="338"/>
      <c r="E23" s="338"/>
      <c r="F23" s="338"/>
      <c r="G23" s="337"/>
      <c r="H23" s="336"/>
      <c r="I23" s="336"/>
      <c r="J23" s="335"/>
      <c r="K23" s="25"/>
      <c r="M23" s="307"/>
    </row>
    <row r="24" spans="1:14" s="304" customFormat="1" ht="18" customHeight="1" x14ac:dyDescent="0.15">
      <c r="A24" s="338" t="s">
        <v>1044</v>
      </c>
      <c r="B24" s="338"/>
      <c r="C24" s="338"/>
      <c r="D24" s="338"/>
      <c r="E24" s="338"/>
      <c r="F24" s="338"/>
      <c r="G24" s="338"/>
      <c r="H24" s="338"/>
      <c r="I24" s="338"/>
      <c r="J24" s="335"/>
      <c r="K24" s="25"/>
      <c r="M24" s="307"/>
    </row>
    <row r="25" spans="1:14" s="304" customFormat="1" ht="20.25" customHeight="1" x14ac:dyDescent="0.15">
      <c r="A25" s="266"/>
      <c r="B25" s="266"/>
      <c r="C25" s="266"/>
      <c r="D25" s="266"/>
      <c r="E25" s="266"/>
      <c r="F25" s="266"/>
      <c r="G25" s="266"/>
      <c r="H25" s="266"/>
      <c r="I25" s="266"/>
      <c r="J25" s="266"/>
      <c r="K25" s="266"/>
    </row>
    <row r="26" spans="1:14" s="317" customFormat="1" ht="19.5" customHeight="1" x14ac:dyDescent="0.15">
      <c r="A26" s="318" t="s">
        <v>1045</v>
      </c>
      <c r="B26" s="20"/>
      <c r="C26" s="299"/>
      <c r="D26" s="299"/>
      <c r="E26" s="299"/>
      <c r="F26" s="299"/>
      <c r="G26" s="299"/>
      <c r="H26" s="299"/>
      <c r="I26" s="299"/>
      <c r="J26" s="299"/>
      <c r="K26" s="299"/>
    </row>
    <row r="27" spans="1:14" s="317" customFormat="1" ht="19.5" customHeight="1" x14ac:dyDescent="0.15">
      <c r="A27" s="318" t="s">
        <v>1046</v>
      </c>
      <c r="B27" s="20"/>
      <c r="C27" s="299"/>
      <c r="D27" s="299"/>
      <c r="E27" s="299"/>
      <c r="F27" s="299"/>
      <c r="G27" s="299"/>
      <c r="H27" s="299"/>
      <c r="I27" s="299"/>
      <c r="J27" s="299"/>
      <c r="K27" s="299"/>
    </row>
    <row r="28" spans="1:14" s="304" customFormat="1" ht="27.75" customHeight="1" x14ac:dyDescent="0.15">
      <c r="A28" s="844"/>
      <c r="B28" s="749" t="s">
        <v>357</v>
      </c>
      <c r="C28" s="1112" t="s">
        <v>1035</v>
      </c>
      <c r="D28" s="1113"/>
      <c r="E28" s="1113"/>
      <c r="F28" s="1113"/>
      <c r="G28" s="1114"/>
      <c r="H28" s="896" t="s">
        <v>505</v>
      </c>
      <c r="I28" s="896" t="s">
        <v>662</v>
      </c>
      <c r="J28" s="1115" t="s">
        <v>663</v>
      </c>
      <c r="K28" s="1116"/>
    </row>
    <row r="29" spans="1:14" s="304" customFormat="1" ht="27.75" customHeight="1" x14ac:dyDescent="0.15">
      <c r="A29" s="540"/>
      <c r="B29" s="529"/>
      <c r="C29" s="358" t="s">
        <v>49</v>
      </c>
      <c r="D29" s="910" t="s">
        <v>540</v>
      </c>
      <c r="E29" s="911" t="s">
        <v>664</v>
      </c>
      <c r="F29" s="911" t="s">
        <v>414</v>
      </c>
      <c r="G29" s="912" t="s">
        <v>665</v>
      </c>
      <c r="H29" s="360" t="s">
        <v>506</v>
      </c>
      <c r="I29" s="359" t="s">
        <v>666</v>
      </c>
      <c r="J29" s="1117"/>
      <c r="K29" s="1118"/>
    </row>
    <row r="30" spans="1:14" s="304" customFormat="1" ht="27.75" customHeight="1" x14ac:dyDescent="0.15">
      <c r="A30" s="516" t="s">
        <v>358</v>
      </c>
      <c r="B30" s="539"/>
      <c r="C30" s="358" t="s">
        <v>48</v>
      </c>
      <c r="D30" s="357" t="s">
        <v>1036</v>
      </c>
      <c r="E30" s="913" t="s">
        <v>417</v>
      </c>
      <c r="F30" s="914" t="s">
        <v>418</v>
      </c>
      <c r="G30" s="356" t="s">
        <v>507</v>
      </c>
      <c r="H30" s="355" t="s">
        <v>1037</v>
      </c>
      <c r="I30" s="355" t="s">
        <v>667</v>
      </c>
      <c r="J30" s="1119"/>
      <c r="K30" s="1120"/>
    </row>
    <row r="31" spans="1:14" s="304" customFormat="1" ht="9.75" customHeight="1" x14ac:dyDescent="0.15">
      <c r="A31" s="844"/>
      <c r="B31" s="883"/>
      <c r="C31" s="915"/>
      <c r="D31" s="916"/>
      <c r="E31" s="917"/>
      <c r="F31" s="918"/>
      <c r="G31" s="919"/>
      <c r="H31" s="919"/>
      <c r="I31" s="919"/>
      <c r="J31" s="346"/>
      <c r="K31" s="25"/>
    </row>
    <row r="32" spans="1:14" s="304" customFormat="1" ht="20.25" customHeight="1" x14ac:dyDescent="0.15">
      <c r="A32" s="354" t="s">
        <v>362</v>
      </c>
      <c r="B32" s="345"/>
      <c r="C32" s="308">
        <v>136293504</v>
      </c>
      <c r="D32" s="353">
        <v>100</v>
      </c>
      <c r="E32" s="308">
        <v>91441982</v>
      </c>
      <c r="F32" s="308">
        <v>44851522</v>
      </c>
      <c r="G32" s="353">
        <v>32.9</v>
      </c>
      <c r="H32" s="350">
        <v>36.75</v>
      </c>
      <c r="I32" s="350">
        <v>1.44</v>
      </c>
      <c r="J32" s="344" t="s">
        <v>48</v>
      </c>
      <c r="K32" s="25"/>
      <c r="M32" s="307"/>
      <c r="N32" s="307"/>
    </row>
    <row r="33" spans="1:18" s="304" customFormat="1" ht="18" customHeight="1" x14ac:dyDescent="0.15">
      <c r="A33" s="1123"/>
      <c r="B33" s="1124"/>
      <c r="C33" s="308"/>
      <c r="D33" s="353"/>
      <c r="E33" s="308"/>
      <c r="F33" s="308"/>
      <c r="G33" s="353"/>
      <c r="H33" s="350"/>
      <c r="I33" s="350"/>
      <c r="J33" s="335"/>
      <c r="K33" s="343"/>
      <c r="M33" s="307"/>
      <c r="N33" s="307"/>
    </row>
    <row r="34" spans="1:18" s="304" customFormat="1" ht="18" customHeight="1" x14ac:dyDescent="0.15">
      <c r="A34" s="1123" t="s">
        <v>24</v>
      </c>
      <c r="B34" s="1124"/>
      <c r="C34" s="308">
        <v>54677803</v>
      </c>
      <c r="D34" s="353">
        <v>40.11</v>
      </c>
      <c r="E34" s="308" t="s">
        <v>354</v>
      </c>
      <c r="F34" s="308" t="s">
        <v>354</v>
      </c>
      <c r="G34" s="353" t="s">
        <v>354</v>
      </c>
      <c r="H34" s="350">
        <v>35.25</v>
      </c>
      <c r="I34" s="350">
        <v>1.75</v>
      </c>
      <c r="J34" s="335"/>
      <c r="K34" s="343" t="s">
        <v>29</v>
      </c>
      <c r="M34" s="307"/>
      <c r="N34" s="307"/>
    </row>
    <row r="35" spans="1:18" s="304" customFormat="1" ht="18" customHeight="1" x14ac:dyDescent="0.15">
      <c r="A35" s="1123" t="s">
        <v>25</v>
      </c>
      <c r="B35" s="1124"/>
      <c r="C35" s="308">
        <v>8668850</v>
      </c>
      <c r="D35" s="353">
        <v>6.36</v>
      </c>
      <c r="E35" s="308">
        <v>8668850</v>
      </c>
      <c r="F35" s="308" t="s">
        <v>796</v>
      </c>
      <c r="G35" s="353" t="s">
        <v>796</v>
      </c>
      <c r="H35" s="350">
        <v>30.47</v>
      </c>
      <c r="I35" s="350">
        <v>2.64</v>
      </c>
      <c r="J35" s="335"/>
      <c r="K35" s="343" t="s">
        <v>30</v>
      </c>
      <c r="M35" s="307"/>
      <c r="N35" s="307"/>
    </row>
    <row r="36" spans="1:18" s="304" customFormat="1" ht="18" customHeight="1" x14ac:dyDescent="0.15">
      <c r="A36" s="1123" t="s">
        <v>26</v>
      </c>
      <c r="B36" s="1124"/>
      <c r="C36" s="308">
        <v>5632858</v>
      </c>
      <c r="D36" s="353">
        <v>4.13</v>
      </c>
      <c r="E36" s="308">
        <v>2943147</v>
      </c>
      <c r="F36" s="308">
        <v>2689711</v>
      </c>
      <c r="G36" s="353">
        <v>47.75</v>
      </c>
      <c r="H36" s="350">
        <v>36.54</v>
      </c>
      <c r="I36" s="350">
        <v>1.63</v>
      </c>
      <c r="J36" s="335"/>
      <c r="K36" s="343" t="s">
        <v>31</v>
      </c>
      <c r="M36" s="307"/>
      <c r="N36" s="307"/>
    </row>
    <row r="37" spans="1:18" s="304" customFormat="1" ht="18" customHeight="1" x14ac:dyDescent="0.15">
      <c r="A37" s="1123" t="s">
        <v>27</v>
      </c>
      <c r="B37" s="1124"/>
      <c r="C37" s="308">
        <v>1370994</v>
      </c>
      <c r="D37" s="353">
        <v>1</v>
      </c>
      <c r="E37" s="308" t="s">
        <v>354</v>
      </c>
      <c r="F37" s="308" t="s">
        <v>354</v>
      </c>
      <c r="G37" s="353" t="s">
        <v>354</v>
      </c>
      <c r="H37" s="350">
        <v>33.96</v>
      </c>
      <c r="I37" s="350">
        <v>1.2</v>
      </c>
      <c r="J37" s="335"/>
      <c r="K37" s="343" t="s">
        <v>32</v>
      </c>
      <c r="M37" s="307"/>
      <c r="N37" s="307"/>
    </row>
    <row r="38" spans="1:18" s="304" customFormat="1" ht="18" customHeight="1" x14ac:dyDescent="0.15">
      <c r="A38" s="1123" t="s">
        <v>51</v>
      </c>
      <c r="B38" s="1124"/>
      <c r="C38" s="308">
        <v>59480281</v>
      </c>
      <c r="D38" s="353">
        <v>43.64</v>
      </c>
      <c r="E38" s="308">
        <v>25431438</v>
      </c>
      <c r="F38" s="308">
        <v>34048843</v>
      </c>
      <c r="G38" s="353">
        <v>57.24</v>
      </c>
      <c r="H38" s="350">
        <v>39.51</v>
      </c>
      <c r="I38" s="350">
        <v>0.99</v>
      </c>
      <c r="J38" s="335"/>
      <c r="K38" s="343" t="s">
        <v>57</v>
      </c>
      <c r="M38" s="307"/>
      <c r="N38" s="307"/>
    </row>
    <row r="39" spans="1:18" s="304" customFormat="1" ht="18" customHeight="1" x14ac:dyDescent="0.15">
      <c r="A39" s="1123" t="s">
        <v>65</v>
      </c>
      <c r="B39" s="1124"/>
      <c r="C39" s="308">
        <v>2611407</v>
      </c>
      <c r="D39" s="353">
        <v>1.91</v>
      </c>
      <c r="E39" s="308" t="s">
        <v>354</v>
      </c>
      <c r="F39" s="308" t="s">
        <v>354</v>
      </c>
      <c r="G39" s="353" t="s">
        <v>354</v>
      </c>
      <c r="H39" s="350">
        <v>43.16</v>
      </c>
      <c r="I39" s="350">
        <v>0.23</v>
      </c>
      <c r="J39" s="335"/>
      <c r="K39" s="343" t="s">
        <v>56</v>
      </c>
      <c r="M39" s="307"/>
      <c r="N39" s="307"/>
    </row>
    <row r="40" spans="1:18" s="304" customFormat="1" ht="18" customHeight="1" x14ac:dyDescent="0.15">
      <c r="A40" s="1123" t="s">
        <v>13</v>
      </c>
      <c r="B40" s="1124"/>
      <c r="C40" s="308">
        <v>1654304</v>
      </c>
      <c r="D40" s="353">
        <v>1.21</v>
      </c>
      <c r="E40" s="308" t="s">
        <v>796</v>
      </c>
      <c r="F40" s="308">
        <v>1654304</v>
      </c>
      <c r="G40" s="353">
        <v>100</v>
      </c>
      <c r="H40" s="350">
        <v>17.29</v>
      </c>
      <c r="I40" s="350">
        <v>2.1</v>
      </c>
      <c r="J40" s="335"/>
      <c r="K40" s="343" t="s">
        <v>20</v>
      </c>
      <c r="M40" s="307"/>
      <c r="N40" s="307"/>
    </row>
    <row r="41" spans="1:18" s="304" customFormat="1" ht="18" customHeight="1" x14ac:dyDescent="0.15">
      <c r="A41" s="1123" t="s">
        <v>52</v>
      </c>
      <c r="B41" s="1124"/>
      <c r="C41" s="308">
        <v>546996</v>
      </c>
      <c r="D41" s="353">
        <v>0.4</v>
      </c>
      <c r="E41" s="308" t="s">
        <v>354</v>
      </c>
      <c r="F41" s="308" t="s">
        <v>354</v>
      </c>
      <c r="G41" s="353" t="s">
        <v>354</v>
      </c>
      <c r="H41" s="350">
        <v>41.51</v>
      </c>
      <c r="I41" s="350">
        <v>0.06</v>
      </c>
      <c r="J41" s="335"/>
      <c r="K41" s="343" t="s">
        <v>46</v>
      </c>
      <c r="M41" s="307"/>
      <c r="N41" s="307"/>
    </row>
    <row r="42" spans="1:18" ht="18" customHeight="1" x14ac:dyDescent="0.15">
      <c r="A42" s="1110" t="s">
        <v>353</v>
      </c>
      <c r="B42" s="1111"/>
      <c r="C42" s="627">
        <v>1650011</v>
      </c>
      <c r="D42" s="628">
        <v>1.21</v>
      </c>
      <c r="E42" s="627">
        <v>1274137</v>
      </c>
      <c r="F42" s="627">
        <v>375874</v>
      </c>
      <c r="G42" s="628">
        <v>22.78</v>
      </c>
      <c r="H42" s="630">
        <v>30.74</v>
      </c>
      <c r="I42" s="630">
        <v>1.87</v>
      </c>
      <c r="J42" s="921"/>
      <c r="K42" s="849" t="s">
        <v>352</v>
      </c>
    </row>
    <row r="43" spans="1:18" ht="18" customHeight="1" x14ac:dyDescent="0.15">
      <c r="A43" s="543" t="s">
        <v>1038</v>
      </c>
      <c r="B43" s="340"/>
      <c r="C43" s="339"/>
      <c r="D43" s="339"/>
      <c r="E43" s="25"/>
      <c r="F43" s="25"/>
      <c r="G43" s="337"/>
      <c r="H43" s="336"/>
      <c r="I43" s="336"/>
      <c r="J43" s="335"/>
      <c r="K43" s="25"/>
    </row>
    <row r="44" spans="1:18" ht="18" customHeight="1" x14ac:dyDescent="0.15">
      <c r="A44" s="543" t="s">
        <v>1039</v>
      </c>
      <c r="B44" s="340"/>
      <c r="C44" s="339"/>
      <c r="D44" s="339"/>
      <c r="E44" s="25"/>
      <c r="F44" s="25"/>
      <c r="G44" s="337"/>
      <c r="H44" s="336"/>
      <c r="I44" s="336"/>
      <c r="J44" s="335"/>
      <c r="K44" s="25"/>
    </row>
    <row r="45" spans="1:18" ht="18" customHeight="1" x14ac:dyDescent="0.15">
      <c r="A45" s="543" t="s">
        <v>1047</v>
      </c>
      <c r="B45" s="340"/>
      <c r="C45" s="339"/>
      <c r="D45" s="339"/>
      <c r="E45" s="25"/>
      <c r="F45" s="25"/>
      <c r="G45" s="337"/>
      <c r="H45" s="336"/>
      <c r="I45" s="336"/>
      <c r="J45" s="335"/>
      <c r="K45" s="25"/>
    </row>
    <row r="46" spans="1:18" ht="18" customHeight="1" x14ac:dyDescent="0.15">
      <c r="A46" s="543" t="s">
        <v>1041</v>
      </c>
      <c r="B46" s="266"/>
      <c r="C46" s="266"/>
      <c r="D46" s="266"/>
      <c r="E46" s="266"/>
      <c r="F46" s="266"/>
      <c r="G46" s="337"/>
      <c r="H46" s="336"/>
      <c r="I46" s="336"/>
      <c r="J46" s="335"/>
      <c r="K46" s="25"/>
    </row>
    <row r="47" spans="1:18" ht="18" customHeight="1" x14ac:dyDescent="0.15">
      <c r="A47" s="543" t="s">
        <v>1042</v>
      </c>
      <c r="B47" s="266"/>
      <c r="C47" s="266"/>
      <c r="D47" s="266"/>
      <c r="E47" s="266"/>
      <c r="F47" s="266"/>
      <c r="G47" s="337"/>
      <c r="H47" s="336"/>
      <c r="I47" s="336"/>
      <c r="J47" s="335"/>
      <c r="K47" s="25"/>
    </row>
    <row r="48" spans="1:18" ht="18" customHeight="1" x14ac:dyDescent="0.15">
      <c r="A48" s="543" t="s">
        <v>1048</v>
      </c>
      <c r="B48" s="338"/>
      <c r="C48" s="338"/>
      <c r="D48" s="338"/>
      <c r="E48" s="338"/>
      <c r="F48" s="338"/>
      <c r="G48" s="337"/>
      <c r="H48" s="336"/>
      <c r="I48" s="336"/>
      <c r="J48" s="335"/>
      <c r="K48" s="25"/>
      <c r="L48" s="542"/>
      <c r="M48" s="542"/>
      <c r="N48" s="542"/>
      <c r="O48" s="542"/>
      <c r="P48" s="542"/>
      <c r="Q48" s="542"/>
      <c r="R48" s="542"/>
    </row>
    <row r="49" spans="1:6" ht="18" customHeight="1" x14ac:dyDescent="0.15">
      <c r="A49" s="338" t="s">
        <v>668</v>
      </c>
      <c r="B49" s="338"/>
      <c r="C49" s="338"/>
      <c r="D49" s="338"/>
      <c r="E49" s="338"/>
      <c r="F49" s="338"/>
    </row>
    <row r="50" spans="1:6" ht="14.25" x14ac:dyDescent="0.15">
      <c r="E50" s="306"/>
    </row>
  </sheetData>
  <mergeCells count="24">
    <mergeCell ref="A42:B42"/>
    <mergeCell ref="C28:G28"/>
    <mergeCell ref="J28:K30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17:B17"/>
    <mergeCell ref="C3:G3"/>
    <mergeCell ref="J3:K5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</mergeCells>
  <phoneticPr fontId="34"/>
  <pageMargins left="0.59055118110236227" right="0.59055118110236227" top="0.59055118110236227" bottom="0.59055118110236227" header="0.51181102362204722" footer="0.51181102362204722"/>
  <pageSetup paperSize="9" scale="95" fitToWidth="0" fitToHeight="0" orientation="portrait" r:id="rId1"/>
  <headerFooter alignWithMargins="0"/>
  <rowBreaks count="1" manualBreakCount="1">
    <brk id="24" max="11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C6CEE-6555-49BA-9068-5A83DEA363E5}">
  <dimension ref="A1:K48"/>
  <sheetViews>
    <sheetView view="pageBreakPreview" zoomScaleNormal="25" zoomScaleSheetLayoutView="100" workbookViewId="0"/>
  </sheetViews>
  <sheetFormatPr defaultColWidth="8" defaultRowHeight="12" x14ac:dyDescent="0.15"/>
  <cols>
    <col min="1" max="1" width="18.25" style="20" customWidth="1"/>
    <col min="2" max="2" width="13.25" style="20" customWidth="1"/>
    <col min="3" max="4" width="14.625" style="20" customWidth="1"/>
    <col min="5" max="5" width="0.75" style="20" customWidth="1"/>
    <col min="6" max="6" width="24.375" style="20" customWidth="1"/>
    <col min="7" max="7" width="3.75" style="20" customWidth="1"/>
    <col min="8" max="8" width="10.5" style="20" customWidth="1"/>
    <col min="9" max="9" width="10.25" style="20" bestFit="1" customWidth="1"/>
    <col min="10" max="10" width="12.75" style="20" bestFit="1" customWidth="1"/>
    <col min="11" max="11" width="13" style="20" bestFit="1" customWidth="1"/>
    <col min="12" max="12" width="8.375" style="20" bestFit="1" customWidth="1"/>
    <col min="13" max="13" width="10.5" style="20" bestFit="1" customWidth="1"/>
    <col min="14" max="15" width="8" style="20" customWidth="1"/>
    <col min="16" max="16" width="13.25" style="20" customWidth="1"/>
    <col min="17" max="16384" width="8" style="20"/>
  </cols>
  <sheetData>
    <row r="1" spans="1:8" s="317" customFormat="1" ht="15" customHeight="1" x14ac:dyDescent="0.15">
      <c r="A1" s="318" t="s">
        <v>825</v>
      </c>
    </row>
    <row r="2" spans="1:8" s="304" customFormat="1" ht="12.95" customHeight="1" x14ac:dyDescent="0.15">
      <c r="A2" s="749" t="s">
        <v>357</v>
      </c>
      <c r="B2" s="1125" t="s">
        <v>669</v>
      </c>
      <c r="C2" s="1126"/>
      <c r="D2" s="1127"/>
      <c r="E2" s="1128" t="s">
        <v>671</v>
      </c>
      <c r="F2" s="1041"/>
    </row>
    <row r="3" spans="1:8" s="304" customFormat="1" ht="12.95" customHeight="1" x14ac:dyDescent="0.15">
      <c r="A3" s="529"/>
      <c r="B3" s="348" t="s">
        <v>176</v>
      </c>
      <c r="C3" s="893" t="s">
        <v>346</v>
      </c>
      <c r="D3" s="893" t="s">
        <v>345</v>
      </c>
      <c r="E3" s="1001"/>
      <c r="F3" s="1024"/>
    </row>
    <row r="4" spans="1:8" s="304" customFormat="1" ht="12.95" customHeight="1" x14ac:dyDescent="0.15">
      <c r="A4" s="347" t="s">
        <v>358</v>
      </c>
      <c r="B4" s="621" t="s">
        <v>670</v>
      </c>
      <c r="C4" s="626" t="s">
        <v>417</v>
      </c>
      <c r="D4" s="626" t="s">
        <v>418</v>
      </c>
      <c r="E4" s="1129"/>
      <c r="F4" s="1042"/>
    </row>
    <row r="5" spans="1:8" s="304" customFormat="1" ht="12.95" customHeight="1" x14ac:dyDescent="0.15">
      <c r="A5" s="883"/>
      <c r="B5" s="919"/>
      <c r="C5" s="919"/>
      <c r="D5" s="919"/>
      <c r="E5" s="346"/>
      <c r="F5" s="25"/>
    </row>
    <row r="6" spans="1:8" s="304" customFormat="1" ht="12.95" customHeight="1" x14ac:dyDescent="0.15">
      <c r="A6" s="345" t="s">
        <v>355</v>
      </c>
      <c r="B6" s="308">
        <v>70898968</v>
      </c>
      <c r="C6" s="308">
        <v>47532413</v>
      </c>
      <c r="D6" s="308">
        <v>23366555</v>
      </c>
      <c r="E6" s="344" t="s">
        <v>48</v>
      </c>
      <c r="F6" s="25"/>
      <c r="H6" s="307"/>
    </row>
    <row r="7" spans="1:8" s="304" customFormat="1" ht="12.95" customHeight="1" x14ac:dyDescent="0.15">
      <c r="A7" s="541"/>
      <c r="B7" s="308"/>
      <c r="C7" s="308"/>
      <c r="D7" s="308"/>
      <c r="E7" s="335"/>
      <c r="F7" s="343"/>
      <c r="H7" s="307"/>
    </row>
    <row r="8" spans="1:8" s="304" customFormat="1" ht="12.95" customHeight="1" x14ac:dyDescent="0.15">
      <c r="A8" s="541" t="s">
        <v>681</v>
      </c>
      <c r="B8" s="308">
        <v>156401</v>
      </c>
      <c r="C8" s="308" t="s">
        <v>796</v>
      </c>
      <c r="D8" s="308">
        <v>156401</v>
      </c>
      <c r="E8" s="335"/>
      <c r="F8" s="343" t="s">
        <v>34</v>
      </c>
      <c r="H8" s="307"/>
    </row>
    <row r="9" spans="1:8" s="304" customFormat="1" ht="12.95" customHeight="1" x14ac:dyDescent="0.15">
      <c r="A9" s="541" t="s">
        <v>24</v>
      </c>
      <c r="B9" s="308">
        <v>27853248</v>
      </c>
      <c r="C9" s="308">
        <v>26208553</v>
      </c>
      <c r="D9" s="308">
        <v>1644695</v>
      </c>
      <c r="E9" s="335"/>
      <c r="F9" s="343" t="s">
        <v>29</v>
      </c>
      <c r="H9" s="307"/>
    </row>
    <row r="10" spans="1:8" s="304" customFormat="1" ht="12.95" customHeight="1" x14ac:dyDescent="0.15">
      <c r="A10" s="541" t="s">
        <v>25</v>
      </c>
      <c r="B10" s="308">
        <v>4699433</v>
      </c>
      <c r="C10" s="308">
        <v>4699433</v>
      </c>
      <c r="D10" s="308" t="s">
        <v>796</v>
      </c>
      <c r="E10" s="335"/>
      <c r="F10" s="343" t="s">
        <v>30</v>
      </c>
      <c r="H10" s="307"/>
    </row>
    <row r="11" spans="1:8" s="304" customFormat="1" ht="12.95" customHeight="1" x14ac:dyDescent="0.15">
      <c r="A11" s="541" t="s">
        <v>26</v>
      </c>
      <c r="B11" s="308">
        <v>2737843</v>
      </c>
      <c r="C11" s="308">
        <v>1688206</v>
      </c>
      <c r="D11" s="308">
        <v>1049637</v>
      </c>
      <c r="E11" s="335"/>
      <c r="F11" s="343" t="s">
        <v>31</v>
      </c>
      <c r="H11" s="307"/>
    </row>
    <row r="12" spans="1:8" s="304" customFormat="1" ht="12.95" customHeight="1" x14ac:dyDescent="0.15">
      <c r="A12" s="541" t="s">
        <v>51</v>
      </c>
      <c r="B12" s="308">
        <v>31452195</v>
      </c>
      <c r="C12" s="308">
        <v>13822169</v>
      </c>
      <c r="D12" s="308">
        <v>17630026</v>
      </c>
      <c r="E12" s="335"/>
      <c r="F12" s="343" t="s">
        <v>57</v>
      </c>
      <c r="H12" s="307"/>
    </row>
    <row r="13" spans="1:8" s="304" customFormat="1" ht="12.95" customHeight="1" x14ac:dyDescent="0.15">
      <c r="A13" s="541" t="s">
        <v>65</v>
      </c>
      <c r="B13" s="308">
        <v>1810515</v>
      </c>
      <c r="C13" s="308" t="s">
        <v>354</v>
      </c>
      <c r="D13" s="308" t="s">
        <v>354</v>
      </c>
      <c r="E13" s="335"/>
      <c r="F13" s="343" t="s">
        <v>56</v>
      </c>
      <c r="H13" s="307"/>
    </row>
    <row r="14" spans="1:8" s="304" customFormat="1" ht="12.95" customHeight="1" x14ac:dyDescent="0.15">
      <c r="A14" s="541" t="s">
        <v>13</v>
      </c>
      <c r="B14" s="308">
        <v>833258</v>
      </c>
      <c r="C14" s="308" t="s">
        <v>796</v>
      </c>
      <c r="D14" s="308">
        <v>833258</v>
      </c>
      <c r="E14" s="335"/>
      <c r="F14" s="343" t="s">
        <v>20</v>
      </c>
      <c r="H14" s="307"/>
    </row>
    <row r="15" spans="1:8" s="304" customFormat="1" ht="12.95" customHeight="1" x14ac:dyDescent="0.15">
      <c r="A15" s="541" t="s">
        <v>52</v>
      </c>
      <c r="B15" s="308">
        <v>262611</v>
      </c>
      <c r="C15" s="308" t="s">
        <v>354</v>
      </c>
      <c r="D15" s="308" t="s">
        <v>354</v>
      </c>
      <c r="E15" s="335"/>
      <c r="F15" s="343" t="s">
        <v>46</v>
      </c>
      <c r="H15" s="307"/>
    </row>
    <row r="16" spans="1:8" s="304" customFormat="1" ht="12.95" customHeight="1" x14ac:dyDescent="0.15">
      <c r="A16" s="920" t="s">
        <v>353</v>
      </c>
      <c r="B16" s="627">
        <v>1093464</v>
      </c>
      <c r="C16" s="627">
        <v>928487</v>
      </c>
      <c r="D16" s="627">
        <v>164977</v>
      </c>
      <c r="E16" s="848"/>
      <c r="F16" s="849" t="s">
        <v>352</v>
      </c>
      <c r="H16" s="307"/>
    </row>
    <row r="17" spans="1:11" s="304" customFormat="1" ht="12.95" customHeight="1" x14ac:dyDescent="0.15">
      <c r="A17" s="543" t="s">
        <v>1038</v>
      </c>
      <c r="B17" s="340"/>
      <c r="C17" s="339"/>
      <c r="D17" s="339"/>
      <c r="E17" s="25"/>
      <c r="F17" s="25"/>
    </row>
    <row r="18" spans="1:11" s="304" customFormat="1" ht="12.95" customHeight="1" x14ac:dyDescent="0.15">
      <c r="A18" s="543" t="s">
        <v>1049</v>
      </c>
      <c r="B18" s="340"/>
      <c r="C18" s="339"/>
      <c r="D18" s="339"/>
      <c r="E18" s="25"/>
      <c r="F18" s="25"/>
    </row>
    <row r="19" spans="1:11" s="304" customFormat="1" ht="12.95" customHeight="1" x14ac:dyDescent="0.15">
      <c r="A19" s="543" t="s">
        <v>1040</v>
      </c>
      <c r="B19" s="340"/>
      <c r="C19" s="339"/>
      <c r="D19" s="339"/>
      <c r="E19" s="25"/>
      <c r="F19" s="25"/>
      <c r="G19" s="337"/>
      <c r="H19" s="336"/>
      <c r="I19" s="336"/>
      <c r="J19" s="335"/>
      <c r="K19" s="25"/>
    </row>
    <row r="20" spans="1:11" s="304" customFormat="1" ht="12.95" customHeight="1" x14ac:dyDescent="0.15">
      <c r="A20" s="543" t="s">
        <v>1041</v>
      </c>
      <c r="B20" s="266"/>
      <c r="C20" s="266"/>
      <c r="D20" s="266"/>
      <c r="E20" s="266"/>
      <c r="F20" s="266"/>
      <c r="H20" s="307"/>
    </row>
    <row r="21" spans="1:11" s="304" customFormat="1" ht="12.95" customHeight="1" x14ac:dyDescent="0.15">
      <c r="A21" s="543" t="s">
        <v>1050</v>
      </c>
      <c r="B21" s="266"/>
      <c r="C21" s="266"/>
      <c r="D21" s="266"/>
      <c r="E21" s="266"/>
      <c r="F21" s="266"/>
      <c r="H21" s="307"/>
    </row>
    <row r="22" spans="1:11" s="304" customFormat="1" ht="12.95" customHeight="1" x14ac:dyDescent="0.15">
      <c r="A22" s="543" t="s">
        <v>1043</v>
      </c>
      <c r="B22" s="338"/>
      <c r="C22" s="338"/>
      <c r="D22" s="338"/>
      <c r="E22" s="338"/>
      <c r="F22" s="338"/>
      <c r="G22" s="337"/>
      <c r="H22" s="336"/>
      <c r="I22" s="336"/>
      <c r="J22" s="335"/>
      <c r="K22" s="25"/>
    </row>
    <row r="23" spans="1:11" s="304" customFormat="1" ht="12.95" customHeight="1" x14ac:dyDescent="0.15">
      <c r="A23" s="338" t="s">
        <v>1044</v>
      </c>
      <c r="B23" s="338"/>
      <c r="C23" s="338"/>
      <c r="D23" s="338"/>
      <c r="E23" s="338"/>
      <c r="F23" s="338"/>
      <c r="G23" s="338"/>
      <c r="H23" s="338"/>
      <c r="I23" s="338"/>
      <c r="J23" s="335"/>
      <c r="K23" s="25"/>
    </row>
    <row r="24" spans="1:11" s="304" customFormat="1" ht="12.95" customHeight="1" x14ac:dyDescent="0.15">
      <c r="A24" s="349"/>
      <c r="B24" s="349"/>
      <c r="C24" s="349"/>
      <c r="D24" s="349"/>
      <c r="E24" s="349"/>
      <c r="F24" s="349"/>
      <c r="H24" s="307"/>
    </row>
    <row r="25" spans="1:11" s="317" customFormat="1" ht="12.95" customHeight="1" x14ac:dyDescent="0.15">
      <c r="A25" s="318" t="s">
        <v>1051</v>
      </c>
      <c r="B25" s="299"/>
      <c r="C25" s="299"/>
      <c r="D25" s="299"/>
      <c r="E25" s="299"/>
      <c r="F25" s="299"/>
      <c r="H25" s="307"/>
    </row>
    <row r="26" spans="1:11" s="304" customFormat="1" ht="12.95" customHeight="1" x14ac:dyDescent="0.15">
      <c r="A26" s="749" t="s">
        <v>357</v>
      </c>
      <c r="B26" s="1125" t="s">
        <v>669</v>
      </c>
      <c r="C26" s="1126"/>
      <c r="D26" s="1127"/>
      <c r="E26" s="1128" t="s">
        <v>671</v>
      </c>
      <c r="F26" s="1041"/>
      <c r="H26" s="307"/>
    </row>
    <row r="27" spans="1:11" s="304" customFormat="1" ht="12.95" customHeight="1" x14ac:dyDescent="0.15">
      <c r="A27" s="529"/>
      <c r="B27" s="348" t="s">
        <v>176</v>
      </c>
      <c r="C27" s="893" t="s">
        <v>346</v>
      </c>
      <c r="D27" s="893" t="s">
        <v>345</v>
      </c>
      <c r="E27" s="1001"/>
      <c r="F27" s="1024"/>
      <c r="H27" s="307"/>
    </row>
    <row r="28" spans="1:11" s="304" customFormat="1" ht="12.95" customHeight="1" x14ac:dyDescent="0.15">
      <c r="A28" s="347" t="s">
        <v>356</v>
      </c>
      <c r="B28" s="621" t="s">
        <v>670</v>
      </c>
      <c r="C28" s="626" t="s">
        <v>417</v>
      </c>
      <c r="D28" s="626" t="s">
        <v>418</v>
      </c>
      <c r="E28" s="1129"/>
      <c r="F28" s="1042"/>
    </row>
    <row r="29" spans="1:11" s="304" customFormat="1" ht="12.95" customHeight="1" x14ac:dyDescent="0.15">
      <c r="A29" s="883"/>
      <c r="B29" s="919"/>
      <c r="C29" s="919"/>
      <c r="D29" s="919"/>
      <c r="E29" s="346"/>
      <c r="F29" s="25"/>
    </row>
    <row r="30" spans="1:11" s="304" customFormat="1" ht="12.95" customHeight="1" x14ac:dyDescent="0.15">
      <c r="A30" s="345" t="s">
        <v>355</v>
      </c>
      <c r="B30" s="308">
        <v>70419216</v>
      </c>
      <c r="C30" s="308">
        <v>47223796</v>
      </c>
      <c r="D30" s="308">
        <v>23195420</v>
      </c>
      <c r="E30" s="344" t="s">
        <v>48</v>
      </c>
      <c r="F30" s="25"/>
      <c r="H30" s="307"/>
    </row>
    <row r="31" spans="1:11" s="304" customFormat="1" ht="12.95" customHeight="1" x14ac:dyDescent="0.15">
      <c r="A31" s="541"/>
      <c r="B31" s="308"/>
      <c r="C31" s="308"/>
      <c r="D31" s="308"/>
      <c r="E31" s="335"/>
      <c r="F31" s="343"/>
      <c r="H31" s="307"/>
    </row>
    <row r="32" spans="1:11" s="304" customFormat="1" ht="12.95" customHeight="1" x14ac:dyDescent="0.15">
      <c r="A32" s="541" t="s">
        <v>24</v>
      </c>
      <c r="B32" s="308">
        <v>28221831</v>
      </c>
      <c r="C32" s="308" t="s">
        <v>354</v>
      </c>
      <c r="D32" s="308" t="s">
        <v>354</v>
      </c>
      <c r="E32" s="335"/>
      <c r="F32" s="343" t="s">
        <v>29</v>
      </c>
      <c r="H32" s="307"/>
    </row>
    <row r="33" spans="1:11" s="304" customFormat="1" ht="12.95" customHeight="1" x14ac:dyDescent="0.15">
      <c r="A33" s="541" t="s">
        <v>25</v>
      </c>
      <c r="B33" s="308">
        <v>4493346</v>
      </c>
      <c r="C33" s="308">
        <v>4493346</v>
      </c>
      <c r="D33" s="308" t="s">
        <v>796</v>
      </c>
      <c r="E33" s="335"/>
      <c r="F33" s="343" t="s">
        <v>30</v>
      </c>
      <c r="H33" s="307"/>
    </row>
    <row r="34" spans="1:11" s="304" customFormat="1" ht="12.95" customHeight="1" x14ac:dyDescent="0.15">
      <c r="A34" s="541" t="s">
        <v>26</v>
      </c>
      <c r="B34" s="308">
        <v>2895681</v>
      </c>
      <c r="C34" s="308">
        <v>1515235</v>
      </c>
      <c r="D34" s="308">
        <v>1380446</v>
      </c>
      <c r="E34" s="335"/>
      <c r="F34" s="343" t="s">
        <v>31</v>
      </c>
      <c r="H34" s="307"/>
    </row>
    <row r="35" spans="1:11" s="304" customFormat="1" ht="12.95" customHeight="1" x14ac:dyDescent="0.15">
      <c r="A35" s="541" t="s">
        <v>27</v>
      </c>
      <c r="B35" s="308">
        <v>709346</v>
      </c>
      <c r="C35" s="308" t="s">
        <v>354</v>
      </c>
      <c r="D35" s="308" t="s">
        <v>354</v>
      </c>
      <c r="E35" s="335"/>
      <c r="F35" s="343" t="s">
        <v>32</v>
      </c>
      <c r="H35" s="307"/>
    </row>
    <row r="36" spans="1:11" s="304" customFormat="1" ht="12.95" customHeight="1" x14ac:dyDescent="0.15">
      <c r="A36" s="541" t="s">
        <v>51</v>
      </c>
      <c r="B36" s="308">
        <v>30671073</v>
      </c>
      <c r="C36" s="308">
        <v>13041947</v>
      </c>
      <c r="D36" s="308">
        <v>17629126</v>
      </c>
      <c r="E36" s="335"/>
      <c r="F36" s="343" t="s">
        <v>57</v>
      </c>
      <c r="H36" s="307"/>
    </row>
    <row r="37" spans="1:11" s="304" customFormat="1" ht="12.95" customHeight="1" x14ac:dyDescent="0.15">
      <c r="A37" s="541" t="s">
        <v>65</v>
      </c>
      <c r="B37" s="308">
        <v>1427060</v>
      </c>
      <c r="C37" s="308" t="s">
        <v>354</v>
      </c>
      <c r="D37" s="308" t="s">
        <v>354</v>
      </c>
      <c r="E37" s="335"/>
      <c r="F37" s="343" t="s">
        <v>56</v>
      </c>
      <c r="H37" s="307"/>
    </row>
    <row r="38" spans="1:11" s="304" customFormat="1" ht="12.95" customHeight="1" x14ac:dyDescent="0.15">
      <c r="A38" s="541" t="s">
        <v>13</v>
      </c>
      <c r="B38" s="308">
        <v>816497</v>
      </c>
      <c r="C38" s="308" t="s">
        <v>796</v>
      </c>
      <c r="D38" s="308">
        <v>816497</v>
      </c>
      <c r="E38" s="335"/>
      <c r="F38" s="343" t="s">
        <v>20</v>
      </c>
      <c r="H38" s="307"/>
    </row>
    <row r="39" spans="1:11" s="304" customFormat="1" ht="12.95" customHeight="1" x14ac:dyDescent="0.15">
      <c r="A39" s="541" t="s">
        <v>52</v>
      </c>
      <c r="B39" s="308">
        <v>312617</v>
      </c>
      <c r="C39" s="308" t="s">
        <v>354</v>
      </c>
      <c r="D39" s="308" t="s">
        <v>354</v>
      </c>
      <c r="E39" s="335"/>
      <c r="F39" s="343" t="s">
        <v>46</v>
      </c>
      <c r="H39" s="307"/>
    </row>
    <row r="40" spans="1:11" ht="12.95" customHeight="1" x14ac:dyDescent="0.15">
      <c r="A40" s="920" t="s">
        <v>353</v>
      </c>
      <c r="B40" s="627">
        <v>871765</v>
      </c>
      <c r="C40" s="627">
        <v>670782</v>
      </c>
      <c r="D40" s="627">
        <v>200983</v>
      </c>
      <c r="E40" s="922"/>
      <c r="F40" s="849" t="s">
        <v>352</v>
      </c>
      <c r="H40" s="342"/>
    </row>
    <row r="41" spans="1:11" ht="12.95" customHeight="1" x14ac:dyDescent="0.15">
      <c r="A41" s="543" t="s">
        <v>1038</v>
      </c>
      <c r="B41" s="103"/>
      <c r="C41" s="339"/>
      <c r="D41" s="339"/>
      <c r="E41" s="341"/>
      <c r="F41" s="25"/>
    </row>
    <row r="42" spans="1:11" ht="12.95" customHeight="1" x14ac:dyDescent="0.15">
      <c r="A42" s="543" t="s">
        <v>1049</v>
      </c>
      <c r="B42" s="103"/>
      <c r="C42" s="339"/>
      <c r="D42" s="339"/>
      <c r="E42" s="341"/>
      <c r="F42" s="25"/>
    </row>
    <row r="43" spans="1:11" ht="12.95" customHeight="1" x14ac:dyDescent="0.15">
      <c r="A43" s="543" t="s">
        <v>1047</v>
      </c>
      <c r="B43" s="340"/>
      <c r="C43" s="339"/>
      <c r="D43" s="339"/>
      <c r="E43" s="25"/>
      <c r="F43" s="25"/>
      <c r="G43" s="337"/>
      <c r="H43" s="336"/>
      <c r="I43" s="336"/>
      <c r="J43" s="335"/>
      <c r="K43" s="25"/>
    </row>
    <row r="44" spans="1:11" ht="12.95" customHeight="1" x14ac:dyDescent="0.15">
      <c r="A44" s="543" t="s">
        <v>1041</v>
      </c>
    </row>
    <row r="45" spans="1:11" ht="12.95" customHeight="1" x14ac:dyDescent="0.15">
      <c r="A45" s="543" t="s">
        <v>1052</v>
      </c>
    </row>
    <row r="46" spans="1:11" ht="12.95" customHeight="1" x14ac:dyDescent="0.15">
      <c r="A46" s="543" t="s">
        <v>1048</v>
      </c>
      <c r="B46" s="338"/>
      <c r="C46" s="338"/>
      <c r="D46" s="338"/>
      <c r="E46" s="338"/>
      <c r="F46" s="338"/>
      <c r="G46" s="337"/>
      <c r="H46" s="336"/>
      <c r="I46" s="336"/>
      <c r="J46" s="335"/>
      <c r="K46" s="25"/>
    </row>
    <row r="47" spans="1:11" ht="12.95" customHeight="1" x14ac:dyDescent="0.15">
      <c r="A47" s="338" t="s">
        <v>1044</v>
      </c>
      <c r="B47" s="338"/>
      <c r="C47" s="338"/>
      <c r="D47" s="338"/>
      <c r="E47" s="338"/>
      <c r="F47" s="338"/>
      <c r="G47" s="337"/>
      <c r="H47" s="336"/>
      <c r="I47" s="336"/>
      <c r="J47" s="335"/>
      <c r="K47" s="25"/>
    </row>
    <row r="48" spans="1:11" ht="12.95" customHeight="1" x14ac:dyDescent="0.15">
      <c r="A48" s="1130"/>
      <c r="B48" s="1130"/>
      <c r="C48" s="1130"/>
      <c r="D48" s="1130"/>
      <c r="E48" s="1130"/>
      <c r="F48" s="1130"/>
    </row>
  </sheetData>
  <mergeCells count="5">
    <mergeCell ref="B2:D2"/>
    <mergeCell ref="E2:F4"/>
    <mergeCell ref="B26:D26"/>
    <mergeCell ref="E26:F28"/>
    <mergeCell ref="A48:F48"/>
  </mergeCells>
  <phoneticPr fontId="34"/>
  <pageMargins left="0.59055118110236227" right="0.59055118110236227" top="0.59055118110236227" bottom="0.59055118110236227" header="0.51181102362204722" footer="0.51181102362204722"/>
  <pageSetup paperSize="9" scale="96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E05B-DF95-4028-AFE8-FB71BCA9D62A}">
  <dimension ref="A1:K49"/>
  <sheetViews>
    <sheetView view="pageBreakPreview" zoomScaleNormal="25" zoomScaleSheetLayoutView="100" workbookViewId="0"/>
  </sheetViews>
  <sheetFormatPr defaultColWidth="8" defaultRowHeight="12" x14ac:dyDescent="0.15"/>
  <cols>
    <col min="1" max="1" width="18.25" style="20" customWidth="1"/>
    <col min="2" max="2" width="12.25" style="20" customWidth="1"/>
    <col min="3" max="3" width="9" style="20" customWidth="1"/>
    <col min="4" max="5" width="8.875" style="20" customWidth="1"/>
    <col min="6" max="6" width="0.75" style="20" customWidth="1"/>
    <col min="7" max="7" width="23.25" style="20" customWidth="1"/>
    <col min="8" max="8" width="3.75" style="20" customWidth="1"/>
    <col min="9" max="9" width="10.5" style="20" customWidth="1"/>
    <col min="10" max="10" width="17.75" style="20" bestFit="1" customWidth="1"/>
    <col min="11" max="11" width="8.25" style="20" bestFit="1" customWidth="1"/>
    <col min="12" max="12" width="10.5" style="20" bestFit="1" customWidth="1"/>
    <col min="13" max="13" width="10.25" style="20" bestFit="1" customWidth="1"/>
    <col min="14" max="14" width="12.75" style="20" bestFit="1" customWidth="1"/>
    <col min="15" max="15" width="13" style="20" bestFit="1" customWidth="1"/>
    <col min="16" max="16" width="8.375" style="20" bestFit="1" customWidth="1"/>
    <col min="17" max="17" width="10.5" style="20" bestFit="1" customWidth="1"/>
    <col min="18" max="19" width="8" style="20" customWidth="1"/>
    <col min="20" max="20" width="13.25" style="20" customWidth="1"/>
    <col min="21" max="16384" width="8" style="20"/>
  </cols>
  <sheetData>
    <row r="1" spans="1:10" s="317" customFormat="1" ht="15" customHeight="1" x14ac:dyDescent="0.15">
      <c r="A1" s="318" t="s">
        <v>1053</v>
      </c>
    </row>
    <row r="2" spans="1:10" s="317" customFormat="1" ht="15" customHeight="1" x14ac:dyDescent="0.15">
      <c r="A2" s="318" t="s">
        <v>1054</v>
      </c>
    </row>
    <row r="3" spans="1:10" s="304" customFormat="1" ht="12.95" customHeight="1" x14ac:dyDescent="0.15">
      <c r="A3" s="749" t="s">
        <v>357</v>
      </c>
      <c r="B3" s="895" t="s">
        <v>361</v>
      </c>
      <c r="C3" s="895" t="s">
        <v>672</v>
      </c>
      <c r="D3" s="895" t="s">
        <v>360</v>
      </c>
      <c r="E3" s="895" t="s">
        <v>359</v>
      </c>
      <c r="F3" s="1128" t="s">
        <v>671</v>
      </c>
      <c r="G3" s="1131"/>
    </row>
    <row r="4" spans="1:10" s="304" customFormat="1" ht="12.95" customHeight="1" x14ac:dyDescent="0.15">
      <c r="A4" s="528"/>
      <c r="B4" s="348" t="s">
        <v>673</v>
      </c>
      <c r="C4" s="348"/>
      <c r="D4" s="352" t="s">
        <v>541</v>
      </c>
      <c r="E4" s="348" t="s">
        <v>542</v>
      </c>
      <c r="F4" s="1132"/>
      <c r="G4" s="1133"/>
    </row>
    <row r="5" spans="1:10" s="304" customFormat="1" ht="12.95" customHeight="1" x14ac:dyDescent="0.15">
      <c r="A5" s="528"/>
      <c r="B5" s="923" t="s">
        <v>508</v>
      </c>
      <c r="C5" s="924" t="s">
        <v>509</v>
      </c>
      <c r="D5" s="924" t="s">
        <v>674</v>
      </c>
      <c r="E5" s="924" t="s">
        <v>674</v>
      </c>
      <c r="F5" s="1132"/>
      <c r="G5" s="1133"/>
    </row>
    <row r="6" spans="1:10" s="304" customFormat="1" ht="12.95" customHeight="1" x14ac:dyDescent="0.15">
      <c r="A6" s="925" t="s">
        <v>358</v>
      </c>
      <c r="B6" s="626" t="s">
        <v>675</v>
      </c>
      <c r="C6" s="235" t="s">
        <v>676</v>
      </c>
      <c r="D6" s="235" t="s">
        <v>510</v>
      </c>
      <c r="E6" s="235" t="s">
        <v>510</v>
      </c>
      <c r="F6" s="1134"/>
      <c r="G6" s="1135"/>
    </row>
    <row r="7" spans="1:10" s="304" customFormat="1" ht="12.95" customHeight="1" x14ac:dyDescent="0.15">
      <c r="A7" s="883"/>
      <c r="B7" s="919"/>
      <c r="C7" s="919"/>
      <c r="D7" s="919"/>
      <c r="E7" s="919"/>
      <c r="F7" s="346"/>
      <c r="G7" s="25"/>
    </row>
    <row r="8" spans="1:10" s="304" customFormat="1" ht="12.95" customHeight="1" x14ac:dyDescent="0.15">
      <c r="A8" s="345" t="s">
        <v>355</v>
      </c>
      <c r="B8" s="308">
        <v>852407092</v>
      </c>
      <c r="C8" s="350">
        <v>81.53</v>
      </c>
      <c r="D8" s="308">
        <v>1408069</v>
      </c>
      <c r="E8" s="308">
        <v>24717.3</v>
      </c>
      <c r="F8" s="344" t="s">
        <v>48</v>
      </c>
      <c r="G8" s="25"/>
      <c r="I8" s="307"/>
      <c r="J8" s="307"/>
    </row>
    <row r="9" spans="1:10" s="304" customFormat="1" ht="12.95" customHeight="1" x14ac:dyDescent="0.15">
      <c r="A9" s="541"/>
      <c r="B9" s="308"/>
      <c r="C9" s="350"/>
      <c r="D9" s="308"/>
      <c r="E9" s="308"/>
      <c r="F9" s="335"/>
      <c r="G9" s="25"/>
      <c r="I9" s="307"/>
      <c r="J9" s="307"/>
    </row>
    <row r="10" spans="1:10" s="304" customFormat="1" ht="12.95" customHeight="1" x14ac:dyDescent="0.15">
      <c r="A10" s="541" t="s">
        <v>681</v>
      </c>
      <c r="B10" s="308">
        <v>1745229</v>
      </c>
      <c r="C10" s="350">
        <v>86.49</v>
      </c>
      <c r="D10" s="308">
        <v>5412</v>
      </c>
      <c r="E10" s="308">
        <v>45.6</v>
      </c>
      <c r="F10" s="335"/>
      <c r="G10" s="25" t="s">
        <v>34</v>
      </c>
      <c r="I10" s="307"/>
      <c r="J10" s="307"/>
    </row>
    <row r="11" spans="1:10" s="304" customFormat="1" ht="12.95" customHeight="1" x14ac:dyDescent="0.15">
      <c r="A11" s="541" t="s">
        <v>24</v>
      </c>
      <c r="B11" s="308">
        <v>335661291</v>
      </c>
      <c r="C11" s="350">
        <v>81.38</v>
      </c>
      <c r="D11" s="308">
        <v>530872</v>
      </c>
      <c r="E11" s="308">
        <v>8194</v>
      </c>
      <c r="F11" s="335"/>
      <c r="G11" s="25" t="s">
        <v>29</v>
      </c>
      <c r="I11" s="307"/>
      <c r="J11" s="307"/>
    </row>
    <row r="12" spans="1:10" s="304" customFormat="1" ht="12.95" customHeight="1" x14ac:dyDescent="0.15">
      <c r="A12" s="541" t="s">
        <v>25</v>
      </c>
      <c r="B12" s="308">
        <v>56656684</v>
      </c>
      <c r="C12" s="350">
        <v>81.430000000000007</v>
      </c>
      <c r="D12" s="308">
        <v>85039</v>
      </c>
      <c r="E12" s="308">
        <v>738.6</v>
      </c>
      <c r="F12" s="335"/>
      <c r="G12" s="25" t="s">
        <v>30</v>
      </c>
      <c r="I12" s="307"/>
      <c r="J12" s="307"/>
    </row>
    <row r="13" spans="1:10" s="304" customFormat="1" ht="12.95" customHeight="1" x14ac:dyDescent="0.15">
      <c r="A13" s="541" t="s">
        <v>26</v>
      </c>
      <c r="B13" s="308">
        <v>33374835</v>
      </c>
      <c r="C13" s="350">
        <v>80.34</v>
      </c>
      <c r="D13" s="308">
        <v>54808</v>
      </c>
      <c r="E13" s="308">
        <v>1914</v>
      </c>
      <c r="F13" s="335"/>
      <c r="G13" s="25" t="s">
        <v>31</v>
      </c>
      <c r="I13" s="307"/>
      <c r="J13" s="307"/>
    </row>
    <row r="14" spans="1:10" s="304" customFormat="1" ht="12.95" customHeight="1" x14ac:dyDescent="0.15">
      <c r="A14" s="541" t="s">
        <v>51</v>
      </c>
      <c r="B14" s="308">
        <v>377890166</v>
      </c>
      <c r="C14" s="350">
        <v>81.760000000000005</v>
      </c>
      <c r="D14" s="308">
        <v>571696</v>
      </c>
      <c r="E14" s="308">
        <v>12410</v>
      </c>
      <c r="F14" s="335"/>
      <c r="G14" s="25" t="s">
        <v>57</v>
      </c>
      <c r="I14" s="307"/>
      <c r="J14" s="307"/>
    </row>
    <row r="15" spans="1:10" s="304" customFormat="1" ht="12.95" customHeight="1" x14ac:dyDescent="0.15">
      <c r="A15" s="541" t="s">
        <v>65</v>
      </c>
      <c r="B15" s="308">
        <v>20832434</v>
      </c>
      <c r="C15" s="350">
        <v>82.83</v>
      </c>
      <c r="D15" s="308">
        <v>84408</v>
      </c>
      <c r="E15" s="308">
        <v>807.5</v>
      </c>
      <c r="F15" s="335"/>
      <c r="G15" s="25" t="s">
        <v>56</v>
      </c>
      <c r="I15" s="307"/>
      <c r="J15" s="307"/>
    </row>
    <row r="16" spans="1:10" s="304" customFormat="1" ht="12.95" customHeight="1" x14ac:dyDescent="0.15">
      <c r="A16" s="541" t="s">
        <v>13</v>
      </c>
      <c r="B16" s="308">
        <v>10459871</v>
      </c>
      <c r="C16" s="350">
        <v>76.599999999999994</v>
      </c>
      <c r="D16" s="308">
        <v>32046</v>
      </c>
      <c r="E16" s="308">
        <v>5.7</v>
      </c>
      <c r="F16" s="335"/>
      <c r="G16" s="25" t="s">
        <v>20</v>
      </c>
      <c r="I16" s="307"/>
      <c r="J16" s="307"/>
    </row>
    <row r="17" spans="1:11" s="304" customFormat="1" ht="12.95" customHeight="1" x14ac:dyDescent="0.15">
      <c r="A17" s="541" t="s">
        <v>52</v>
      </c>
      <c r="B17" s="308">
        <v>2784193</v>
      </c>
      <c r="C17" s="350">
        <v>88.28</v>
      </c>
      <c r="D17" s="308">
        <v>16729</v>
      </c>
      <c r="E17" s="308">
        <v>107.9</v>
      </c>
      <c r="F17" s="335"/>
      <c r="G17" s="25" t="s">
        <v>46</v>
      </c>
      <c r="I17" s="307"/>
      <c r="J17" s="307"/>
    </row>
    <row r="18" spans="1:11" s="304" customFormat="1" ht="12.95" customHeight="1" x14ac:dyDescent="0.15">
      <c r="A18" s="920" t="s">
        <v>353</v>
      </c>
      <c r="B18" s="627">
        <v>13002389</v>
      </c>
      <c r="C18" s="630">
        <v>81.98</v>
      </c>
      <c r="D18" s="627">
        <v>27059</v>
      </c>
      <c r="E18" s="627">
        <v>494</v>
      </c>
      <c r="F18" s="848"/>
      <c r="G18" s="849" t="s">
        <v>352</v>
      </c>
      <c r="I18" s="307"/>
      <c r="J18" s="307"/>
    </row>
    <row r="19" spans="1:11" s="304" customFormat="1" ht="12.95" customHeight="1" x14ac:dyDescent="0.15">
      <c r="A19" s="543" t="s">
        <v>1038</v>
      </c>
      <c r="B19" s="340"/>
      <c r="C19" s="339"/>
      <c r="D19" s="339"/>
      <c r="E19" s="339"/>
      <c r="F19" s="25"/>
      <c r="G19" s="25"/>
    </row>
    <row r="20" spans="1:11" s="304" customFormat="1" ht="12.95" customHeight="1" x14ac:dyDescent="0.15">
      <c r="A20" s="543" t="s">
        <v>1055</v>
      </c>
      <c r="B20" s="340"/>
      <c r="C20" s="339"/>
      <c r="D20" s="339"/>
      <c r="E20" s="25"/>
      <c r="F20" s="25"/>
      <c r="G20" s="337"/>
      <c r="H20" s="336"/>
      <c r="I20" s="336"/>
      <c r="J20" s="335"/>
      <c r="K20" s="25"/>
    </row>
    <row r="21" spans="1:11" s="304" customFormat="1" ht="12.95" customHeight="1" x14ac:dyDescent="0.15">
      <c r="A21" s="543" t="s">
        <v>1041</v>
      </c>
      <c r="B21" s="266"/>
      <c r="C21" s="266"/>
      <c r="D21" s="266"/>
      <c r="E21" s="266"/>
      <c r="F21" s="266"/>
      <c r="G21" s="266"/>
      <c r="I21" s="307"/>
      <c r="J21" s="351"/>
    </row>
    <row r="22" spans="1:11" s="304" customFormat="1" ht="12.95" customHeight="1" x14ac:dyDescent="0.15">
      <c r="A22" s="543" t="s">
        <v>1056</v>
      </c>
      <c r="B22" s="338"/>
      <c r="C22" s="338"/>
      <c r="D22" s="338"/>
      <c r="E22" s="338"/>
      <c r="F22" s="338"/>
      <c r="G22" s="337"/>
      <c r="H22" s="336"/>
      <c r="I22" s="336"/>
      <c r="J22" s="335"/>
      <c r="K22" s="25"/>
    </row>
    <row r="23" spans="1:11" s="304" customFormat="1" ht="12.95" customHeight="1" x14ac:dyDescent="0.15">
      <c r="A23" s="338" t="s">
        <v>1044</v>
      </c>
      <c r="B23" s="338"/>
      <c r="C23" s="338"/>
      <c r="D23" s="338"/>
      <c r="E23" s="338"/>
      <c r="F23" s="338"/>
      <c r="G23" s="337"/>
      <c r="H23" s="336"/>
      <c r="I23" s="336"/>
      <c r="J23" s="335"/>
      <c r="K23" s="25"/>
    </row>
    <row r="24" spans="1:11" s="304" customFormat="1" ht="12.95" customHeight="1" x14ac:dyDescent="0.15">
      <c r="A24" s="1136"/>
      <c r="B24" s="1136"/>
      <c r="C24" s="1136"/>
      <c r="D24" s="1136"/>
      <c r="E24" s="1136"/>
      <c r="F24" s="1136"/>
      <c r="G24" s="1136"/>
      <c r="I24" s="307"/>
    </row>
    <row r="25" spans="1:11" s="304" customFormat="1" ht="12.95" customHeight="1" x14ac:dyDescent="0.15">
      <c r="A25" s="349"/>
      <c r="B25" s="349"/>
      <c r="C25" s="349"/>
      <c r="D25" s="349"/>
      <c r="E25" s="349"/>
      <c r="F25" s="349"/>
      <c r="G25" s="349"/>
      <c r="I25" s="307"/>
    </row>
    <row r="26" spans="1:11" s="317" customFormat="1" ht="12.95" customHeight="1" x14ac:dyDescent="0.15">
      <c r="A26" s="318" t="s">
        <v>1057</v>
      </c>
      <c r="I26" s="307"/>
    </row>
    <row r="27" spans="1:11" s="317" customFormat="1" ht="12.95" customHeight="1" x14ac:dyDescent="0.15">
      <c r="A27" s="318" t="s">
        <v>1058</v>
      </c>
      <c r="I27" s="307"/>
    </row>
    <row r="28" spans="1:11" s="304" customFormat="1" ht="12.95" customHeight="1" x14ac:dyDescent="0.15">
      <c r="A28" s="749" t="s">
        <v>357</v>
      </c>
      <c r="B28" s="895" t="s">
        <v>361</v>
      </c>
      <c r="C28" s="895" t="s">
        <v>672</v>
      </c>
      <c r="D28" s="895" t="s">
        <v>360</v>
      </c>
      <c r="E28" s="895" t="s">
        <v>359</v>
      </c>
      <c r="F28" s="1128" t="s">
        <v>671</v>
      </c>
      <c r="G28" s="1131"/>
      <c r="I28" s="307"/>
    </row>
    <row r="29" spans="1:11" s="304" customFormat="1" ht="12.95" customHeight="1" x14ac:dyDescent="0.15">
      <c r="A29" s="176"/>
      <c r="B29" s="348" t="s">
        <v>673</v>
      </c>
      <c r="C29" s="348"/>
      <c r="D29" s="352" t="s">
        <v>541</v>
      </c>
      <c r="E29" s="348" t="s">
        <v>542</v>
      </c>
      <c r="F29" s="1132"/>
      <c r="G29" s="1133"/>
      <c r="I29" s="307"/>
    </row>
    <row r="30" spans="1:11" s="304" customFormat="1" ht="12.95" customHeight="1" x14ac:dyDescent="0.15">
      <c r="A30" s="529"/>
      <c r="B30" s="923" t="s">
        <v>508</v>
      </c>
      <c r="C30" s="924" t="s">
        <v>509</v>
      </c>
      <c r="D30" s="924" t="s">
        <v>674</v>
      </c>
      <c r="E30" s="924" t="s">
        <v>674</v>
      </c>
      <c r="F30" s="1132"/>
      <c r="G30" s="1133"/>
      <c r="I30" s="307"/>
    </row>
    <row r="31" spans="1:11" s="304" customFormat="1" ht="12.95" customHeight="1" x14ac:dyDescent="0.15">
      <c r="A31" s="347" t="s">
        <v>356</v>
      </c>
      <c r="B31" s="626" t="s">
        <v>675</v>
      </c>
      <c r="C31" s="235" t="s">
        <v>676</v>
      </c>
      <c r="D31" s="235" t="s">
        <v>510</v>
      </c>
      <c r="E31" s="235" t="s">
        <v>510</v>
      </c>
      <c r="F31" s="1134"/>
      <c r="G31" s="1135"/>
      <c r="J31" s="351"/>
    </row>
    <row r="32" spans="1:11" s="304" customFormat="1" ht="12.95" customHeight="1" x14ac:dyDescent="0.15">
      <c r="A32" s="883"/>
      <c r="B32" s="919"/>
      <c r="C32" s="919"/>
      <c r="D32" s="919"/>
      <c r="E32" s="919"/>
      <c r="F32" s="346"/>
      <c r="G32" s="25"/>
      <c r="J32" s="351"/>
    </row>
    <row r="33" spans="1:11" s="304" customFormat="1" ht="12.95" customHeight="1" x14ac:dyDescent="0.15">
      <c r="A33" s="345" t="s">
        <v>355</v>
      </c>
      <c r="B33" s="308">
        <v>860243243</v>
      </c>
      <c r="C33" s="350">
        <v>80.22</v>
      </c>
      <c r="D33" s="308">
        <v>1422923</v>
      </c>
      <c r="E33" s="308">
        <v>25404.2</v>
      </c>
      <c r="F33" s="344" t="s">
        <v>48</v>
      </c>
      <c r="G33" s="25"/>
      <c r="I33" s="307"/>
      <c r="J33" s="307"/>
    </row>
    <row r="34" spans="1:11" s="304" customFormat="1" ht="12.95" customHeight="1" x14ac:dyDescent="0.15">
      <c r="A34" s="541"/>
      <c r="B34" s="308"/>
      <c r="C34" s="350"/>
      <c r="D34" s="308"/>
      <c r="E34" s="308"/>
      <c r="F34" s="335"/>
      <c r="G34" s="25"/>
      <c r="I34" s="307"/>
      <c r="J34" s="307"/>
    </row>
    <row r="35" spans="1:11" s="304" customFormat="1" ht="12.95" customHeight="1" x14ac:dyDescent="0.15">
      <c r="A35" s="541" t="s">
        <v>24</v>
      </c>
      <c r="B35" s="308">
        <v>344804791</v>
      </c>
      <c r="C35" s="350">
        <v>80.22</v>
      </c>
      <c r="D35" s="308">
        <v>556577</v>
      </c>
      <c r="E35" s="308">
        <v>9239.2999999999993</v>
      </c>
      <c r="F35" s="335"/>
      <c r="G35" s="25" t="s">
        <v>29</v>
      </c>
      <c r="I35" s="307"/>
      <c r="J35" s="307"/>
    </row>
    <row r="36" spans="1:11" s="304" customFormat="1" ht="12.95" customHeight="1" x14ac:dyDescent="0.15">
      <c r="A36" s="541" t="s">
        <v>25</v>
      </c>
      <c r="B36" s="308">
        <v>54691194</v>
      </c>
      <c r="C36" s="350">
        <v>80.540000000000006</v>
      </c>
      <c r="D36" s="308">
        <v>87806</v>
      </c>
      <c r="E36" s="308">
        <v>680.2</v>
      </c>
      <c r="F36" s="335"/>
      <c r="G36" s="25" t="s">
        <v>30</v>
      </c>
      <c r="I36" s="307"/>
      <c r="J36" s="307"/>
    </row>
    <row r="37" spans="1:11" s="304" customFormat="1" ht="12.95" customHeight="1" x14ac:dyDescent="0.15">
      <c r="A37" s="541" t="s">
        <v>26</v>
      </c>
      <c r="B37" s="308">
        <v>35559025</v>
      </c>
      <c r="C37" s="350">
        <v>79.709999999999994</v>
      </c>
      <c r="D37" s="308">
        <v>59890</v>
      </c>
      <c r="E37" s="308">
        <v>1958.4</v>
      </c>
      <c r="F37" s="335"/>
      <c r="G37" s="25" t="s">
        <v>31</v>
      </c>
      <c r="I37" s="307"/>
      <c r="J37" s="307"/>
    </row>
    <row r="38" spans="1:11" s="304" customFormat="1" ht="12.95" customHeight="1" x14ac:dyDescent="0.15">
      <c r="A38" s="541" t="s">
        <v>27</v>
      </c>
      <c r="B38" s="308">
        <v>8653370</v>
      </c>
      <c r="C38" s="350">
        <v>80.28</v>
      </c>
      <c r="D38" s="308">
        <v>14360</v>
      </c>
      <c r="E38" s="308">
        <v>277.2</v>
      </c>
      <c r="F38" s="335"/>
      <c r="G38" s="25" t="s">
        <v>32</v>
      </c>
      <c r="I38" s="307"/>
      <c r="J38" s="307"/>
    </row>
    <row r="39" spans="1:11" s="304" customFormat="1" ht="12.95" customHeight="1" x14ac:dyDescent="0.15">
      <c r="A39" s="541" t="s">
        <v>51</v>
      </c>
      <c r="B39" s="308">
        <v>375867924</v>
      </c>
      <c r="C39" s="350">
        <v>80.17</v>
      </c>
      <c r="D39" s="308">
        <v>559884</v>
      </c>
      <c r="E39" s="308">
        <v>12226.3</v>
      </c>
      <c r="F39" s="335"/>
      <c r="G39" s="25" t="s">
        <v>57</v>
      </c>
      <c r="I39" s="307"/>
      <c r="J39" s="307"/>
    </row>
    <row r="40" spans="1:11" s="304" customFormat="1" ht="12.95" customHeight="1" x14ac:dyDescent="0.15">
      <c r="A40" s="541" t="s">
        <v>65</v>
      </c>
      <c r="B40" s="308">
        <v>16472745</v>
      </c>
      <c r="C40" s="350">
        <v>82.29</v>
      </c>
      <c r="D40" s="308">
        <v>71109</v>
      </c>
      <c r="E40" s="308">
        <v>663.2</v>
      </c>
      <c r="F40" s="335"/>
      <c r="G40" s="25" t="s">
        <v>56</v>
      </c>
      <c r="I40" s="307"/>
      <c r="J40" s="307"/>
    </row>
    <row r="41" spans="1:11" s="304" customFormat="1" ht="12.95" customHeight="1" x14ac:dyDescent="0.15">
      <c r="A41" s="541" t="s">
        <v>13</v>
      </c>
      <c r="B41" s="308">
        <v>10313978</v>
      </c>
      <c r="C41" s="350">
        <v>76.040000000000006</v>
      </c>
      <c r="D41" s="308">
        <v>32176</v>
      </c>
      <c r="E41" s="308">
        <v>4.4000000000000004</v>
      </c>
      <c r="F41" s="335"/>
      <c r="G41" s="25" t="s">
        <v>20</v>
      </c>
      <c r="I41" s="307"/>
      <c r="J41" s="307"/>
    </row>
    <row r="42" spans="1:11" s="304" customFormat="1" ht="12.95" customHeight="1" x14ac:dyDescent="0.15">
      <c r="A42" s="541" t="s">
        <v>52</v>
      </c>
      <c r="B42" s="308">
        <v>3453723</v>
      </c>
      <c r="C42" s="350">
        <v>85.45</v>
      </c>
      <c r="D42" s="308">
        <v>17342</v>
      </c>
      <c r="E42" s="308">
        <v>150.6</v>
      </c>
      <c r="F42" s="335"/>
      <c r="G42" s="25" t="s">
        <v>46</v>
      </c>
      <c r="I42" s="307"/>
      <c r="J42" s="307"/>
    </row>
    <row r="43" spans="1:11" ht="12.95" customHeight="1" x14ac:dyDescent="0.15">
      <c r="A43" s="920" t="s">
        <v>353</v>
      </c>
      <c r="B43" s="627">
        <v>10426493</v>
      </c>
      <c r="C43" s="630">
        <v>81.31</v>
      </c>
      <c r="D43" s="627">
        <v>23779</v>
      </c>
      <c r="E43" s="627">
        <v>204.6</v>
      </c>
      <c r="F43" s="848"/>
      <c r="G43" s="849" t="s">
        <v>352</v>
      </c>
      <c r="I43" s="342"/>
      <c r="J43" s="307"/>
    </row>
    <row r="44" spans="1:11" ht="12.95" customHeight="1" x14ac:dyDescent="0.15">
      <c r="A44" s="543" t="s">
        <v>1038</v>
      </c>
      <c r="B44" s="103"/>
      <c r="C44" s="339"/>
      <c r="D44" s="339"/>
      <c r="E44" s="339"/>
      <c r="F44" s="341"/>
      <c r="G44" s="25"/>
    </row>
    <row r="45" spans="1:11" ht="12.95" customHeight="1" x14ac:dyDescent="0.15">
      <c r="A45" s="543" t="s">
        <v>1059</v>
      </c>
      <c r="B45" s="340"/>
      <c r="C45" s="339"/>
      <c r="D45" s="339"/>
      <c r="E45" s="25"/>
      <c r="F45" s="25"/>
      <c r="G45" s="337"/>
      <c r="H45" s="336"/>
      <c r="I45" s="336"/>
      <c r="J45" s="335"/>
      <c r="K45" s="25"/>
    </row>
    <row r="46" spans="1:11" ht="12.95" customHeight="1" x14ac:dyDescent="0.15">
      <c r="A46" s="543" t="s">
        <v>1041</v>
      </c>
    </row>
    <row r="47" spans="1:11" ht="12.95" customHeight="1" x14ac:dyDescent="0.15">
      <c r="A47" s="543" t="s">
        <v>1060</v>
      </c>
      <c r="B47" s="338"/>
      <c r="C47" s="338"/>
      <c r="D47" s="338"/>
      <c r="E47" s="338"/>
      <c r="F47" s="338"/>
      <c r="G47" s="337"/>
      <c r="H47" s="336"/>
      <c r="I47" s="336"/>
      <c r="J47" s="335"/>
      <c r="K47" s="25"/>
    </row>
    <row r="48" spans="1:11" ht="12.95" customHeight="1" x14ac:dyDescent="0.15">
      <c r="A48" s="338" t="s">
        <v>1044</v>
      </c>
      <c r="B48" s="338"/>
      <c r="C48" s="338"/>
      <c r="D48" s="338"/>
      <c r="E48" s="338"/>
      <c r="F48" s="338"/>
      <c r="G48" s="337"/>
      <c r="H48" s="336"/>
      <c r="I48" s="336"/>
      <c r="J48" s="335"/>
      <c r="K48" s="25"/>
    </row>
    <row r="49" spans="1:7" ht="12.95" customHeight="1" x14ac:dyDescent="0.15">
      <c r="A49" s="1130" t="s">
        <v>677</v>
      </c>
      <c r="B49" s="1130"/>
      <c r="C49" s="1130"/>
      <c r="D49" s="1130"/>
      <c r="E49" s="1130"/>
      <c r="F49" s="1130"/>
      <c r="G49" s="1130"/>
    </row>
  </sheetData>
  <mergeCells count="4">
    <mergeCell ref="F3:G6"/>
    <mergeCell ref="A24:G24"/>
    <mergeCell ref="F28:G31"/>
    <mergeCell ref="A49:G49"/>
  </mergeCells>
  <phoneticPr fontId="34"/>
  <pageMargins left="0.59055118110236227" right="0.59055118110236227" top="0.59055118110236227" bottom="0.59055118110236227" header="0.51181102362204722" footer="0.51181102362204722"/>
  <pageSetup paperSize="9" scale="96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9B13-EB51-46BA-ACA5-0B7F4DAE8930}">
  <sheetPr>
    <pageSetUpPr fitToPage="1"/>
  </sheetPr>
  <dimension ref="A1:J29"/>
  <sheetViews>
    <sheetView view="pageBreakPreview" zoomScaleNormal="100" zoomScaleSheetLayoutView="100" workbookViewId="0"/>
  </sheetViews>
  <sheetFormatPr defaultRowHeight="13.5" x14ac:dyDescent="0.15"/>
  <cols>
    <col min="1" max="9" width="10.625" style="873" customWidth="1"/>
    <col min="10" max="17" width="12.625" style="873" customWidth="1"/>
    <col min="18" max="16384" width="9" style="873"/>
  </cols>
  <sheetData>
    <row r="1" spans="1:10" ht="19.5" customHeight="1" x14ac:dyDescent="0.15">
      <c r="A1" s="926" t="s">
        <v>1061</v>
      </c>
      <c r="B1" s="926"/>
      <c r="C1" s="926"/>
      <c r="D1" s="926"/>
      <c r="E1" s="926"/>
      <c r="F1" s="926"/>
      <c r="G1" s="926"/>
      <c r="H1" s="926"/>
    </row>
    <row r="2" spans="1:10" ht="19.5" customHeight="1" x14ac:dyDescent="0.15">
      <c r="A2" s="926" t="s">
        <v>1062</v>
      </c>
      <c r="B2" s="926"/>
      <c r="C2" s="926"/>
      <c r="D2" s="926"/>
      <c r="E2" s="926"/>
      <c r="F2" s="926"/>
      <c r="G2" s="926"/>
      <c r="H2" s="926"/>
      <c r="I2" s="927"/>
    </row>
    <row r="3" spans="1:10" ht="16.5" customHeight="1" x14ac:dyDescent="0.15">
      <c r="A3" s="928"/>
      <c r="B3" s="928"/>
      <c r="C3" s="928"/>
      <c r="D3" s="928"/>
      <c r="E3" s="928"/>
      <c r="F3" s="928"/>
      <c r="G3" s="929"/>
      <c r="H3" s="930" t="s">
        <v>1063</v>
      </c>
      <c r="I3" s="931"/>
    </row>
    <row r="4" spans="1:10" s="933" customFormat="1" ht="18" customHeight="1" x14ac:dyDescent="0.15">
      <c r="A4" s="1137" t="s">
        <v>723</v>
      </c>
      <c r="B4" s="932" t="s">
        <v>724</v>
      </c>
      <c r="C4" s="1140" t="s">
        <v>725</v>
      </c>
      <c r="D4" s="1141"/>
      <c r="E4" s="1142"/>
      <c r="F4" s="1140" t="s">
        <v>726</v>
      </c>
      <c r="G4" s="1141"/>
      <c r="H4" s="1142"/>
      <c r="I4" s="1143" t="s">
        <v>727</v>
      </c>
    </row>
    <row r="5" spans="1:10" s="933" customFormat="1" ht="18" customHeight="1" x14ac:dyDescent="0.15">
      <c r="A5" s="1138"/>
      <c r="B5" s="934" t="s">
        <v>728</v>
      </c>
      <c r="C5" s="935" t="s">
        <v>729</v>
      </c>
      <c r="D5" s="936" t="s">
        <v>730</v>
      </c>
      <c r="E5" s="937" t="s">
        <v>731</v>
      </c>
      <c r="F5" s="937" t="s">
        <v>732</v>
      </c>
      <c r="G5" s="938" t="s">
        <v>733</v>
      </c>
      <c r="H5" s="939" t="s">
        <v>734</v>
      </c>
      <c r="I5" s="1144"/>
    </row>
    <row r="6" spans="1:10" s="933" customFormat="1" ht="18" customHeight="1" x14ac:dyDescent="0.15">
      <c r="A6" s="1138"/>
      <c r="B6" s="934"/>
      <c r="C6" s="934"/>
      <c r="D6" s="938"/>
      <c r="E6" s="934" t="s">
        <v>735</v>
      </c>
      <c r="F6" s="934" t="s">
        <v>736</v>
      </c>
      <c r="G6" s="938" t="s">
        <v>737</v>
      </c>
      <c r="H6" s="939"/>
      <c r="I6" s="1144"/>
    </row>
    <row r="7" spans="1:10" s="933" customFormat="1" ht="39.950000000000003" customHeight="1" x14ac:dyDescent="0.15">
      <c r="A7" s="1139"/>
      <c r="B7" s="940" t="s">
        <v>738</v>
      </c>
      <c r="C7" s="941" t="s">
        <v>739</v>
      </c>
      <c r="D7" s="942" t="s">
        <v>740</v>
      </c>
      <c r="E7" s="942" t="s">
        <v>741</v>
      </c>
      <c r="F7" s="942" t="s">
        <v>742</v>
      </c>
      <c r="G7" s="943" t="s">
        <v>743</v>
      </c>
      <c r="H7" s="944" t="s">
        <v>744</v>
      </c>
      <c r="I7" s="1145"/>
    </row>
    <row r="8" spans="1:10" ht="18" customHeight="1" x14ac:dyDescent="0.15">
      <c r="A8" s="945" t="s">
        <v>1064</v>
      </c>
      <c r="B8" s="946">
        <v>65890673</v>
      </c>
      <c r="C8" s="947">
        <v>37454321</v>
      </c>
      <c r="D8" s="946">
        <v>24438749</v>
      </c>
      <c r="E8" s="946">
        <v>3407575</v>
      </c>
      <c r="F8" s="946">
        <v>2538837</v>
      </c>
      <c r="G8" s="948">
        <v>2455198</v>
      </c>
      <c r="H8" s="949">
        <v>4994035</v>
      </c>
      <c r="I8" s="950" t="s">
        <v>879</v>
      </c>
    </row>
    <row r="9" spans="1:10" ht="18" customHeight="1" x14ac:dyDescent="0.15">
      <c r="A9" s="951"/>
      <c r="B9" s="952"/>
      <c r="C9" s="953"/>
      <c r="D9" s="952"/>
      <c r="E9" s="952"/>
      <c r="F9" s="952"/>
      <c r="G9" s="954"/>
      <c r="H9" s="955"/>
      <c r="I9" s="956"/>
    </row>
    <row r="10" spans="1:10" ht="18" customHeight="1" x14ac:dyDescent="0.15">
      <c r="A10" s="505" t="s">
        <v>1065</v>
      </c>
      <c r="B10" s="957">
        <v>6109400</v>
      </c>
      <c r="C10" s="958">
        <v>3720094</v>
      </c>
      <c r="D10" s="957">
        <v>2623857</v>
      </c>
      <c r="E10" s="957">
        <v>386184</v>
      </c>
      <c r="F10" s="957">
        <v>2648634</v>
      </c>
      <c r="G10" s="959">
        <v>2293516</v>
      </c>
      <c r="H10" s="960">
        <v>4942150</v>
      </c>
      <c r="I10" s="310" t="s">
        <v>890</v>
      </c>
      <c r="J10" s="961"/>
    </row>
    <row r="11" spans="1:10" ht="18" customHeight="1" x14ac:dyDescent="0.15">
      <c r="A11" s="505" t="s">
        <v>745</v>
      </c>
      <c r="B11" s="957">
        <v>6024671</v>
      </c>
      <c r="C11" s="958">
        <v>3385755</v>
      </c>
      <c r="D11" s="957">
        <v>2497100</v>
      </c>
      <c r="E11" s="957">
        <v>378842</v>
      </c>
      <c r="F11" s="957">
        <v>2466166</v>
      </c>
      <c r="G11" s="959">
        <v>2138105</v>
      </c>
      <c r="H11" s="960">
        <v>4604271</v>
      </c>
      <c r="I11" s="228" t="s">
        <v>397</v>
      </c>
      <c r="J11" s="961"/>
    </row>
    <row r="12" spans="1:10" ht="18" customHeight="1" x14ac:dyDescent="0.15">
      <c r="A12" s="505" t="s">
        <v>746</v>
      </c>
      <c r="B12" s="957">
        <v>5549877</v>
      </c>
      <c r="C12" s="958">
        <v>3583280</v>
      </c>
      <c r="D12" s="957">
        <v>2461576</v>
      </c>
      <c r="E12" s="957">
        <v>178509</v>
      </c>
      <c r="F12" s="957">
        <v>1784486</v>
      </c>
      <c r="G12" s="959">
        <v>2162679</v>
      </c>
      <c r="H12" s="960">
        <v>3947165</v>
      </c>
      <c r="I12" s="228" t="s">
        <v>398</v>
      </c>
      <c r="J12" s="961"/>
    </row>
    <row r="13" spans="1:10" ht="18" customHeight="1" x14ac:dyDescent="0.15">
      <c r="A13" s="505" t="s">
        <v>747</v>
      </c>
      <c r="B13" s="957">
        <v>5285132</v>
      </c>
      <c r="C13" s="958">
        <v>2389012</v>
      </c>
      <c r="D13" s="957">
        <v>1761939</v>
      </c>
      <c r="E13" s="957">
        <v>255666</v>
      </c>
      <c r="F13" s="957">
        <v>2600037</v>
      </c>
      <c r="G13" s="959">
        <v>2108281</v>
      </c>
      <c r="H13" s="960">
        <v>4708318</v>
      </c>
      <c r="I13" s="228" t="s">
        <v>399</v>
      </c>
      <c r="J13" s="961"/>
    </row>
    <row r="14" spans="1:10" ht="18" customHeight="1" x14ac:dyDescent="0.15">
      <c r="A14" s="505" t="s">
        <v>748</v>
      </c>
      <c r="B14" s="957">
        <v>4872140</v>
      </c>
      <c r="C14" s="958">
        <v>2343054</v>
      </c>
      <c r="D14" s="957">
        <v>1643876</v>
      </c>
      <c r="E14" s="957">
        <v>243005</v>
      </c>
      <c r="F14" s="957">
        <v>2589701</v>
      </c>
      <c r="G14" s="959">
        <v>2443219</v>
      </c>
      <c r="H14" s="960">
        <v>5032920</v>
      </c>
      <c r="I14" s="228" t="s">
        <v>407</v>
      </c>
      <c r="J14" s="961"/>
    </row>
    <row r="15" spans="1:10" ht="18" customHeight="1" x14ac:dyDescent="0.15">
      <c r="A15" s="505" t="s">
        <v>749</v>
      </c>
      <c r="B15" s="957">
        <v>4567282</v>
      </c>
      <c r="C15" s="958">
        <v>2554131</v>
      </c>
      <c r="D15" s="957">
        <v>1679909</v>
      </c>
      <c r="E15" s="957">
        <v>280848</v>
      </c>
      <c r="F15" s="957">
        <v>2567033</v>
      </c>
      <c r="G15" s="959">
        <v>2597945</v>
      </c>
      <c r="H15" s="960">
        <v>5164978</v>
      </c>
      <c r="I15" s="228" t="s">
        <v>400</v>
      </c>
      <c r="J15" s="961"/>
    </row>
    <row r="16" spans="1:10" ht="18" customHeight="1" x14ac:dyDescent="0.15">
      <c r="A16" s="505" t="s">
        <v>750</v>
      </c>
      <c r="B16" s="957">
        <v>5620635</v>
      </c>
      <c r="C16" s="958">
        <v>3506524</v>
      </c>
      <c r="D16" s="957">
        <v>2007628</v>
      </c>
      <c r="E16" s="957">
        <v>335728</v>
      </c>
      <c r="F16" s="957">
        <v>2298337</v>
      </c>
      <c r="G16" s="959">
        <v>2402943</v>
      </c>
      <c r="H16" s="960">
        <v>4701280</v>
      </c>
      <c r="I16" s="228" t="s">
        <v>401</v>
      </c>
      <c r="J16" s="961"/>
    </row>
    <row r="17" spans="1:10" ht="18" customHeight="1" x14ac:dyDescent="0.15">
      <c r="A17" s="505" t="s">
        <v>751</v>
      </c>
      <c r="B17" s="957">
        <v>5729445</v>
      </c>
      <c r="C17" s="958">
        <v>3700408</v>
      </c>
      <c r="D17" s="957">
        <v>1842942</v>
      </c>
      <c r="E17" s="957">
        <v>329404</v>
      </c>
      <c r="F17" s="957">
        <v>2225653</v>
      </c>
      <c r="G17" s="959">
        <v>2297385</v>
      </c>
      <c r="H17" s="960">
        <v>4523038</v>
      </c>
      <c r="I17" s="228" t="s">
        <v>402</v>
      </c>
      <c r="J17" s="961"/>
    </row>
    <row r="18" spans="1:10" ht="18" customHeight="1" x14ac:dyDescent="0.15">
      <c r="A18" s="505" t="s">
        <v>752</v>
      </c>
      <c r="B18" s="957">
        <v>5430092</v>
      </c>
      <c r="C18" s="958">
        <v>3327150</v>
      </c>
      <c r="D18" s="957">
        <v>1838994</v>
      </c>
      <c r="E18" s="957">
        <v>335227</v>
      </c>
      <c r="F18" s="957">
        <v>2299397</v>
      </c>
      <c r="G18" s="959">
        <v>2321049</v>
      </c>
      <c r="H18" s="960">
        <v>4620446</v>
      </c>
      <c r="I18" s="228" t="s">
        <v>403</v>
      </c>
      <c r="J18" s="961"/>
    </row>
    <row r="19" spans="1:10" ht="18" customHeight="1" x14ac:dyDescent="0.15">
      <c r="A19" s="505" t="s">
        <v>753</v>
      </c>
      <c r="B19" s="957">
        <v>5292226</v>
      </c>
      <c r="C19" s="958">
        <v>2783391</v>
      </c>
      <c r="D19" s="957">
        <v>1672036</v>
      </c>
      <c r="E19" s="957">
        <v>226687</v>
      </c>
      <c r="F19" s="957">
        <v>2339129</v>
      </c>
      <c r="G19" s="959">
        <v>2527255</v>
      </c>
      <c r="H19" s="960">
        <v>4866384</v>
      </c>
      <c r="I19" s="228" t="s">
        <v>404</v>
      </c>
      <c r="J19" s="961"/>
    </row>
    <row r="20" spans="1:10" ht="18" customHeight="1" x14ac:dyDescent="0.15">
      <c r="A20" s="505" t="s">
        <v>754</v>
      </c>
      <c r="B20" s="957">
        <v>5049815</v>
      </c>
      <c r="C20" s="958">
        <v>2712575</v>
      </c>
      <c r="D20" s="957">
        <v>1916899</v>
      </c>
      <c r="E20" s="957">
        <v>143810</v>
      </c>
      <c r="F20" s="957">
        <v>2236577</v>
      </c>
      <c r="G20" s="959">
        <v>2788658</v>
      </c>
      <c r="H20" s="960">
        <v>5025235</v>
      </c>
      <c r="I20" s="228" t="s">
        <v>405</v>
      </c>
      <c r="J20" s="961"/>
    </row>
    <row r="21" spans="1:10" ht="18" customHeight="1" x14ac:dyDescent="0.15">
      <c r="A21" s="962" t="s">
        <v>755</v>
      </c>
      <c r="B21" s="963">
        <v>6359958</v>
      </c>
      <c r="C21" s="964">
        <v>3448947</v>
      </c>
      <c r="D21" s="963">
        <v>2491993</v>
      </c>
      <c r="E21" s="963">
        <v>313665</v>
      </c>
      <c r="F21" s="963">
        <v>2538837</v>
      </c>
      <c r="G21" s="965">
        <v>2455198</v>
      </c>
      <c r="H21" s="966">
        <v>4994035</v>
      </c>
      <c r="I21" s="900" t="s">
        <v>406</v>
      </c>
      <c r="J21" s="961"/>
    </row>
    <row r="22" spans="1:10" s="968" customFormat="1" ht="16.5" customHeight="1" x14ac:dyDescent="0.15">
      <c r="A22" s="967" t="s">
        <v>1066</v>
      </c>
      <c r="B22" s="945"/>
      <c r="C22" s="945"/>
      <c r="D22" s="945"/>
      <c r="E22" s="945"/>
      <c r="F22" s="967"/>
      <c r="G22" s="945"/>
      <c r="H22" s="945"/>
      <c r="I22" s="945"/>
    </row>
    <row r="23" spans="1:10" s="968" customFormat="1" ht="16.5" customHeight="1" x14ac:dyDescent="0.15">
      <c r="A23" s="951" t="s">
        <v>1067</v>
      </c>
      <c r="B23" s="951"/>
      <c r="C23" s="951"/>
      <c r="D23" s="951"/>
      <c r="E23" s="951"/>
      <c r="F23" s="951"/>
      <c r="G23" s="951"/>
      <c r="H23" s="951"/>
      <c r="I23" s="951"/>
    </row>
    <row r="24" spans="1:10" s="968" customFormat="1" ht="16.5" customHeight="1" x14ac:dyDescent="0.15">
      <c r="A24" s="951" t="s">
        <v>1068</v>
      </c>
      <c r="B24" s="951"/>
      <c r="C24" s="951"/>
      <c r="D24" s="951"/>
      <c r="E24" s="951"/>
      <c r="F24" s="951"/>
      <c r="G24" s="951"/>
      <c r="H24" s="951"/>
      <c r="I24" s="951"/>
    </row>
    <row r="25" spans="1:10" s="968" customFormat="1" ht="16.5" customHeight="1" x14ac:dyDescent="0.15">
      <c r="A25" s="951" t="s">
        <v>1069</v>
      </c>
      <c r="B25" s="951"/>
      <c r="C25" s="951"/>
      <c r="D25" s="951"/>
      <c r="E25" s="951"/>
      <c r="F25" s="951"/>
      <c r="G25" s="951"/>
      <c r="H25" s="951"/>
      <c r="I25" s="951"/>
    </row>
    <row r="26" spans="1:10" s="968" customFormat="1" ht="16.5" customHeight="1" x14ac:dyDescent="0.15">
      <c r="A26" s="478" t="s">
        <v>1070</v>
      </c>
      <c r="B26" s="951"/>
      <c r="C26" s="951"/>
      <c r="D26" s="951"/>
      <c r="E26" s="951"/>
      <c r="F26" s="951"/>
      <c r="G26" s="951"/>
      <c r="H26" s="951"/>
      <c r="I26" s="951"/>
    </row>
    <row r="27" spans="1:10" s="968" customFormat="1" ht="16.5" customHeight="1" x14ac:dyDescent="0.15">
      <c r="A27" s="951" t="s">
        <v>1071</v>
      </c>
      <c r="B27" s="951"/>
      <c r="C27" s="951"/>
      <c r="D27" s="951"/>
      <c r="E27" s="951"/>
      <c r="F27" s="951"/>
      <c r="G27" s="951"/>
      <c r="H27" s="951"/>
      <c r="I27" s="951"/>
    </row>
    <row r="28" spans="1:10" s="968" customFormat="1" ht="16.5" customHeight="1" x14ac:dyDescent="0.15">
      <c r="A28" s="951" t="s">
        <v>1072</v>
      </c>
      <c r="B28" s="951"/>
      <c r="C28" s="951"/>
      <c r="D28" s="951"/>
      <c r="E28" s="951"/>
      <c r="F28" s="951"/>
      <c r="G28" s="951"/>
      <c r="H28" s="951"/>
      <c r="I28" s="951"/>
    </row>
    <row r="29" spans="1:10" s="968" customFormat="1" ht="16.5" customHeight="1" x14ac:dyDescent="0.15">
      <c r="A29" s="951" t="s">
        <v>1073</v>
      </c>
      <c r="B29" s="951"/>
      <c r="C29" s="951"/>
      <c r="D29" s="951"/>
      <c r="E29" s="951"/>
      <c r="F29" s="951"/>
      <c r="G29" s="951"/>
      <c r="H29" s="951"/>
      <c r="I29" s="951"/>
    </row>
  </sheetData>
  <mergeCells count="4">
    <mergeCell ref="A4:A7"/>
    <mergeCell ref="C4:E4"/>
    <mergeCell ref="F4:H4"/>
    <mergeCell ref="I4:I7"/>
  </mergeCells>
  <phoneticPr fontId="34"/>
  <printOptions horizontalCentered="1"/>
  <pageMargins left="0.59055118110236227" right="0.59055118110236227" top="0.59055118110236227" bottom="0.59055118110236227" header="0.59055118110236227" footer="0.31496062992125984"/>
  <pageSetup paperSize="9" scale="96" orientation="portrait" r:id="rId1"/>
  <headerFooter differentFirs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32CA-9C15-46F2-8DCC-67F3782381A6}">
  <sheetPr>
    <pageSetUpPr fitToPage="1"/>
  </sheetPr>
  <dimension ref="A1:V61"/>
  <sheetViews>
    <sheetView view="pageBreakPreview" zoomScaleNormal="100" zoomScaleSheetLayoutView="100" workbookViewId="0"/>
  </sheetViews>
  <sheetFormatPr defaultRowHeight="13.5" x14ac:dyDescent="0.15"/>
  <cols>
    <col min="1" max="1" width="8.625" style="873" customWidth="1"/>
    <col min="2" max="8" width="10.625" style="873" customWidth="1"/>
    <col min="9" max="9" width="8.625" style="873" customWidth="1"/>
    <col min="10" max="12" width="12.625" style="873" customWidth="1"/>
    <col min="13" max="21" width="12.75" style="873" customWidth="1"/>
    <col min="22" max="22" width="12.5" style="873" customWidth="1"/>
    <col min="23" max="16384" width="9" style="873"/>
  </cols>
  <sheetData>
    <row r="1" spans="1:12" ht="19.5" customHeight="1" x14ac:dyDescent="0.15">
      <c r="A1" s="969"/>
      <c r="B1" s="969"/>
      <c r="C1" s="969"/>
      <c r="D1" s="969"/>
      <c r="E1" s="969"/>
      <c r="F1" s="969"/>
    </row>
    <row r="2" spans="1:12" ht="19.5" customHeight="1" x14ac:dyDescent="0.15">
      <c r="A2" s="970" t="s">
        <v>1074</v>
      </c>
      <c r="B2" s="971"/>
      <c r="C2" s="971"/>
      <c r="D2" s="971"/>
      <c r="E2" s="971"/>
      <c r="F2" s="971"/>
      <c r="G2" s="972"/>
      <c r="H2" s="972"/>
      <c r="I2" s="972"/>
    </row>
    <row r="3" spans="1:12" ht="15.6" customHeight="1" x14ac:dyDescent="0.15">
      <c r="A3" s="973"/>
      <c r="B3" s="973"/>
      <c r="C3" s="930"/>
      <c r="D3" s="930"/>
      <c r="E3" s="930"/>
      <c r="F3" s="930"/>
      <c r="G3" s="973"/>
      <c r="H3" s="930" t="s">
        <v>1063</v>
      </c>
      <c r="I3" s="973"/>
      <c r="J3" s="974"/>
      <c r="K3" s="975"/>
      <c r="L3" s="974"/>
    </row>
    <row r="4" spans="1:12" ht="15.6" customHeight="1" x14ac:dyDescent="0.15">
      <c r="A4" s="1137" t="s">
        <v>723</v>
      </c>
      <c r="B4" s="976" t="s">
        <v>756</v>
      </c>
      <c r="C4" s="976" t="s">
        <v>757</v>
      </c>
      <c r="D4" s="976" t="s">
        <v>1075</v>
      </c>
      <c r="E4" s="976" t="s">
        <v>53</v>
      </c>
      <c r="F4" s="976" t="s">
        <v>11</v>
      </c>
      <c r="G4" s="976" t="s">
        <v>50</v>
      </c>
      <c r="H4" s="976" t="s">
        <v>26</v>
      </c>
      <c r="I4" s="1143" t="s">
        <v>727</v>
      </c>
      <c r="J4" s="977"/>
      <c r="K4" s="978"/>
    </row>
    <row r="5" spans="1:12" ht="15.6" customHeight="1" x14ac:dyDescent="0.15">
      <c r="A5" s="1138"/>
      <c r="B5" s="1146" t="s">
        <v>758</v>
      </c>
      <c r="C5" s="1146" t="s">
        <v>759</v>
      </c>
      <c r="D5" s="1146" t="s">
        <v>1076</v>
      </c>
      <c r="E5" s="1146" t="s">
        <v>16</v>
      </c>
      <c r="F5" s="1146" t="s">
        <v>17</v>
      </c>
      <c r="G5" s="1146" t="s">
        <v>18</v>
      </c>
      <c r="H5" s="1146" t="s">
        <v>31</v>
      </c>
      <c r="I5" s="1144"/>
      <c r="J5" s="977"/>
      <c r="K5" s="1150"/>
    </row>
    <row r="6" spans="1:12" ht="15.6" customHeight="1" x14ac:dyDescent="0.15">
      <c r="A6" s="1139"/>
      <c r="B6" s="1147"/>
      <c r="C6" s="1147"/>
      <c r="D6" s="1147"/>
      <c r="E6" s="1146"/>
      <c r="F6" s="1146"/>
      <c r="G6" s="1146"/>
      <c r="H6" s="1146"/>
      <c r="I6" s="1145"/>
      <c r="J6" s="978"/>
      <c r="K6" s="1150"/>
    </row>
    <row r="7" spans="1:12" ht="9.9499999999999993" customHeight="1" x14ac:dyDescent="0.15">
      <c r="A7" s="979"/>
      <c r="B7" s="980"/>
      <c r="C7" s="980"/>
      <c r="D7" s="980"/>
      <c r="E7" s="980"/>
      <c r="F7" s="980"/>
      <c r="G7" s="980"/>
      <c r="H7" s="980"/>
      <c r="I7" s="981"/>
      <c r="J7" s="982"/>
      <c r="K7" s="982"/>
    </row>
    <row r="8" spans="1:12" ht="15.6" customHeight="1" x14ac:dyDescent="0.15">
      <c r="A8" s="983" t="s">
        <v>1064</v>
      </c>
      <c r="B8" s="984">
        <v>65890673</v>
      </c>
      <c r="C8" s="984">
        <v>123488</v>
      </c>
      <c r="D8" s="984">
        <v>90896</v>
      </c>
      <c r="E8" s="984">
        <v>10245365</v>
      </c>
      <c r="F8" s="984">
        <v>2738905</v>
      </c>
      <c r="G8" s="984">
        <v>3127017</v>
      </c>
      <c r="H8" s="984">
        <v>2874735</v>
      </c>
      <c r="I8" s="985" t="s">
        <v>879</v>
      </c>
      <c r="J8" s="982"/>
      <c r="K8" s="982"/>
    </row>
    <row r="9" spans="1:12" ht="9.9499999999999993" customHeight="1" x14ac:dyDescent="0.15">
      <c r="A9" s="983"/>
      <c r="B9" s="984"/>
      <c r="C9" s="984"/>
      <c r="D9" s="984"/>
      <c r="E9" s="984"/>
      <c r="F9" s="984"/>
      <c r="G9" s="984"/>
      <c r="H9" s="984"/>
      <c r="I9" s="985"/>
      <c r="J9" s="982"/>
      <c r="K9" s="982"/>
    </row>
    <row r="10" spans="1:12" ht="15.6" customHeight="1" x14ac:dyDescent="0.15">
      <c r="A10" s="631" t="s">
        <v>1077</v>
      </c>
      <c r="B10" s="984">
        <v>6109400</v>
      </c>
      <c r="C10" s="986">
        <v>68223</v>
      </c>
      <c r="D10" s="986" t="s">
        <v>796</v>
      </c>
      <c r="E10" s="986">
        <v>1119947</v>
      </c>
      <c r="F10" s="986">
        <v>199633</v>
      </c>
      <c r="G10" s="984">
        <v>216047</v>
      </c>
      <c r="H10" s="984">
        <v>290232</v>
      </c>
      <c r="I10" s="632" t="s">
        <v>1022</v>
      </c>
      <c r="J10" s="982"/>
      <c r="K10" s="982"/>
    </row>
    <row r="11" spans="1:12" ht="15.6" customHeight="1" x14ac:dyDescent="0.15">
      <c r="A11" s="631" t="s">
        <v>745</v>
      </c>
      <c r="B11" s="984">
        <v>6024671</v>
      </c>
      <c r="C11" s="986" t="s">
        <v>796</v>
      </c>
      <c r="D11" s="986" t="s">
        <v>796</v>
      </c>
      <c r="E11" s="986">
        <v>1099495</v>
      </c>
      <c r="F11" s="986">
        <v>195633</v>
      </c>
      <c r="G11" s="984">
        <v>364806</v>
      </c>
      <c r="H11" s="984">
        <v>342700</v>
      </c>
      <c r="I11" s="632" t="s">
        <v>397</v>
      </c>
      <c r="J11" s="982"/>
      <c r="K11" s="982"/>
    </row>
    <row r="12" spans="1:12" ht="15.6" customHeight="1" x14ac:dyDescent="0.15">
      <c r="A12" s="631" t="s">
        <v>761</v>
      </c>
      <c r="B12" s="984">
        <v>5549877</v>
      </c>
      <c r="C12" s="986" t="s">
        <v>796</v>
      </c>
      <c r="D12" s="986" t="s">
        <v>796</v>
      </c>
      <c r="E12" s="986">
        <v>928914</v>
      </c>
      <c r="F12" s="986">
        <v>335899</v>
      </c>
      <c r="G12" s="984">
        <v>55520</v>
      </c>
      <c r="H12" s="984">
        <v>237746</v>
      </c>
      <c r="I12" s="632" t="s">
        <v>398</v>
      </c>
      <c r="J12" s="982"/>
      <c r="K12" s="982"/>
    </row>
    <row r="13" spans="1:12" ht="15.6" customHeight="1" x14ac:dyDescent="0.15">
      <c r="A13" s="631" t="s">
        <v>762</v>
      </c>
      <c r="B13" s="984">
        <v>5285132</v>
      </c>
      <c r="C13" s="986" t="s">
        <v>796</v>
      </c>
      <c r="D13" s="986" t="s">
        <v>796</v>
      </c>
      <c r="E13" s="986">
        <v>747681</v>
      </c>
      <c r="F13" s="986">
        <v>199684</v>
      </c>
      <c r="G13" s="984">
        <v>358600</v>
      </c>
      <c r="H13" s="984">
        <v>130648</v>
      </c>
      <c r="I13" s="632" t="s">
        <v>399</v>
      </c>
      <c r="J13" s="982"/>
      <c r="K13" s="982"/>
    </row>
    <row r="14" spans="1:12" ht="15.6" customHeight="1" x14ac:dyDescent="0.15">
      <c r="A14" s="631" t="s">
        <v>763</v>
      </c>
      <c r="B14" s="984">
        <v>4872140</v>
      </c>
      <c r="C14" s="986" t="s">
        <v>796</v>
      </c>
      <c r="D14" s="986" t="s">
        <v>796</v>
      </c>
      <c r="E14" s="986">
        <v>1005580</v>
      </c>
      <c r="F14" s="986">
        <v>252616</v>
      </c>
      <c r="G14" s="984">
        <v>244889</v>
      </c>
      <c r="H14" s="984">
        <v>211978</v>
      </c>
      <c r="I14" s="632" t="s">
        <v>407</v>
      </c>
      <c r="J14" s="982"/>
      <c r="K14" s="982"/>
    </row>
    <row r="15" spans="1:12" ht="15.6" customHeight="1" x14ac:dyDescent="0.15">
      <c r="A15" s="631" t="s">
        <v>764</v>
      </c>
      <c r="B15" s="984">
        <v>4567282</v>
      </c>
      <c r="C15" s="986" t="s">
        <v>796</v>
      </c>
      <c r="D15" s="986">
        <v>83243</v>
      </c>
      <c r="E15" s="986">
        <v>524419</v>
      </c>
      <c r="F15" s="986">
        <v>64226</v>
      </c>
      <c r="G15" s="984">
        <v>220512</v>
      </c>
      <c r="H15" s="984">
        <v>255577</v>
      </c>
      <c r="I15" s="632" t="s">
        <v>400</v>
      </c>
      <c r="J15" s="982"/>
      <c r="K15" s="982"/>
    </row>
    <row r="16" spans="1:12" ht="15.6" customHeight="1" x14ac:dyDescent="0.15">
      <c r="A16" s="631" t="s">
        <v>765</v>
      </c>
      <c r="B16" s="984">
        <v>5620635</v>
      </c>
      <c r="C16" s="986" t="s">
        <v>796</v>
      </c>
      <c r="D16" s="986" t="s">
        <v>796</v>
      </c>
      <c r="E16" s="986">
        <v>712359</v>
      </c>
      <c r="F16" s="986">
        <v>455981</v>
      </c>
      <c r="G16" s="984">
        <v>365785</v>
      </c>
      <c r="H16" s="984">
        <v>186625</v>
      </c>
      <c r="I16" s="632" t="s">
        <v>401</v>
      </c>
      <c r="J16" s="982"/>
      <c r="K16" s="982"/>
    </row>
    <row r="17" spans="1:22" ht="15.6" customHeight="1" x14ac:dyDescent="0.15">
      <c r="A17" s="631" t="s">
        <v>766</v>
      </c>
      <c r="B17" s="984">
        <v>5729445</v>
      </c>
      <c r="C17" s="986" t="s">
        <v>796</v>
      </c>
      <c r="D17" s="986" t="s">
        <v>796</v>
      </c>
      <c r="E17" s="986">
        <v>696838</v>
      </c>
      <c r="F17" s="986">
        <v>328739</v>
      </c>
      <c r="G17" s="984">
        <v>235228</v>
      </c>
      <c r="H17" s="984">
        <v>345504</v>
      </c>
      <c r="I17" s="632" t="s">
        <v>402</v>
      </c>
      <c r="J17" s="982"/>
      <c r="K17" s="982"/>
    </row>
    <row r="18" spans="1:22" ht="15.6" customHeight="1" x14ac:dyDescent="0.15">
      <c r="A18" s="631" t="s">
        <v>767</v>
      </c>
      <c r="B18" s="984">
        <v>5430092</v>
      </c>
      <c r="C18" s="986" t="s">
        <v>796</v>
      </c>
      <c r="D18" s="986" t="s">
        <v>796</v>
      </c>
      <c r="E18" s="986">
        <v>795217</v>
      </c>
      <c r="F18" s="986">
        <v>192746</v>
      </c>
      <c r="G18" s="984">
        <v>353897</v>
      </c>
      <c r="H18" s="984">
        <v>293598</v>
      </c>
      <c r="I18" s="632" t="s">
        <v>403</v>
      </c>
      <c r="J18" s="982"/>
      <c r="K18" s="982"/>
    </row>
    <row r="19" spans="1:22" ht="15.6" customHeight="1" x14ac:dyDescent="0.15">
      <c r="A19" s="631" t="s">
        <v>768</v>
      </c>
      <c r="B19" s="984">
        <v>5292226</v>
      </c>
      <c r="C19" s="986" t="s">
        <v>796</v>
      </c>
      <c r="D19" s="986" t="s">
        <v>796</v>
      </c>
      <c r="E19" s="986">
        <v>731797</v>
      </c>
      <c r="F19" s="986">
        <v>259300</v>
      </c>
      <c r="G19" s="984">
        <v>121157</v>
      </c>
      <c r="H19" s="984">
        <v>164334</v>
      </c>
      <c r="I19" s="632" t="s">
        <v>404</v>
      </c>
      <c r="J19" s="982"/>
      <c r="K19" s="982"/>
    </row>
    <row r="20" spans="1:22" ht="15.6" customHeight="1" x14ac:dyDescent="0.15">
      <c r="A20" s="631" t="s">
        <v>769</v>
      </c>
      <c r="B20" s="984">
        <v>5049815</v>
      </c>
      <c r="C20" s="986" t="s">
        <v>796</v>
      </c>
      <c r="D20" s="986">
        <v>7653</v>
      </c>
      <c r="E20" s="986">
        <v>758138</v>
      </c>
      <c r="F20" s="986">
        <v>188127</v>
      </c>
      <c r="G20" s="984">
        <v>299109</v>
      </c>
      <c r="H20" s="984">
        <v>166045</v>
      </c>
      <c r="I20" s="632" t="s">
        <v>405</v>
      </c>
      <c r="J20" s="982"/>
      <c r="K20" s="982"/>
    </row>
    <row r="21" spans="1:22" ht="15.6" customHeight="1" x14ac:dyDescent="0.15">
      <c r="A21" s="987" t="s">
        <v>770</v>
      </c>
      <c r="B21" s="988">
        <v>6359958</v>
      </c>
      <c r="C21" s="989">
        <v>55265</v>
      </c>
      <c r="D21" s="989" t="s">
        <v>796</v>
      </c>
      <c r="E21" s="989">
        <v>1124980</v>
      </c>
      <c r="F21" s="989">
        <v>66321</v>
      </c>
      <c r="G21" s="988">
        <v>291467</v>
      </c>
      <c r="H21" s="988">
        <v>249748</v>
      </c>
      <c r="I21" s="990" t="s">
        <v>406</v>
      </c>
      <c r="J21" s="982"/>
      <c r="K21" s="982"/>
    </row>
    <row r="22" spans="1:22" ht="9.9499999999999993" customHeight="1" x14ac:dyDescent="0.15">
      <c r="A22" s="633"/>
      <c r="B22" s="991"/>
      <c r="C22" s="992"/>
      <c r="D22" s="992"/>
      <c r="E22" s="992"/>
      <c r="F22" s="992"/>
      <c r="G22" s="991"/>
      <c r="H22" s="991"/>
      <c r="I22" s="991"/>
      <c r="J22" s="993"/>
      <c r="K22" s="993"/>
      <c r="L22" s="993"/>
      <c r="M22" s="994"/>
      <c r="N22" s="994"/>
      <c r="O22" s="994"/>
      <c r="P22" s="994"/>
      <c r="Q22" s="994"/>
      <c r="R22" s="994"/>
      <c r="S22" s="994"/>
      <c r="T22" s="994"/>
      <c r="U22" s="994"/>
      <c r="V22" s="506"/>
    </row>
    <row r="23" spans="1:22" ht="15.6" customHeight="1" x14ac:dyDescent="0.15">
      <c r="A23" s="1137" t="s">
        <v>723</v>
      </c>
      <c r="B23" s="976" t="s">
        <v>27</v>
      </c>
      <c r="C23" s="995" t="s">
        <v>51</v>
      </c>
      <c r="D23" s="976" t="s">
        <v>28</v>
      </c>
      <c r="E23" s="995" t="s">
        <v>1078</v>
      </c>
      <c r="F23" s="995" t="s">
        <v>771</v>
      </c>
      <c r="G23" s="995" t="s">
        <v>772</v>
      </c>
      <c r="H23" s="976" t="s">
        <v>773</v>
      </c>
      <c r="I23" s="1143" t="s">
        <v>727</v>
      </c>
      <c r="J23" s="977"/>
      <c r="K23" s="978"/>
      <c r="L23" s="974"/>
      <c r="M23" s="994"/>
      <c r="N23" s="994"/>
      <c r="O23" s="994"/>
      <c r="P23" s="994"/>
      <c r="Q23" s="994"/>
      <c r="R23" s="994"/>
      <c r="S23" s="994"/>
      <c r="T23" s="994"/>
      <c r="U23" s="994"/>
      <c r="V23" s="506"/>
    </row>
    <row r="24" spans="1:22" ht="15.6" customHeight="1" x14ac:dyDescent="0.15">
      <c r="A24" s="1138"/>
      <c r="B24" s="1146" t="s">
        <v>32</v>
      </c>
      <c r="C24" s="1148" t="s">
        <v>774</v>
      </c>
      <c r="D24" s="1146" t="s">
        <v>58</v>
      </c>
      <c r="E24" s="1148" t="s">
        <v>1079</v>
      </c>
      <c r="F24" s="1148" t="s">
        <v>775</v>
      </c>
      <c r="G24" s="1148" t="s">
        <v>776</v>
      </c>
      <c r="H24" s="1146" t="s">
        <v>777</v>
      </c>
      <c r="I24" s="1144"/>
      <c r="J24" s="977"/>
      <c r="K24" s="1150"/>
      <c r="L24" s="974"/>
      <c r="M24" s="994"/>
      <c r="N24" s="994"/>
      <c r="O24" s="994"/>
      <c r="P24" s="994"/>
      <c r="Q24" s="994"/>
      <c r="R24" s="994"/>
      <c r="S24" s="994"/>
      <c r="T24" s="994"/>
      <c r="U24" s="994"/>
      <c r="V24" s="506"/>
    </row>
    <row r="25" spans="1:22" ht="15.6" customHeight="1" x14ac:dyDescent="0.15">
      <c r="A25" s="1139"/>
      <c r="B25" s="1146"/>
      <c r="C25" s="1149"/>
      <c r="D25" s="1146"/>
      <c r="E25" s="1149"/>
      <c r="F25" s="1149"/>
      <c r="G25" s="1149"/>
      <c r="H25" s="1147"/>
      <c r="I25" s="1145"/>
      <c r="J25" s="978"/>
      <c r="K25" s="1150"/>
      <c r="L25" s="996"/>
      <c r="M25" s="994"/>
      <c r="N25" s="994"/>
      <c r="O25" s="994"/>
      <c r="P25" s="994"/>
      <c r="Q25" s="994"/>
      <c r="R25" s="994"/>
      <c r="S25" s="994"/>
      <c r="T25" s="994"/>
      <c r="U25" s="994"/>
      <c r="V25" s="506"/>
    </row>
    <row r="26" spans="1:22" ht="9.9499999999999993" customHeight="1" x14ac:dyDescent="0.15">
      <c r="A26" s="997"/>
      <c r="B26" s="946"/>
      <c r="C26" s="946"/>
      <c r="D26" s="946"/>
      <c r="E26" s="946"/>
      <c r="F26" s="946"/>
      <c r="G26" s="946"/>
      <c r="H26" s="946"/>
      <c r="I26" s="950"/>
      <c r="J26" s="993"/>
      <c r="K26" s="993"/>
      <c r="L26" s="974"/>
      <c r="M26" s="994"/>
      <c r="N26" s="994"/>
      <c r="O26" s="994"/>
      <c r="P26" s="994"/>
      <c r="Q26" s="994"/>
      <c r="R26" s="994"/>
      <c r="S26" s="994"/>
      <c r="T26" s="994"/>
      <c r="U26" s="994"/>
      <c r="V26" s="506"/>
    </row>
    <row r="27" spans="1:22" ht="15.6" customHeight="1" x14ac:dyDescent="0.15">
      <c r="A27" s="983" t="s">
        <v>1064</v>
      </c>
      <c r="B27" s="984">
        <v>3388738</v>
      </c>
      <c r="C27" s="984">
        <v>963575</v>
      </c>
      <c r="D27" s="984">
        <v>5683603</v>
      </c>
      <c r="E27" s="984">
        <v>36</v>
      </c>
      <c r="F27" s="984">
        <v>6336383</v>
      </c>
      <c r="G27" s="984">
        <v>59632</v>
      </c>
      <c r="H27" s="984">
        <v>418773</v>
      </c>
      <c r="I27" s="985" t="s">
        <v>879</v>
      </c>
      <c r="J27" s="993"/>
      <c r="K27" s="993"/>
      <c r="L27" s="974"/>
      <c r="M27" s="994"/>
      <c r="N27" s="994"/>
      <c r="O27" s="994"/>
      <c r="P27" s="994"/>
      <c r="Q27" s="994"/>
      <c r="R27" s="994"/>
      <c r="S27" s="994"/>
      <c r="T27" s="994"/>
      <c r="U27" s="994"/>
      <c r="V27" s="506"/>
    </row>
    <row r="28" spans="1:22" ht="9.9499999999999993" customHeight="1" x14ac:dyDescent="0.15">
      <c r="A28" s="983"/>
      <c r="B28" s="984"/>
      <c r="C28" s="984"/>
      <c r="D28" s="984"/>
      <c r="E28" s="984"/>
      <c r="F28" s="984"/>
      <c r="G28" s="984"/>
      <c r="H28" s="984"/>
      <c r="I28" s="985"/>
      <c r="J28" s="993"/>
      <c r="K28" s="993"/>
      <c r="L28" s="974"/>
      <c r="M28" s="994"/>
      <c r="N28" s="994"/>
      <c r="O28" s="994"/>
      <c r="P28" s="994"/>
      <c r="Q28" s="994"/>
      <c r="R28" s="994"/>
      <c r="S28" s="994"/>
      <c r="T28" s="994"/>
      <c r="U28" s="994"/>
      <c r="V28" s="506"/>
    </row>
    <row r="29" spans="1:22" ht="15.6" customHeight="1" x14ac:dyDescent="0.15">
      <c r="A29" s="631" t="s">
        <v>1077</v>
      </c>
      <c r="B29" s="984">
        <v>257587</v>
      </c>
      <c r="C29" s="984">
        <v>180501</v>
      </c>
      <c r="D29" s="984">
        <v>653696</v>
      </c>
      <c r="E29" s="984">
        <v>36</v>
      </c>
      <c r="F29" s="984">
        <v>600800</v>
      </c>
      <c r="G29" s="984" t="s">
        <v>796</v>
      </c>
      <c r="H29" s="984">
        <v>70448</v>
      </c>
      <c r="I29" s="632" t="s">
        <v>1022</v>
      </c>
      <c r="J29" s="993"/>
      <c r="K29" s="993"/>
      <c r="L29" s="505"/>
      <c r="M29" s="994"/>
      <c r="N29" s="994"/>
      <c r="O29" s="994"/>
      <c r="P29" s="994"/>
      <c r="Q29" s="994"/>
      <c r="R29" s="994"/>
      <c r="S29" s="994"/>
      <c r="T29" s="994"/>
      <c r="U29" s="994"/>
      <c r="V29" s="506"/>
    </row>
    <row r="30" spans="1:22" ht="15.6" customHeight="1" x14ac:dyDescent="0.15">
      <c r="A30" s="631" t="s">
        <v>760</v>
      </c>
      <c r="B30" s="984">
        <v>251774</v>
      </c>
      <c r="C30" s="984">
        <v>119034</v>
      </c>
      <c r="D30" s="984">
        <v>564121</v>
      </c>
      <c r="E30" s="984" t="s">
        <v>796</v>
      </c>
      <c r="F30" s="984">
        <v>482156</v>
      </c>
      <c r="G30" s="984" t="s">
        <v>796</v>
      </c>
      <c r="H30" s="984">
        <v>71034</v>
      </c>
      <c r="I30" s="632" t="s">
        <v>397</v>
      </c>
      <c r="J30" s="993"/>
      <c r="K30" s="993"/>
      <c r="L30" s="505"/>
      <c r="M30" s="994"/>
      <c r="N30" s="994"/>
      <c r="O30" s="994"/>
      <c r="P30" s="994"/>
      <c r="Q30" s="994"/>
      <c r="R30" s="994"/>
      <c r="S30" s="994"/>
      <c r="T30" s="994"/>
      <c r="U30" s="994"/>
      <c r="V30" s="506"/>
    </row>
    <row r="31" spans="1:22" ht="15.6" customHeight="1" x14ac:dyDescent="0.15">
      <c r="A31" s="631" t="s">
        <v>761</v>
      </c>
      <c r="B31" s="984">
        <v>384585</v>
      </c>
      <c r="C31" s="984" t="s">
        <v>796</v>
      </c>
      <c r="D31" s="984">
        <v>576707</v>
      </c>
      <c r="E31" s="984" t="s">
        <v>796</v>
      </c>
      <c r="F31" s="984">
        <v>325207</v>
      </c>
      <c r="G31" s="984" t="s">
        <v>796</v>
      </c>
      <c r="H31" s="984" t="s">
        <v>796</v>
      </c>
      <c r="I31" s="632" t="s">
        <v>398</v>
      </c>
      <c r="J31" s="993"/>
      <c r="K31" s="993"/>
      <c r="L31" s="505"/>
      <c r="M31" s="994"/>
      <c r="N31" s="994"/>
      <c r="O31" s="994"/>
      <c r="P31" s="994"/>
      <c r="Q31" s="994"/>
      <c r="R31" s="994"/>
      <c r="S31" s="994"/>
      <c r="T31" s="994"/>
      <c r="U31" s="994"/>
      <c r="V31" s="506"/>
    </row>
    <row r="32" spans="1:22" ht="15.6" customHeight="1" x14ac:dyDescent="0.15">
      <c r="A32" s="631" t="s">
        <v>762</v>
      </c>
      <c r="B32" s="984">
        <v>325479</v>
      </c>
      <c r="C32" s="984">
        <v>183764</v>
      </c>
      <c r="D32" s="984">
        <v>288109</v>
      </c>
      <c r="E32" s="984" t="s">
        <v>796</v>
      </c>
      <c r="F32" s="984">
        <v>436639</v>
      </c>
      <c r="G32" s="984" t="s">
        <v>796</v>
      </c>
      <c r="H32" s="984">
        <v>73174</v>
      </c>
      <c r="I32" s="632" t="s">
        <v>399</v>
      </c>
      <c r="J32" s="993"/>
      <c r="K32" s="993"/>
      <c r="L32" s="505"/>
      <c r="M32" s="994"/>
      <c r="N32" s="994"/>
      <c r="O32" s="994"/>
      <c r="P32" s="994"/>
      <c r="Q32" s="994"/>
      <c r="R32" s="994"/>
      <c r="S32" s="994"/>
      <c r="T32" s="994"/>
      <c r="U32" s="994"/>
      <c r="V32" s="506"/>
    </row>
    <row r="33" spans="1:22" ht="15.6" customHeight="1" x14ac:dyDescent="0.15">
      <c r="A33" s="631" t="s">
        <v>763</v>
      </c>
      <c r="B33" s="984">
        <v>251936</v>
      </c>
      <c r="C33" s="984" t="s">
        <v>796</v>
      </c>
      <c r="D33" s="984">
        <v>362717</v>
      </c>
      <c r="E33" s="984" t="s">
        <v>796</v>
      </c>
      <c r="F33" s="984">
        <v>493709</v>
      </c>
      <c r="G33" s="984" t="s">
        <v>796</v>
      </c>
      <c r="H33" s="984" t="s">
        <v>796</v>
      </c>
      <c r="I33" s="632" t="s">
        <v>407</v>
      </c>
      <c r="J33" s="993"/>
      <c r="K33" s="993"/>
      <c r="L33" s="505"/>
      <c r="M33" s="994"/>
      <c r="N33" s="994"/>
      <c r="O33" s="994"/>
      <c r="P33" s="994"/>
      <c r="Q33" s="994"/>
      <c r="R33" s="994"/>
      <c r="S33" s="994"/>
      <c r="T33" s="994"/>
      <c r="U33" s="994"/>
      <c r="V33" s="506"/>
    </row>
    <row r="34" spans="1:22" ht="15.6" customHeight="1" x14ac:dyDescent="0.15">
      <c r="A34" s="631" t="s">
        <v>764</v>
      </c>
      <c r="B34" s="984">
        <v>135840</v>
      </c>
      <c r="C34" s="984">
        <v>59716</v>
      </c>
      <c r="D34" s="984">
        <v>551661</v>
      </c>
      <c r="E34" s="984" t="s">
        <v>796</v>
      </c>
      <c r="F34" s="984">
        <v>504227</v>
      </c>
      <c r="G34" s="984" t="s">
        <v>796</v>
      </c>
      <c r="H34" s="984" t="s">
        <v>796</v>
      </c>
      <c r="I34" s="632" t="s">
        <v>400</v>
      </c>
      <c r="J34" s="993"/>
      <c r="K34" s="993"/>
      <c r="L34" s="505"/>
      <c r="M34" s="994"/>
      <c r="N34" s="994"/>
      <c r="O34" s="994"/>
      <c r="P34" s="994"/>
      <c r="Q34" s="994"/>
      <c r="R34" s="994"/>
      <c r="S34" s="994"/>
      <c r="T34" s="994"/>
      <c r="U34" s="994"/>
      <c r="V34" s="506"/>
    </row>
    <row r="35" spans="1:22" ht="15.6" customHeight="1" x14ac:dyDescent="0.15">
      <c r="A35" s="631" t="s">
        <v>765</v>
      </c>
      <c r="B35" s="984">
        <v>248262</v>
      </c>
      <c r="C35" s="984" t="s">
        <v>796</v>
      </c>
      <c r="D35" s="984">
        <v>94121</v>
      </c>
      <c r="E35" s="984" t="s">
        <v>796</v>
      </c>
      <c r="F35" s="984">
        <v>637261</v>
      </c>
      <c r="G35" s="984" t="s">
        <v>796</v>
      </c>
      <c r="H35" s="984" t="s">
        <v>796</v>
      </c>
      <c r="I35" s="632" t="s">
        <v>401</v>
      </c>
      <c r="J35" s="993"/>
      <c r="K35" s="993"/>
      <c r="L35" s="505"/>
      <c r="M35" s="994"/>
      <c r="N35" s="994"/>
      <c r="O35" s="994"/>
      <c r="P35" s="994"/>
      <c r="Q35" s="994"/>
      <c r="R35" s="994"/>
      <c r="S35" s="994"/>
      <c r="T35" s="994"/>
      <c r="U35" s="994"/>
      <c r="V35" s="506"/>
    </row>
    <row r="36" spans="1:22" ht="15.6" customHeight="1" x14ac:dyDescent="0.15">
      <c r="A36" s="631" t="s">
        <v>766</v>
      </c>
      <c r="B36" s="984">
        <v>313277</v>
      </c>
      <c r="C36" s="984">
        <v>120879</v>
      </c>
      <c r="D36" s="984">
        <v>584605</v>
      </c>
      <c r="E36" s="984" t="s">
        <v>796</v>
      </c>
      <c r="F36" s="984">
        <v>383287</v>
      </c>
      <c r="G36" s="984" t="s">
        <v>796</v>
      </c>
      <c r="H36" s="984">
        <v>62987</v>
      </c>
      <c r="I36" s="632" t="s">
        <v>402</v>
      </c>
      <c r="J36" s="993"/>
      <c r="K36" s="993"/>
      <c r="L36" s="505"/>
      <c r="M36" s="994"/>
      <c r="N36" s="994"/>
      <c r="O36" s="994"/>
      <c r="P36" s="994"/>
      <c r="Q36" s="994"/>
      <c r="R36" s="994"/>
      <c r="S36" s="994"/>
      <c r="T36" s="994"/>
      <c r="U36" s="994"/>
      <c r="V36" s="506"/>
    </row>
    <row r="37" spans="1:22" ht="15.6" customHeight="1" x14ac:dyDescent="0.15">
      <c r="A37" s="631" t="s">
        <v>767</v>
      </c>
      <c r="B37" s="984">
        <v>372588</v>
      </c>
      <c r="C37" s="984">
        <v>59434</v>
      </c>
      <c r="D37" s="984">
        <v>431520</v>
      </c>
      <c r="E37" s="984" t="s">
        <v>796</v>
      </c>
      <c r="F37" s="984">
        <v>764786</v>
      </c>
      <c r="G37" s="984" t="s">
        <v>796</v>
      </c>
      <c r="H37" s="984">
        <v>70573</v>
      </c>
      <c r="I37" s="632" t="s">
        <v>403</v>
      </c>
      <c r="J37" s="993"/>
      <c r="K37" s="993"/>
      <c r="L37" s="505"/>
      <c r="M37" s="994"/>
      <c r="N37" s="994"/>
      <c r="O37" s="994"/>
      <c r="P37" s="994"/>
      <c r="Q37" s="994"/>
      <c r="R37" s="994"/>
      <c r="S37" s="994"/>
      <c r="T37" s="994"/>
      <c r="U37" s="994"/>
      <c r="V37" s="506"/>
    </row>
    <row r="38" spans="1:22" ht="15.6" customHeight="1" x14ac:dyDescent="0.15">
      <c r="A38" s="631" t="s">
        <v>768</v>
      </c>
      <c r="B38" s="984">
        <v>189556</v>
      </c>
      <c r="C38" s="984">
        <v>119693</v>
      </c>
      <c r="D38" s="984">
        <v>551095</v>
      </c>
      <c r="E38" s="984" t="s">
        <v>796</v>
      </c>
      <c r="F38" s="984">
        <v>510715</v>
      </c>
      <c r="G38" s="984">
        <v>59632</v>
      </c>
      <c r="H38" s="984">
        <v>70557</v>
      </c>
      <c r="I38" s="632" t="s">
        <v>404</v>
      </c>
      <c r="J38" s="993"/>
      <c r="K38" s="993"/>
      <c r="L38" s="505"/>
      <c r="M38" s="994"/>
      <c r="N38" s="994"/>
      <c r="O38" s="994"/>
      <c r="P38" s="994"/>
      <c r="Q38" s="994"/>
      <c r="R38" s="994"/>
      <c r="S38" s="994"/>
      <c r="T38" s="994"/>
      <c r="U38" s="994"/>
      <c r="V38" s="506"/>
    </row>
    <row r="39" spans="1:22" ht="15.6" customHeight="1" x14ac:dyDescent="0.15">
      <c r="A39" s="631" t="s">
        <v>769</v>
      </c>
      <c r="B39" s="984">
        <v>248394</v>
      </c>
      <c r="C39" s="984">
        <v>60376</v>
      </c>
      <c r="D39" s="984">
        <v>478725</v>
      </c>
      <c r="E39" s="984" t="s">
        <v>796</v>
      </c>
      <c r="F39" s="984">
        <v>523691</v>
      </c>
      <c r="G39" s="984" t="s">
        <v>796</v>
      </c>
      <c r="H39" s="984" t="s">
        <v>796</v>
      </c>
      <c r="I39" s="632" t="s">
        <v>405</v>
      </c>
      <c r="J39" s="993"/>
      <c r="K39" s="993"/>
      <c r="L39" s="505"/>
      <c r="M39" s="994"/>
      <c r="N39" s="994"/>
      <c r="O39" s="994"/>
      <c r="P39" s="994"/>
      <c r="Q39" s="994"/>
      <c r="R39" s="994"/>
      <c r="S39" s="994"/>
      <c r="T39" s="994"/>
      <c r="U39" s="994"/>
      <c r="V39" s="506"/>
    </row>
    <row r="40" spans="1:22" ht="15.6" customHeight="1" x14ac:dyDescent="0.15">
      <c r="A40" s="987" t="s">
        <v>770</v>
      </c>
      <c r="B40" s="988">
        <v>409460</v>
      </c>
      <c r="C40" s="988">
        <v>60178</v>
      </c>
      <c r="D40" s="988">
        <v>546526</v>
      </c>
      <c r="E40" s="988" t="s">
        <v>796</v>
      </c>
      <c r="F40" s="984">
        <v>673905</v>
      </c>
      <c r="G40" s="988" t="s">
        <v>796</v>
      </c>
      <c r="H40" s="988" t="s">
        <v>796</v>
      </c>
      <c r="I40" s="990" t="s">
        <v>406</v>
      </c>
      <c r="J40" s="993"/>
      <c r="K40" s="993"/>
      <c r="L40" s="505"/>
      <c r="M40" s="994"/>
      <c r="N40" s="994"/>
      <c r="O40" s="994"/>
      <c r="P40" s="994"/>
      <c r="Q40" s="994"/>
      <c r="R40" s="994"/>
      <c r="S40" s="994"/>
      <c r="T40" s="994"/>
      <c r="U40" s="994"/>
      <c r="V40" s="506"/>
    </row>
    <row r="41" spans="1:22" ht="9.9499999999999993" customHeight="1" x14ac:dyDescent="0.15">
      <c r="A41" s="633"/>
      <c r="B41" s="991"/>
      <c r="C41" s="992"/>
      <c r="D41" s="992"/>
      <c r="E41" s="992"/>
      <c r="F41" s="992"/>
      <c r="G41" s="991"/>
      <c r="H41" s="991"/>
      <c r="I41" s="998"/>
      <c r="J41" s="993"/>
      <c r="K41" s="993"/>
      <c r="L41" s="993"/>
      <c r="M41" s="994"/>
      <c r="N41" s="994"/>
      <c r="O41" s="994"/>
      <c r="P41" s="994"/>
      <c r="Q41" s="994"/>
      <c r="R41" s="994"/>
      <c r="S41" s="994"/>
      <c r="T41" s="994"/>
      <c r="U41" s="994"/>
      <c r="V41" s="506"/>
    </row>
    <row r="42" spans="1:22" ht="15.6" customHeight="1" x14ac:dyDescent="0.15">
      <c r="A42" s="1137" t="s">
        <v>723</v>
      </c>
      <c r="B42" s="976" t="s">
        <v>99</v>
      </c>
      <c r="C42" s="976" t="s">
        <v>778</v>
      </c>
      <c r="D42" s="976" t="s">
        <v>1080</v>
      </c>
      <c r="E42" s="976" t="s">
        <v>779</v>
      </c>
      <c r="F42" s="976" t="s">
        <v>810</v>
      </c>
      <c r="G42" s="995" t="s">
        <v>52</v>
      </c>
      <c r="H42" s="995" t="s">
        <v>780</v>
      </c>
      <c r="I42" s="1143" t="s">
        <v>727</v>
      </c>
      <c r="J42" s="977"/>
      <c r="K42" s="977"/>
      <c r="L42" s="974"/>
    </row>
    <row r="43" spans="1:22" ht="15.6" customHeight="1" x14ac:dyDescent="0.15">
      <c r="A43" s="1138"/>
      <c r="B43" s="1146" t="s">
        <v>102</v>
      </c>
      <c r="C43" s="1146" t="s">
        <v>781</v>
      </c>
      <c r="D43" s="1146" t="s">
        <v>1081</v>
      </c>
      <c r="E43" s="1146" t="s">
        <v>782</v>
      </c>
      <c r="F43" s="1146" t="s">
        <v>811</v>
      </c>
      <c r="G43" s="1146" t="s">
        <v>46</v>
      </c>
      <c r="H43" s="1148" t="s">
        <v>783</v>
      </c>
      <c r="I43" s="1144"/>
      <c r="J43" s="1150"/>
      <c r="K43" s="1151"/>
      <c r="L43" s="974"/>
    </row>
    <row r="44" spans="1:22" ht="15.6" customHeight="1" x14ac:dyDescent="0.15">
      <c r="A44" s="1139"/>
      <c r="B44" s="1146"/>
      <c r="C44" s="1147"/>
      <c r="D44" s="1147"/>
      <c r="E44" s="1147"/>
      <c r="F44" s="1146"/>
      <c r="G44" s="1146"/>
      <c r="H44" s="1149"/>
      <c r="I44" s="1145"/>
      <c r="J44" s="1150"/>
      <c r="K44" s="1151"/>
      <c r="L44" s="996"/>
    </row>
    <row r="45" spans="1:22" ht="9.9499999999999993" customHeight="1" x14ac:dyDescent="0.15">
      <c r="A45" s="979"/>
      <c r="B45" s="980"/>
      <c r="C45" s="980"/>
      <c r="D45" s="980"/>
      <c r="E45" s="980"/>
      <c r="F45" s="980"/>
      <c r="G45" s="980"/>
      <c r="H45" s="980"/>
      <c r="I45" s="981"/>
      <c r="J45" s="993"/>
      <c r="K45" s="993"/>
      <c r="L45" s="974"/>
    </row>
    <row r="46" spans="1:22" ht="15.6" customHeight="1" x14ac:dyDescent="0.15">
      <c r="A46" s="983" t="s">
        <v>1064</v>
      </c>
      <c r="B46" s="984">
        <v>55779</v>
      </c>
      <c r="C46" s="984">
        <v>521421</v>
      </c>
      <c r="D46" s="984">
        <v>59963</v>
      </c>
      <c r="E46" s="984">
        <v>328707</v>
      </c>
      <c r="F46" s="984">
        <v>71236</v>
      </c>
      <c r="G46" s="984">
        <v>25139832</v>
      </c>
      <c r="H46" s="984">
        <v>3662589</v>
      </c>
      <c r="I46" s="985" t="s">
        <v>879</v>
      </c>
      <c r="J46" s="993"/>
      <c r="K46" s="993"/>
      <c r="L46" s="974"/>
    </row>
    <row r="47" spans="1:22" ht="9.9499999999999993" customHeight="1" x14ac:dyDescent="0.15">
      <c r="A47" s="983"/>
      <c r="B47" s="984"/>
      <c r="C47" s="984"/>
      <c r="D47" s="984"/>
      <c r="E47" s="984"/>
      <c r="F47" s="984"/>
      <c r="G47" s="984"/>
      <c r="H47" s="984"/>
      <c r="I47" s="985"/>
      <c r="J47" s="993"/>
      <c r="K47" s="993"/>
      <c r="L47" s="974"/>
    </row>
    <row r="48" spans="1:22" ht="15.6" customHeight="1" x14ac:dyDescent="0.15">
      <c r="A48" s="631" t="s">
        <v>1077</v>
      </c>
      <c r="B48" s="984" t="s">
        <v>796</v>
      </c>
      <c r="C48" s="984" t="s">
        <v>796</v>
      </c>
      <c r="D48" s="984" t="s">
        <v>796</v>
      </c>
      <c r="E48" s="984" t="s">
        <v>796</v>
      </c>
      <c r="F48" s="984" t="s">
        <v>796</v>
      </c>
      <c r="G48" s="984">
        <v>2234755</v>
      </c>
      <c r="H48" s="984">
        <v>217495</v>
      </c>
      <c r="I48" s="632" t="s">
        <v>1022</v>
      </c>
      <c r="J48" s="993"/>
      <c r="K48" s="993"/>
      <c r="L48" s="505"/>
    </row>
    <row r="49" spans="1:12" ht="15.6" customHeight="1" x14ac:dyDescent="0.15">
      <c r="A49" s="631" t="s">
        <v>745</v>
      </c>
      <c r="B49" s="984" t="s">
        <v>796</v>
      </c>
      <c r="C49" s="984">
        <v>74490</v>
      </c>
      <c r="D49" s="984" t="s">
        <v>796</v>
      </c>
      <c r="E49" s="984" t="s">
        <v>796</v>
      </c>
      <c r="F49" s="984" t="s">
        <v>796</v>
      </c>
      <c r="G49" s="984">
        <v>2084754</v>
      </c>
      <c r="H49" s="984">
        <v>374674</v>
      </c>
      <c r="I49" s="632" t="s">
        <v>397</v>
      </c>
      <c r="J49" s="993"/>
      <c r="K49" s="993"/>
      <c r="L49" s="505"/>
    </row>
    <row r="50" spans="1:12" ht="15.6" customHeight="1" x14ac:dyDescent="0.15">
      <c r="A50" s="631" t="s">
        <v>761</v>
      </c>
      <c r="B50" s="984" t="s">
        <v>796</v>
      </c>
      <c r="C50" s="984" t="s">
        <v>796</v>
      </c>
      <c r="D50" s="984" t="s">
        <v>796</v>
      </c>
      <c r="E50" s="984" t="s">
        <v>796</v>
      </c>
      <c r="F50" s="984" t="s">
        <v>796</v>
      </c>
      <c r="G50" s="984">
        <v>2417239</v>
      </c>
      <c r="H50" s="984">
        <v>288060</v>
      </c>
      <c r="I50" s="632" t="s">
        <v>398</v>
      </c>
      <c r="J50" s="993"/>
      <c r="K50" s="993"/>
      <c r="L50" s="505"/>
    </row>
    <row r="51" spans="1:12" ht="15.6" customHeight="1" x14ac:dyDescent="0.15">
      <c r="A51" s="631" t="s">
        <v>762</v>
      </c>
      <c r="B51" s="984" t="s">
        <v>796</v>
      </c>
      <c r="C51" s="984">
        <v>73224</v>
      </c>
      <c r="D51" s="984" t="s">
        <v>796</v>
      </c>
      <c r="E51" s="984">
        <v>69612</v>
      </c>
      <c r="F51" s="984">
        <v>71236</v>
      </c>
      <c r="G51" s="984">
        <v>2051469</v>
      </c>
      <c r="H51" s="984">
        <v>275813</v>
      </c>
      <c r="I51" s="632" t="s">
        <v>399</v>
      </c>
      <c r="J51" s="993"/>
      <c r="K51" s="993"/>
      <c r="L51" s="505"/>
    </row>
    <row r="52" spans="1:12" ht="15.6" customHeight="1" x14ac:dyDescent="0.15">
      <c r="A52" s="631" t="s">
        <v>763</v>
      </c>
      <c r="B52" s="984" t="s">
        <v>796</v>
      </c>
      <c r="C52" s="984" t="s">
        <v>796</v>
      </c>
      <c r="D52" s="984" t="s">
        <v>796</v>
      </c>
      <c r="E52" s="984" t="s">
        <v>796</v>
      </c>
      <c r="F52" s="984" t="s">
        <v>796</v>
      </c>
      <c r="G52" s="984">
        <v>1702664</v>
      </c>
      <c r="H52" s="984">
        <v>346051</v>
      </c>
      <c r="I52" s="632" t="s">
        <v>407</v>
      </c>
      <c r="J52" s="993"/>
      <c r="K52" s="993"/>
      <c r="L52" s="505"/>
    </row>
    <row r="53" spans="1:12" ht="15.6" customHeight="1" x14ac:dyDescent="0.15">
      <c r="A53" s="631" t="s">
        <v>764</v>
      </c>
      <c r="B53" s="984">
        <v>55779</v>
      </c>
      <c r="C53" s="984">
        <v>55576</v>
      </c>
      <c r="D53" s="984" t="s">
        <v>796</v>
      </c>
      <c r="E53" s="984" t="s">
        <v>796</v>
      </c>
      <c r="F53" s="984" t="s">
        <v>796</v>
      </c>
      <c r="G53" s="984">
        <v>1762721</v>
      </c>
      <c r="H53" s="984">
        <v>293785</v>
      </c>
      <c r="I53" s="632" t="s">
        <v>400</v>
      </c>
      <c r="J53" s="993"/>
      <c r="K53" s="993"/>
      <c r="L53" s="505"/>
    </row>
    <row r="54" spans="1:12" ht="15.6" customHeight="1" x14ac:dyDescent="0.15">
      <c r="A54" s="631" t="s">
        <v>765</v>
      </c>
      <c r="B54" s="984" t="s">
        <v>796</v>
      </c>
      <c r="C54" s="984">
        <v>195225</v>
      </c>
      <c r="D54" s="984" t="s">
        <v>796</v>
      </c>
      <c r="E54" s="984">
        <v>193535</v>
      </c>
      <c r="F54" s="984" t="s">
        <v>796</v>
      </c>
      <c r="G54" s="984">
        <v>2325152</v>
      </c>
      <c r="H54" s="984">
        <v>206329</v>
      </c>
      <c r="I54" s="632" t="s">
        <v>401</v>
      </c>
      <c r="J54" s="993"/>
      <c r="K54" s="993"/>
      <c r="L54" s="505"/>
    </row>
    <row r="55" spans="1:12" ht="15.6" customHeight="1" x14ac:dyDescent="0.15">
      <c r="A55" s="631" t="s">
        <v>766</v>
      </c>
      <c r="B55" s="984" t="s">
        <v>796</v>
      </c>
      <c r="C55" s="984" t="s">
        <v>796</v>
      </c>
      <c r="D55" s="984">
        <v>59963</v>
      </c>
      <c r="E55" s="984" t="s">
        <v>796</v>
      </c>
      <c r="F55" s="984" t="s">
        <v>796</v>
      </c>
      <c r="G55" s="984">
        <v>2229017</v>
      </c>
      <c r="H55" s="984">
        <v>369121</v>
      </c>
      <c r="I55" s="632" t="s">
        <v>402</v>
      </c>
      <c r="J55" s="993"/>
      <c r="K55" s="993"/>
      <c r="L55" s="505"/>
    </row>
    <row r="56" spans="1:12" ht="15.6" customHeight="1" x14ac:dyDescent="0.15">
      <c r="A56" s="631" t="s">
        <v>767</v>
      </c>
      <c r="B56" s="984" t="s">
        <v>796</v>
      </c>
      <c r="C56" s="984">
        <v>64680</v>
      </c>
      <c r="D56" s="984" t="s">
        <v>796</v>
      </c>
      <c r="E56" s="984" t="s">
        <v>796</v>
      </c>
      <c r="F56" s="984" t="s">
        <v>796</v>
      </c>
      <c r="G56" s="984">
        <v>1800951</v>
      </c>
      <c r="H56" s="984">
        <v>230102</v>
      </c>
      <c r="I56" s="632" t="s">
        <v>403</v>
      </c>
      <c r="J56" s="993"/>
      <c r="K56" s="993"/>
      <c r="L56" s="505"/>
    </row>
    <row r="57" spans="1:12" ht="15.6" customHeight="1" x14ac:dyDescent="0.15">
      <c r="A57" s="631" t="s">
        <v>768</v>
      </c>
      <c r="B57" s="984" t="s">
        <v>796</v>
      </c>
      <c r="C57" s="984">
        <v>58226</v>
      </c>
      <c r="D57" s="984" t="s">
        <v>796</v>
      </c>
      <c r="E57" s="984">
        <v>65560</v>
      </c>
      <c r="F57" s="984" t="s">
        <v>796</v>
      </c>
      <c r="G57" s="984">
        <v>2092666</v>
      </c>
      <c r="H57" s="984">
        <v>297938</v>
      </c>
      <c r="I57" s="632" t="s">
        <v>404</v>
      </c>
      <c r="J57" s="993"/>
      <c r="K57" s="993"/>
      <c r="L57" s="505"/>
    </row>
    <row r="58" spans="1:12" ht="15.6" customHeight="1" x14ac:dyDescent="0.15">
      <c r="A58" s="631" t="s">
        <v>769</v>
      </c>
      <c r="B58" s="984" t="s">
        <v>796</v>
      </c>
      <c r="C58" s="984" t="s">
        <v>796</v>
      </c>
      <c r="D58" s="984" t="s">
        <v>796</v>
      </c>
      <c r="E58" s="984" t="s">
        <v>796</v>
      </c>
      <c r="F58" s="984" t="s">
        <v>796</v>
      </c>
      <c r="G58" s="984">
        <v>2046599</v>
      </c>
      <c r="H58" s="984">
        <v>272958</v>
      </c>
      <c r="I58" s="632" t="s">
        <v>405</v>
      </c>
      <c r="J58" s="993"/>
      <c r="K58" s="993"/>
      <c r="L58" s="505"/>
    </row>
    <row r="59" spans="1:12" ht="15.6" customHeight="1" x14ac:dyDescent="0.15">
      <c r="A59" s="987" t="s">
        <v>770</v>
      </c>
      <c r="B59" s="988" t="s">
        <v>796</v>
      </c>
      <c r="C59" s="988" t="s">
        <v>796</v>
      </c>
      <c r="D59" s="988" t="s">
        <v>796</v>
      </c>
      <c r="E59" s="988" t="s">
        <v>796</v>
      </c>
      <c r="F59" s="984" t="s">
        <v>796</v>
      </c>
      <c r="G59" s="988">
        <v>2391845</v>
      </c>
      <c r="H59" s="988">
        <v>490263</v>
      </c>
      <c r="I59" s="990" t="s">
        <v>406</v>
      </c>
      <c r="J59" s="993"/>
      <c r="K59" s="993"/>
      <c r="L59" s="505"/>
    </row>
    <row r="60" spans="1:12" ht="15.6" customHeight="1" x14ac:dyDescent="0.15">
      <c r="A60" s="967" t="s">
        <v>1082</v>
      </c>
      <c r="B60" s="999"/>
      <c r="C60" s="999"/>
      <c r="D60" s="999"/>
      <c r="E60" s="999"/>
      <c r="F60" s="999"/>
      <c r="G60" s="999"/>
      <c r="H60" s="999"/>
      <c r="I60" s="974"/>
      <c r="J60" s="974"/>
      <c r="K60" s="974"/>
      <c r="L60" s="974"/>
    </row>
    <row r="61" spans="1:12" ht="15.6" customHeight="1" x14ac:dyDescent="0.15">
      <c r="A61" s="974" t="s">
        <v>1083</v>
      </c>
      <c r="B61" s="974"/>
      <c r="C61" s="974"/>
      <c r="D61" s="974"/>
      <c r="E61" s="974"/>
      <c r="F61" s="974"/>
      <c r="G61" s="974"/>
      <c r="H61" s="974"/>
      <c r="I61" s="974"/>
      <c r="J61" s="974"/>
      <c r="K61" s="974"/>
      <c r="L61" s="974"/>
    </row>
  </sheetData>
  <mergeCells count="31">
    <mergeCell ref="A42:A44"/>
    <mergeCell ref="I42:I44"/>
    <mergeCell ref="B43:B44"/>
    <mergeCell ref="C43:C44"/>
    <mergeCell ref="D43:D44"/>
    <mergeCell ref="E43:E44"/>
    <mergeCell ref="F43:F44"/>
    <mergeCell ref="G43:G44"/>
    <mergeCell ref="H43:H44"/>
    <mergeCell ref="J43:J44"/>
    <mergeCell ref="K43:K44"/>
    <mergeCell ref="K24:K25"/>
    <mergeCell ref="F5:F6"/>
    <mergeCell ref="G5:G6"/>
    <mergeCell ref="H5:H6"/>
    <mergeCell ref="K5:K6"/>
    <mergeCell ref="A4:A6"/>
    <mergeCell ref="I4:I6"/>
    <mergeCell ref="B5:B6"/>
    <mergeCell ref="A23:A25"/>
    <mergeCell ref="I23:I25"/>
    <mergeCell ref="B24:B25"/>
    <mergeCell ref="C24:C25"/>
    <mergeCell ref="D24:D25"/>
    <mergeCell ref="E24:E25"/>
    <mergeCell ref="F24:F25"/>
    <mergeCell ref="G24:G25"/>
    <mergeCell ref="H24:H25"/>
    <mergeCell ref="C5:C6"/>
    <mergeCell ref="D5:D6"/>
    <mergeCell ref="E5:E6"/>
  </mergeCells>
  <phoneticPr fontId="34"/>
  <printOptions horizontalCentered="1"/>
  <pageMargins left="0.19685039370078741" right="0.19685039370078741" top="0.59055118110236227" bottom="0.59055118110236227" header="0.59055118110236227" footer="0.31496062992125984"/>
  <pageSetup paperSize="9" scale="91" orientation="portrait" r:id="rId1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22</vt:i4>
      </vt:variant>
    </vt:vector>
  </HeadingPairs>
  <TitlesOfParts>
    <vt:vector size="46" baseType="lpstr">
      <vt:lpstr>●目次(Contents)●</vt:lpstr>
      <vt:lpstr>１（１）原油地域別、国別輸入</vt:lpstr>
      <vt:lpstr>１（２）原油油種別輸入</vt:lpstr>
      <vt:lpstr>１（３）非精製用出荷内訳</vt:lpstr>
      <vt:lpstr>１（４）原油処理及び原油在庫</vt:lpstr>
      <vt:lpstr>２（１）①石油製品需給総括暦年</vt:lpstr>
      <vt:lpstr>２（１）②石油製品需給総括年度</vt:lpstr>
      <vt:lpstr>２（２）①石油製品製造業者・輸入業者受払暦年</vt:lpstr>
      <vt:lpstr>２（２）②石油製品製造業者・輸入業者受払年度</vt:lpstr>
      <vt:lpstr>２（３）石油製品月別国内向販売</vt:lpstr>
      <vt:lpstr>２（４）①石油製品月別輸入</vt:lpstr>
      <vt:lpstr>２（４）②石油製品国・地域別月別輸入</vt:lpstr>
      <vt:lpstr>２（４）③石油製品月別輸出</vt:lpstr>
      <vt:lpstr>２（４）④石油製品国・地域別月別輸出</vt:lpstr>
      <vt:lpstr>２（５）石油製品月別業態別在庫</vt:lpstr>
      <vt:lpstr>２（６）石油製品製造業者・輸入業者月別消費者･販売業者向販売</vt:lpstr>
      <vt:lpstr>２（７）製造業者・輸入業者品種別、月別消費者・販売業者</vt:lpstr>
      <vt:lpstr>参考資料１、２備蓄量推移、輸入価格推移</vt:lpstr>
      <vt:lpstr>参考資料３（１）（２）</vt:lpstr>
      <vt:lpstr>参考資料３（３）（４）</vt:lpstr>
      <vt:lpstr>参考資料３（５）（６）</vt:lpstr>
      <vt:lpstr>参考資料３（７）（８）</vt:lpstr>
      <vt:lpstr>参考資料４（１）液化天然ガス（LNG）輸入量、消費量、在庫量</vt:lpstr>
      <vt:lpstr>参考資料４（２）液化天然ガス（LNG）国別、月別輸入量</vt:lpstr>
      <vt:lpstr>'●目次(Contents)●'!Print_Area</vt:lpstr>
      <vt:lpstr>'１（１）原油地域別、国別輸入'!Print_Area</vt:lpstr>
      <vt:lpstr>'１（２）原油油種別輸入'!Print_Area</vt:lpstr>
      <vt:lpstr>'１（３）非精製用出荷内訳'!Print_Area</vt:lpstr>
      <vt:lpstr>'１（４）原油処理及び原油在庫'!Print_Area</vt:lpstr>
      <vt:lpstr>'２（１）①石油製品需給総括暦年'!Print_Area</vt:lpstr>
      <vt:lpstr>'２（１）②石油製品需給総括年度'!Print_Area</vt:lpstr>
      <vt:lpstr>'２（２）①石油製品製造業者・輸入業者受払暦年'!Print_Area</vt:lpstr>
      <vt:lpstr>'２（２）②石油製品製造業者・輸入業者受払年度'!Print_Area</vt:lpstr>
      <vt:lpstr>'２（３）石油製品月別国内向販売'!Print_Area</vt:lpstr>
      <vt:lpstr>'２（４）②石油製品国・地域別月別輸入'!Print_Area</vt:lpstr>
      <vt:lpstr>'２（４）③石油製品月別輸出'!Print_Area</vt:lpstr>
      <vt:lpstr>'２（４）④石油製品国・地域別月別輸出'!Print_Area</vt:lpstr>
      <vt:lpstr>'２（５）石油製品月別業態別在庫'!Print_Area</vt:lpstr>
      <vt:lpstr>'２（６）石油製品製造業者・輸入業者月別消費者･販売業者向販売'!Print_Area</vt:lpstr>
      <vt:lpstr>'２（７）製造業者・輸入業者品種別、月別消費者・販売業者'!Print_Area</vt:lpstr>
      <vt:lpstr>'参考資料１、２備蓄量推移、輸入価格推移'!Print_Area</vt:lpstr>
      <vt:lpstr>'参考資料３（１）（２）'!Print_Area</vt:lpstr>
      <vt:lpstr>'参考資料３（３）（４）'!Print_Area</vt:lpstr>
      <vt:lpstr>'参考資料３（５）（６）'!Print_Area</vt:lpstr>
      <vt:lpstr>'参考資料３（７）（８）'!Print_Area</vt:lpstr>
      <vt:lpstr>'参考資料４（２）液化天然ガス（LNG）国別、月別輸入量'!Print_Area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2025-06-23T03:00:01Z</dcterms:modified>
</cp:coreProperties>
</file>